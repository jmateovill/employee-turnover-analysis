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9541FB93-81DF-4EE5-9012-CB7B3AAB1C80}"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Employee Data" sheetId="2" r:id="rId3"/>
    <sheet name="helpers" sheetId="5" r:id="rId4"/>
  </sheets>
  <definedNames>
    <definedName name="Slicer_Department1">#N/A</definedName>
    <definedName name="TotalHeadcount_KPI">GETPIVOTDATA("Employee ID",'PIVOT TABLES'!$B$4)</definedName>
  </definedNames>
  <calcPr calcId="191029"/>
  <pivotCaches>
    <pivotCache cacheId="3"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2" i="1" l="1"/>
  <c r="E33" i="1"/>
  <c r="G33" i="1" s="1"/>
  <c r="E34" i="1"/>
  <c r="G34" i="1" s="1"/>
  <c r="E35" i="1"/>
  <c r="F35" i="1" s="1"/>
  <c r="H35" i="1" s="1"/>
  <c r="E36" i="1"/>
  <c r="G37" i="1" s="1"/>
  <c r="E37" i="1"/>
  <c r="F37" i="1" s="1"/>
  <c r="H37" i="1" s="1"/>
  <c r="E38" i="1"/>
  <c r="G38" i="1" s="1"/>
  <c r="E39" i="1"/>
  <c r="G39" i="1" s="1"/>
  <c r="E31" i="1"/>
  <c r="G32" i="1" s="1"/>
  <c r="M5" i="5"/>
  <c r="M7" i="5"/>
  <c r="M8" i="5"/>
  <c r="M9" i="5"/>
  <c r="M10" i="5"/>
  <c r="M11" i="5"/>
  <c r="M12" i="5"/>
  <c r="M13" i="5"/>
  <c r="M6" i="5"/>
  <c r="L5" i="5"/>
  <c r="V38" i="1"/>
  <c r="V37" i="1"/>
  <c r="U38" i="1"/>
  <c r="W38" i="1" s="1"/>
  <c r="U34" i="1"/>
  <c r="W34" i="1" s="1"/>
  <c r="U37" i="1"/>
  <c r="W37" i="1" s="1"/>
  <c r="V36" i="1"/>
  <c r="V35" i="1"/>
  <c r="V34" i="1"/>
  <c r="V33" i="1"/>
  <c r="V32" i="1"/>
  <c r="V31" i="1"/>
  <c r="V30" i="1"/>
  <c r="V29" i="1"/>
  <c r="V28" i="1"/>
  <c r="V27" i="1"/>
  <c r="V25" i="1"/>
  <c r="V26" i="1"/>
  <c r="V24" i="1"/>
  <c r="V23" i="1"/>
  <c r="V22" i="1"/>
  <c r="V21" i="1"/>
  <c r="V20" i="1"/>
  <c r="V19" i="1"/>
  <c r="V18" i="1"/>
  <c r="V17" i="1"/>
  <c r="V16" i="1"/>
  <c r="V15" i="1"/>
  <c r="V14" i="1"/>
  <c r="V13" i="1"/>
  <c r="V12" i="1"/>
  <c r="V11" i="1"/>
  <c r="V10" i="1"/>
  <c r="V9" i="1"/>
  <c r="V6" i="1"/>
  <c r="V7" i="1"/>
  <c r="V8" i="1"/>
  <c r="V5" i="1"/>
  <c r="U35" i="1"/>
  <c r="W35" i="1" s="1"/>
  <c r="U36" i="1"/>
  <c r="W36" i="1" s="1"/>
  <c r="U33" i="1"/>
  <c r="W33" i="1" s="1"/>
  <c r="U32" i="1"/>
  <c r="W32" i="1" s="1"/>
  <c r="U31" i="1"/>
  <c r="W31" i="1" s="1"/>
  <c r="U30" i="1"/>
  <c r="W30" i="1" s="1"/>
  <c r="U29" i="1"/>
  <c r="W29" i="1" s="1"/>
  <c r="U28" i="1"/>
  <c r="W28" i="1" s="1"/>
  <c r="U27" i="1"/>
  <c r="W27" i="1" s="1"/>
  <c r="U26" i="1"/>
  <c r="W26" i="1" s="1"/>
  <c r="U25" i="1"/>
  <c r="W25" i="1" s="1"/>
  <c r="U24" i="1"/>
  <c r="W24" i="1" s="1"/>
  <c r="U23" i="1"/>
  <c r="W23" i="1" s="1"/>
  <c r="U22" i="1"/>
  <c r="W22" i="1" s="1"/>
  <c r="U21" i="1"/>
  <c r="W21" i="1" s="1"/>
  <c r="U20" i="1"/>
  <c r="W20" i="1" s="1"/>
  <c r="U19" i="1"/>
  <c r="W19" i="1" s="1"/>
  <c r="U18" i="1"/>
  <c r="W18" i="1" s="1"/>
  <c r="U17" i="1"/>
  <c r="W17" i="1" s="1"/>
  <c r="U16" i="1"/>
  <c r="W16" i="1" s="1"/>
  <c r="U15" i="1"/>
  <c r="W15" i="1" s="1"/>
  <c r="U14" i="1"/>
  <c r="W14" i="1" s="1"/>
  <c r="U13" i="1"/>
  <c r="W13" i="1" s="1"/>
  <c r="U12" i="1"/>
  <c r="W12" i="1" s="1"/>
  <c r="U11" i="1"/>
  <c r="W11" i="1" s="1"/>
  <c r="U10" i="1"/>
  <c r="W10" i="1" s="1"/>
  <c r="U9" i="1"/>
  <c r="W9" i="1" s="1"/>
  <c r="U6" i="1"/>
  <c r="W6" i="1" s="1"/>
  <c r="U8" i="1"/>
  <c r="W8" i="1" s="1"/>
  <c r="U7" i="1"/>
  <c r="W7" i="1" s="1"/>
  <c r="U5" i="1"/>
  <c r="W5" i="1" s="1"/>
  <c r="Q2" i="2" a="1"/>
  <c r="Q2" i="2" s="1"/>
  <c r="Q3" i="2" a="1"/>
  <c r="Q3" i="2" s="1"/>
  <c r="L2" i="2"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s="1"/>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s="1"/>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52" i="2" a="1"/>
  <c r="L152" i="2" s="1"/>
  <c r="L153" i="2" a="1"/>
  <c r="L153" i="2" s="1"/>
  <c r="L154" i="2" a="1"/>
  <c r="L154" i="2" s="1"/>
  <c r="L155" i="2" a="1"/>
  <c r="L155" i="2" s="1"/>
  <c r="L156" i="2" a="1"/>
  <c r="L156" i="2" s="1"/>
  <c r="L157" i="2" a="1"/>
  <c r="L157" i="2" s="1"/>
  <c r="L158" i="2" a="1"/>
  <c r="L158" i="2" s="1"/>
  <c r="L159" i="2" a="1"/>
  <c r="L159" i="2" s="1"/>
  <c r="L160" i="2" a="1"/>
  <c r="L160" i="2" s="1"/>
  <c r="L161" i="2" a="1"/>
  <c r="L161" i="2" s="1"/>
  <c r="L162" i="2" a="1"/>
  <c r="L162" i="2" s="1"/>
  <c r="L163" i="2" a="1"/>
  <c r="L163" i="2" s="1"/>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s="1"/>
  <c r="L182" i="2" a="1"/>
  <c r="L182" i="2" s="1"/>
  <c r="L183" i="2" a="1"/>
  <c r="L183" i="2" s="1"/>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s="1"/>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s="1"/>
  <c r="L216" i="2" a="1"/>
  <c r="L216" i="2" s="1"/>
  <c r="L217" i="2" a="1"/>
  <c r="L217" i="2" s="1"/>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s="1"/>
  <c r="L232" i="2" a="1"/>
  <c r="L232" i="2" s="1"/>
  <c r="L233" i="2" a="1"/>
  <c r="L233" i="2" s="1"/>
  <c r="L234" i="2" a="1"/>
  <c r="L234" i="2" s="1"/>
  <c r="L235" i="2" a="1"/>
  <c r="L235" i="2" s="1"/>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s="1"/>
  <c r="L248" i="2" a="1"/>
  <c r="L248" i="2" s="1"/>
  <c r="L249" i="2" a="1"/>
  <c r="L249" i="2" s="1"/>
  <c r="L250" i="2" a="1"/>
  <c r="L250" i="2" s="1"/>
  <c r="L251" i="2" a="1"/>
  <c r="L251" i="2" s="1"/>
  <c r="L252" i="2" a="1"/>
  <c r="L252" i="2" s="1"/>
  <c r="L253" i="2" a="1"/>
  <c r="L253" i="2" s="1"/>
  <c r="L254" i="2" a="1"/>
  <c r="L254" i="2" s="1"/>
  <c r="L255" i="2" a="1"/>
  <c r="L255" i="2" s="1"/>
  <c r="L256" i="2" a="1"/>
  <c r="L256" i="2" s="1"/>
  <c r="L257" i="2" a="1"/>
  <c r="L257" i="2" s="1"/>
  <c r="L258" i="2" a="1"/>
  <c r="L258" i="2" s="1"/>
  <c r="L259" i="2" a="1"/>
  <c r="L259" i="2" s="1"/>
  <c r="L260" i="2" a="1"/>
  <c r="L260" i="2" s="1"/>
  <c r="L261" i="2" a="1"/>
  <c r="L261" i="2" s="1"/>
  <c r="L262" i="2" a="1"/>
  <c r="L262" i="2" s="1"/>
  <c r="L263" i="2" a="1"/>
  <c r="L263" i="2" s="1"/>
  <c r="L264" i="2" a="1"/>
  <c r="L264" i="2" s="1"/>
  <c r="L265" i="2" a="1"/>
  <c r="L265" i="2" s="1"/>
  <c r="L266" i="2" a="1"/>
  <c r="L266" i="2" s="1"/>
  <c r="L267" i="2" a="1"/>
  <c r="L267" i="2" s="1"/>
  <c r="L268" i="2" a="1"/>
  <c r="L268" i="2" s="1"/>
  <c r="L269" i="2" a="1"/>
  <c r="L269" i="2" s="1"/>
  <c r="L270" i="2" a="1"/>
  <c r="L270" i="2" s="1"/>
  <c r="L271" i="2" a="1"/>
  <c r="L271" i="2" s="1"/>
  <c r="L272" i="2" a="1"/>
  <c r="L272" i="2" s="1"/>
  <c r="L273" i="2" a="1"/>
  <c r="L273" i="2" s="1"/>
  <c r="L274" i="2" a="1"/>
  <c r="L274" i="2" s="1"/>
  <c r="L275" i="2" a="1"/>
  <c r="L275" i="2" s="1"/>
  <c r="L276" i="2" a="1"/>
  <c r="L276" i="2" s="1"/>
  <c r="L277" i="2" a="1"/>
  <c r="L277" i="2" s="1"/>
  <c r="L278" i="2" a="1"/>
  <c r="L278" i="2" s="1"/>
  <c r="L279" i="2" a="1"/>
  <c r="L279" i="2" s="1"/>
  <c r="L280" i="2" a="1"/>
  <c r="L280" i="2" s="1"/>
  <c r="L281" i="2" a="1"/>
  <c r="L281" i="2" s="1"/>
  <c r="L282" i="2" a="1"/>
  <c r="L282" i="2" s="1"/>
  <c r="L283" i="2" a="1"/>
  <c r="L283" i="2" s="1"/>
  <c r="L284" i="2" a="1"/>
  <c r="L284" i="2" s="1"/>
  <c r="L285" i="2" a="1"/>
  <c r="L285" i="2" s="1"/>
  <c r="L286" i="2" a="1"/>
  <c r="L286" i="2" s="1"/>
  <c r="L287" i="2" a="1"/>
  <c r="L287" i="2" s="1"/>
  <c r="L288" i="2" a="1"/>
  <c r="L288" i="2" s="1"/>
  <c r="L289" i="2" a="1"/>
  <c r="L289" i="2" s="1"/>
  <c r="L290" i="2" a="1"/>
  <c r="L290" i="2" s="1"/>
  <c r="L291" i="2" a="1"/>
  <c r="L291" i="2" s="1"/>
  <c r="L292" i="2" a="1"/>
  <c r="L292" i="2" s="1"/>
  <c r="L293" i="2" a="1"/>
  <c r="L293" i="2" s="1"/>
  <c r="L294" i="2" a="1"/>
  <c r="L294" i="2" s="1"/>
  <c r="L295" i="2" a="1"/>
  <c r="L295" i="2" s="1"/>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s="1"/>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s="1"/>
  <c r="L319" i="2" a="1"/>
  <c r="L319" i="2" s="1"/>
  <c r="L320" i="2" a="1"/>
  <c r="L320" i="2" s="1"/>
  <c r="L321" i="2" a="1"/>
  <c r="L321" i="2" s="1"/>
  <c r="L322" i="2" a="1"/>
  <c r="L322" i="2" s="1"/>
  <c r="L323" i="2" a="1"/>
  <c r="L323" i="2" s="1"/>
  <c r="L324" i="2" a="1"/>
  <c r="L324" i="2" s="1"/>
  <c r="L325" i="2" a="1"/>
  <c r="L325" i="2" s="1"/>
  <c r="L326" i="2" a="1"/>
  <c r="L326" i="2" s="1"/>
  <c r="L327" i="2" a="1"/>
  <c r="L327" i="2" s="1"/>
  <c r="L328" i="2" a="1"/>
  <c r="L328" i="2" s="1"/>
  <c r="L329" i="2" a="1"/>
  <c r="L329" i="2" s="1"/>
  <c r="L330" i="2" a="1"/>
  <c r="L330" i="2" s="1"/>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s="1"/>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s="1"/>
  <c r="L355" i="2" a="1"/>
  <c r="L355" i="2" s="1"/>
  <c r="L356" i="2" a="1"/>
  <c r="L356" i="2" s="1"/>
  <c r="L357" i="2" a="1"/>
  <c r="L357" i="2" s="1"/>
  <c r="L358" i="2" a="1"/>
  <c r="L358" i="2" s="1"/>
  <c r="L359" i="2" a="1"/>
  <c r="L359" i="2" s="1"/>
  <c r="L360" i="2" a="1"/>
  <c r="L360" i="2" s="1"/>
  <c r="L361" i="2" a="1"/>
  <c r="L361" i="2" s="1"/>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s="1"/>
  <c r="L375" i="2" a="1"/>
  <c r="L375" i="2" s="1"/>
  <c r="L376" i="2" a="1"/>
  <c r="L376" i="2" s="1"/>
  <c r="L377" i="2" a="1"/>
  <c r="L377" i="2" s="1"/>
  <c r="L378" i="2" a="1"/>
  <c r="L378" i="2" s="1"/>
  <c r="L379" i="2" a="1"/>
  <c r="L379" i="2" s="1"/>
  <c r="L380" i="2" a="1"/>
  <c r="L380" i="2" s="1"/>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s="1"/>
  <c r="L398" i="2" a="1"/>
  <c r="L398" i="2" s="1"/>
  <c r="L399" i="2" a="1"/>
  <c r="L399" i="2" s="1"/>
  <c r="L400" i="2" a="1"/>
  <c r="L400" i="2" s="1"/>
  <c r="L401" i="2" a="1"/>
  <c r="L401" i="2" s="1"/>
  <c r="L402" i="2" a="1"/>
  <c r="L402" i="2" s="1"/>
  <c r="L403" i="2" a="1"/>
  <c r="L403" i="2" s="1"/>
  <c r="L404" i="2" a="1"/>
  <c r="L404" i="2" s="1"/>
  <c r="L405" i="2" a="1"/>
  <c r="L405" i="2" s="1"/>
  <c r="L406" i="2" a="1"/>
  <c r="L406" i="2" s="1"/>
  <c r="L407" i="2" a="1"/>
  <c r="L407" i="2" s="1"/>
  <c r="L408" i="2" a="1"/>
  <c r="L408" i="2" s="1"/>
  <c r="L409" i="2" a="1"/>
  <c r="L409" i="2" s="1"/>
  <c r="L410" i="2" a="1"/>
  <c r="L410" i="2" s="1"/>
  <c r="L411" i="2" a="1"/>
  <c r="L411" i="2" s="1"/>
  <c r="L412" i="2" a="1"/>
  <c r="L412" i="2" s="1"/>
  <c r="L413" i="2" a="1"/>
  <c r="L413" i="2" s="1"/>
  <c r="L414" i="2" a="1"/>
  <c r="L414" i="2" s="1"/>
  <c r="L415" i="2" a="1"/>
  <c r="L415" i="2" s="1"/>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s="1"/>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s="1"/>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s="1"/>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s="1"/>
  <c r="L475" i="2" a="1"/>
  <c r="L475" i="2" s="1"/>
  <c r="L476" i="2" a="1"/>
  <c r="L476" i="2" s="1"/>
  <c r="L477" i="2" a="1"/>
  <c r="L477" i="2" s="1"/>
  <c r="L478" i="2" a="1"/>
  <c r="L478" i="2" s="1"/>
  <c r="L479" i="2" a="1"/>
  <c r="L479" i="2" s="1"/>
  <c r="L480" i="2" a="1"/>
  <c r="L480" i="2" s="1"/>
  <c r="L481" i="2" a="1"/>
  <c r="L481" i="2" s="1"/>
  <c r="L482" i="2" a="1"/>
  <c r="L482" i="2" s="1"/>
  <c r="L483" i="2" a="1"/>
  <c r="L483" i="2" s="1"/>
  <c r="L484" i="2" a="1"/>
  <c r="L484" i="2" s="1"/>
  <c r="L485" i="2" a="1"/>
  <c r="L485" i="2" s="1"/>
  <c r="L486" i="2" a="1"/>
  <c r="L486" i="2" s="1"/>
  <c r="L487" i="2" a="1"/>
  <c r="L487" i="2" s="1"/>
  <c r="L488" i="2" a="1"/>
  <c r="L488" i="2" s="1"/>
  <c r="L489" i="2" a="1"/>
  <c r="L489" i="2" s="1"/>
  <c r="L490" i="2" a="1"/>
  <c r="L490" i="2" s="1"/>
  <c r="L491" i="2" a="1"/>
  <c r="L491" i="2" s="1"/>
  <c r="L492" i="2" a="1"/>
  <c r="L492" i="2" s="1"/>
  <c r="L493" i="2" a="1"/>
  <c r="L493" i="2" s="1"/>
  <c r="L494" i="2" a="1"/>
  <c r="L494" i="2" s="1"/>
  <c r="L495" i="2" a="1"/>
  <c r="L495" i="2" s="1"/>
  <c r="L496" i="2" a="1"/>
  <c r="L496" i="2" s="1"/>
  <c r="L497" i="2" a="1"/>
  <c r="L497" i="2" s="1"/>
  <c r="L498" i="2" a="1"/>
  <c r="L498" i="2" s="1"/>
  <c r="L499" i="2" a="1"/>
  <c r="L499" i="2" s="1"/>
  <c r="L500" i="2" a="1"/>
  <c r="L500" i="2" s="1"/>
  <c r="L501" i="2" a="1"/>
  <c r="L501" i="2" s="1"/>
  <c r="L502" i="2" a="1"/>
  <c r="L502" i="2" s="1"/>
  <c r="L503" i="2" a="1"/>
  <c r="L503" i="2" s="1"/>
  <c r="L504" i="2" a="1"/>
  <c r="L504" i="2" s="1"/>
  <c r="L505" i="2" a="1"/>
  <c r="L505" i="2" s="1"/>
  <c r="L506" i="2" a="1"/>
  <c r="L506" i="2" s="1"/>
  <c r="L507" i="2" a="1"/>
  <c r="L507" i="2" s="1"/>
  <c r="L508" i="2" a="1"/>
  <c r="L508" i="2" s="1"/>
  <c r="L509" i="2" a="1"/>
  <c r="L509" i="2" s="1"/>
  <c r="L510" i="2" a="1"/>
  <c r="L510" i="2" s="1"/>
  <c r="L511" i="2" a="1"/>
  <c r="L511" i="2" s="1"/>
  <c r="L512" i="2" a="1"/>
  <c r="L512" i="2" s="1"/>
  <c r="L513" i="2" a="1"/>
  <c r="L513" i="2" s="1"/>
  <c r="L514" i="2" a="1"/>
  <c r="L514" i="2" s="1"/>
  <c r="L515" i="2" a="1"/>
  <c r="L515" i="2" s="1"/>
  <c r="L516" i="2" a="1"/>
  <c r="L516" i="2" s="1"/>
  <c r="L517" i="2" a="1"/>
  <c r="L517" i="2" s="1"/>
  <c r="L518" i="2" a="1"/>
  <c r="L518" i="2" s="1"/>
  <c r="L519" i="2" a="1"/>
  <c r="L519" i="2" s="1"/>
  <c r="L520" i="2" a="1"/>
  <c r="L520" i="2" s="1"/>
  <c r="L521" i="2" a="1"/>
  <c r="L521" i="2" s="1"/>
  <c r="L522" i="2" a="1"/>
  <c r="L522" i="2" s="1"/>
  <c r="L523" i="2" a="1"/>
  <c r="L523" i="2" s="1"/>
  <c r="L524" i="2" a="1"/>
  <c r="L524" i="2" s="1"/>
  <c r="L525" i="2" a="1"/>
  <c r="L525" i="2" s="1"/>
  <c r="L526" i="2" a="1"/>
  <c r="L526" i="2" s="1"/>
  <c r="L527" i="2" a="1"/>
  <c r="L527" i="2" s="1"/>
  <c r="L528" i="2" a="1"/>
  <c r="L528" i="2" s="1"/>
  <c r="L529" i="2" a="1"/>
  <c r="L529" i="2" s="1"/>
  <c r="L530" i="2" a="1"/>
  <c r="L530" i="2" s="1"/>
  <c r="L531" i="2" a="1"/>
  <c r="L531" i="2" s="1"/>
  <c r="L532" i="2" a="1"/>
  <c r="L532" i="2" s="1"/>
  <c r="L533" i="2" a="1"/>
  <c r="L533" i="2" s="1"/>
  <c r="L534" i="2" a="1"/>
  <c r="L534" i="2" s="1"/>
  <c r="L535" i="2" a="1"/>
  <c r="L535" i="2" s="1"/>
  <c r="L536" i="2" a="1"/>
  <c r="L536" i="2" s="1"/>
  <c r="L537" i="2" a="1"/>
  <c r="L537" i="2" s="1"/>
  <c r="L538" i="2" a="1"/>
  <c r="L538" i="2" s="1"/>
  <c r="L539" i="2" a="1"/>
  <c r="L539" i="2" s="1"/>
  <c r="L540" i="2" a="1"/>
  <c r="L540" i="2" s="1"/>
  <c r="L541" i="2" a="1"/>
  <c r="L541" i="2" s="1"/>
  <c r="L542" i="2" a="1"/>
  <c r="L542" i="2" s="1"/>
  <c r="L543" i="2" a="1"/>
  <c r="L543" i="2" s="1"/>
  <c r="L544" i="2" a="1"/>
  <c r="L544" i="2" s="1"/>
  <c r="L545" i="2" a="1"/>
  <c r="L545" i="2" s="1"/>
  <c r="L546" i="2" a="1"/>
  <c r="L546" i="2" s="1"/>
  <c r="L547" i="2" a="1"/>
  <c r="L547" i="2" s="1"/>
  <c r="L548" i="2" a="1"/>
  <c r="L548" i="2" s="1"/>
  <c r="L549" i="2" a="1"/>
  <c r="L549" i="2" s="1"/>
  <c r="L550" i="2" a="1"/>
  <c r="L550" i="2" s="1"/>
  <c r="L551" i="2" a="1"/>
  <c r="L551" i="2" s="1"/>
  <c r="L552" i="2" a="1"/>
  <c r="L552" i="2" s="1"/>
  <c r="L553" i="2" a="1"/>
  <c r="L553" i="2" s="1"/>
  <c r="L554" i="2" a="1"/>
  <c r="L554" i="2" s="1"/>
  <c r="L555" i="2" a="1"/>
  <c r="L555" i="2" s="1"/>
  <c r="L556" i="2" a="1"/>
  <c r="L556" i="2" s="1"/>
  <c r="L557" i="2" a="1"/>
  <c r="L557" i="2" s="1"/>
  <c r="L558" i="2" a="1"/>
  <c r="L558" i="2" s="1"/>
  <c r="L559" i="2" a="1"/>
  <c r="L559" i="2" s="1"/>
  <c r="L560" i="2" a="1"/>
  <c r="L560" i="2" s="1"/>
  <c r="L561" i="2" a="1"/>
  <c r="L561" i="2" s="1"/>
  <c r="L562" i="2" a="1"/>
  <c r="L562" i="2" s="1"/>
  <c r="L563" i="2" a="1"/>
  <c r="L563" i="2" s="1"/>
  <c r="L564" i="2" a="1"/>
  <c r="L564" i="2" s="1"/>
  <c r="L565" i="2" a="1"/>
  <c r="L565" i="2" s="1"/>
  <c r="L566" i="2" a="1"/>
  <c r="L566" i="2" s="1"/>
  <c r="L567" i="2" a="1"/>
  <c r="L567" i="2" s="1"/>
  <c r="L568" i="2" a="1"/>
  <c r="L568" i="2" s="1"/>
  <c r="L569" i="2" a="1"/>
  <c r="L569" i="2" s="1"/>
  <c r="L570" i="2" a="1"/>
  <c r="L570" i="2" s="1"/>
  <c r="L571" i="2" a="1"/>
  <c r="L571" i="2" s="1"/>
  <c r="L572" i="2" a="1"/>
  <c r="L572" i="2" s="1"/>
  <c r="L573" i="2" a="1"/>
  <c r="L573" i="2" s="1"/>
  <c r="L574" i="2" a="1"/>
  <c r="L574" i="2" s="1"/>
  <c r="L575" i="2" a="1"/>
  <c r="L575" i="2" s="1"/>
  <c r="L576" i="2" a="1"/>
  <c r="L576" i="2" s="1"/>
  <c r="L577" i="2" a="1"/>
  <c r="L577" i="2" s="1"/>
  <c r="L578" i="2" a="1"/>
  <c r="L578" i="2" s="1"/>
  <c r="L579" i="2" a="1"/>
  <c r="L579" i="2" s="1"/>
  <c r="L580" i="2" a="1"/>
  <c r="L580" i="2" s="1"/>
  <c r="L581" i="2" a="1"/>
  <c r="L581" i="2" s="1"/>
  <c r="L582" i="2" a="1"/>
  <c r="L582" i="2" s="1"/>
  <c r="L583" i="2" a="1"/>
  <c r="L583" i="2" s="1"/>
  <c r="L584" i="2" a="1"/>
  <c r="L584" i="2" s="1"/>
  <c r="L585" i="2" a="1"/>
  <c r="L585" i="2" s="1"/>
  <c r="L586" i="2" a="1"/>
  <c r="L586" i="2" s="1"/>
  <c r="L587" i="2" a="1"/>
  <c r="L587" i="2" s="1"/>
  <c r="L588" i="2" a="1"/>
  <c r="L588" i="2" s="1"/>
  <c r="L589" i="2" a="1"/>
  <c r="L589" i="2" s="1"/>
  <c r="L590" i="2" a="1"/>
  <c r="L590" i="2" s="1"/>
  <c r="L591" i="2" a="1"/>
  <c r="L591" i="2" s="1"/>
  <c r="L592" i="2" a="1"/>
  <c r="L592" i="2" s="1"/>
  <c r="L593" i="2" a="1"/>
  <c r="L593" i="2" s="1"/>
  <c r="L594" i="2" a="1"/>
  <c r="L594" i="2" s="1"/>
  <c r="L595" i="2" a="1"/>
  <c r="L595" i="2" s="1"/>
  <c r="L596" i="2" a="1"/>
  <c r="L596" i="2" s="1"/>
  <c r="L597" i="2" a="1"/>
  <c r="L597" i="2" s="1"/>
  <c r="L598" i="2" a="1"/>
  <c r="L598" i="2" s="1"/>
  <c r="L599" i="2" a="1"/>
  <c r="L599" i="2" s="1"/>
  <c r="L600" i="2" a="1"/>
  <c r="L600" i="2" s="1"/>
  <c r="L601" i="2" a="1"/>
  <c r="L601" i="2" s="1"/>
  <c r="L602" i="2" a="1"/>
  <c r="L602" i="2" s="1"/>
  <c r="L603" i="2" a="1"/>
  <c r="L603" i="2" s="1"/>
  <c r="L604" i="2" a="1"/>
  <c r="L604" i="2" s="1"/>
  <c r="L605" i="2" a="1"/>
  <c r="L605" i="2" s="1"/>
  <c r="L606" i="2" a="1"/>
  <c r="L606" i="2" s="1"/>
  <c r="L607" i="2" a="1"/>
  <c r="L607" i="2" s="1"/>
  <c r="L608" i="2" a="1"/>
  <c r="L608" i="2" s="1"/>
  <c r="L609" i="2" a="1"/>
  <c r="L609" i="2" s="1"/>
  <c r="L610" i="2" a="1"/>
  <c r="L610" i="2" s="1"/>
  <c r="L611" i="2" a="1"/>
  <c r="L611" i="2" s="1"/>
  <c r="L612" i="2" a="1"/>
  <c r="L612" i="2" s="1"/>
  <c r="L613" i="2" a="1"/>
  <c r="L613" i="2" s="1"/>
  <c r="L614" i="2" a="1"/>
  <c r="L614" i="2" s="1"/>
  <c r="L615" i="2" a="1"/>
  <c r="L615" i="2" s="1"/>
  <c r="L616" i="2" a="1"/>
  <c r="L616" i="2" s="1"/>
  <c r="L617" i="2" a="1"/>
  <c r="L617" i="2" s="1"/>
  <c r="L618" i="2" a="1"/>
  <c r="L618" i="2" s="1"/>
  <c r="L619" i="2" a="1"/>
  <c r="L619" i="2" s="1"/>
  <c r="L620" i="2" a="1"/>
  <c r="L620" i="2" s="1"/>
  <c r="L621" i="2" a="1"/>
  <c r="L621" i="2" s="1"/>
  <c r="L622" i="2" a="1"/>
  <c r="L622" i="2" s="1"/>
  <c r="L623" i="2" a="1"/>
  <c r="L623" i="2" s="1"/>
  <c r="L624" i="2" a="1"/>
  <c r="L624" i="2" s="1"/>
  <c r="L625" i="2" a="1"/>
  <c r="L625" i="2" s="1"/>
  <c r="L626" i="2" a="1"/>
  <c r="L626" i="2" s="1"/>
  <c r="L627" i="2" a="1"/>
  <c r="L627" i="2" s="1"/>
  <c r="L628" i="2" a="1"/>
  <c r="L628" i="2" s="1"/>
  <c r="L629" i="2" a="1"/>
  <c r="L629" i="2" s="1"/>
  <c r="L630" i="2" a="1"/>
  <c r="L630" i="2" s="1"/>
  <c r="L631" i="2" a="1"/>
  <c r="L631" i="2" s="1"/>
  <c r="L632" i="2" a="1"/>
  <c r="L632" i="2" s="1"/>
  <c r="L633" i="2" a="1"/>
  <c r="L633" i="2" s="1"/>
  <c r="L634" i="2" a="1"/>
  <c r="L634" i="2" s="1"/>
  <c r="L635" i="2" a="1"/>
  <c r="L635" i="2" s="1"/>
  <c r="L636" i="2" a="1"/>
  <c r="L636" i="2" s="1"/>
  <c r="L637" i="2" a="1"/>
  <c r="L637" i="2" s="1"/>
  <c r="L638" i="2" a="1"/>
  <c r="L638" i="2" s="1"/>
  <c r="L639" i="2" a="1"/>
  <c r="L639" i="2" s="1"/>
  <c r="L640" i="2" a="1"/>
  <c r="L640" i="2" s="1"/>
  <c r="L641" i="2" a="1"/>
  <c r="L641" i="2" s="1"/>
  <c r="L642" i="2" a="1"/>
  <c r="L642" i="2" s="1"/>
  <c r="L643" i="2" a="1"/>
  <c r="L643" i="2" s="1"/>
  <c r="L644" i="2" a="1"/>
  <c r="L644" i="2" s="1"/>
  <c r="L645" i="2" a="1"/>
  <c r="L645" i="2" s="1"/>
  <c r="L646" i="2" a="1"/>
  <c r="L646" i="2" s="1"/>
  <c r="L647" i="2" a="1"/>
  <c r="L647" i="2" s="1"/>
  <c r="L648" i="2" a="1"/>
  <c r="L648" i="2" s="1"/>
  <c r="L649" i="2" a="1"/>
  <c r="L649" i="2" s="1"/>
  <c r="L650" i="2" a="1"/>
  <c r="L650" i="2" s="1"/>
  <c r="L651" i="2" a="1"/>
  <c r="L651" i="2" s="1"/>
  <c r="L652" i="2" a="1"/>
  <c r="L652" i="2" s="1"/>
  <c r="L653" i="2" a="1"/>
  <c r="L653" i="2" s="1"/>
  <c r="L654" i="2" a="1"/>
  <c r="L654" i="2" s="1"/>
  <c r="L655" i="2" a="1"/>
  <c r="L655" i="2" s="1"/>
  <c r="L656" i="2" a="1"/>
  <c r="L656" i="2" s="1"/>
  <c r="L657" i="2" a="1"/>
  <c r="L657" i="2" s="1"/>
  <c r="L658" i="2" a="1"/>
  <c r="L658" i="2" s="1"/>
  <c r="L659" i="2" a="1"/>
  <c r="L659" i="2" s="1"/>
  <c r="L660" i="2" a="1"/>
  <c r="L660" i="2" s="1"/>
  <c r="L661" i="2" a="1"/>
  <c r="L661" i="2" s="1"/>
  <c r="L662" i="2" a="1"/>
  <c r="L662" i="2" s="1"/>
  <c r="L663" i="2" a="1"/>
  <c r="L663" i="2" s="1"/>
  <c r="L664" i="2" a="1"/>
  <c r="L664" i="2" s="1"/>
  <c r="L665" i="2" a="1"/>
  <c r="L665" i="2" s="1"/>
  <c r="L666" i="2" a="1"/>
  <c r="L666" i="2" s="1"/>
  <c r="L667" i="2" a="1"/>
  <c r="L667" i="2" s="1"/>
  <c r="L668" i="2" a="1"/>
  <c r="L668" i="2" s="1"/>
  <c r="L669" i="2" a="1"/>
  <c r="L669" i="2" s="1"/>
  <c r="L670" i="2" a="1"/>
  <c r="L670" i="2" s="1"/>
  <c r="L671" i="2" a="1"/>
  <c r="L671" i="2" s="1"/>
  <c r="L672" i="2" a="1"/>
  <c r="L672" i="2" s="1"/>
  <c r="L673" i="2" a="1"/>
  <c r="L673" i="2" s="1"/>
  <c r="L674" i="2" a="1"/>
  <c r="L674" i="2" s="1"/>
  <c r="L675" i="2" a="1"/>
  <c r="L675" i="2" s="1"/>
  <c r="L676" i="2" a="1"/>
  <c r="L676" i="2" s="1"/>
  <c r="L677" i="2" a="1"/>
  <c r="L677" i="2" s="1"/>
  <c r="L678" i="2" a="1"/>
  <c r="L678" i="2" s="1"/>
  <c r="L679" i="2" a="1"/>
  <c r="L679" i="2" s="1"/>
  <c r="L680" i="2" a="1"/>
  <c r="L680" i="2" s="1"/>
  <c r="L681" i="2" a="1"/>
  <c r="L681" i="2" s="1"/>
  <c r="L682" i="2" a="1"/>
  <c r="L682" i="2" s="1"/>
  <c r="L683" i="2" a="1"/>
  <c r="L683" i="2" s="1"/>
  <c r="L684" i="2" a="1"/>
  <c r="L684" i="2" s="1"/>
  <c r="L685" i="2" a="1"/>
  <c r="L685" i="2" s="1"/>
  <c r="L686" i="2" a="1"/>
  <c r="L686" i="2" s="1"/>
  <c r="L687" i="2" a="1"/>
  <c r="L687" i="2" s="1"/>
  <c r="L688" i="2" a="1"/>
  <c r="L688" i="2" s="1"/>
  <c r="L689" i="2" a="1"/>
  <c r="L689" i="2" s="1"/>
  <c r="L690" i="2" a="1"/>
  <c r="L690" i="2" s="1"/>
  <c r="L691" i="2" a="1"/>
  <c r="L691" i="2" s="1"/>
  <c r="L692" i="2" a="1"/>
  <c r="L692" i="2" s="1"/>
  <c r="L693" i="2" a="1"/>
  <c r="L693" i="2" s="1"/>
  <c r="L694" i="2" a="1"/>
  <c r="L694" i="2" s="1"/>
  <c r="L695" i="2" a="1"/>
  <c r="L695" i="2" s="1"/>
  <c r="L696" i="2" a="1"/>
  <c r="L696" i="2" s="1"/>
  <c r="L697" i="2" a="1"/>
  <c r="L697" i="2" s="1"/>
  <c r="L698" i="2" a="1"/>
  <c r="L698" i="2" s="1"/>
  <c r="L699" i="2" a="1"/>
  <c r="L699" i="2" s="1"/>
  <c r="L700" i="2" a="1"/>
  <c r="L700" i="2" s="1"/>
  <c r="L701" i="2" a="1"/>
  <c r="L701" i="2" s="1"/>
  <c r="L702" i="2" a="1"/>
  <c r="L702" i="2" s="1"/>
  <c r="L703" i="2" a="1"/>
  <c r="L703" i="2" s="1"/>
  <c r="L704" i="2" a="1"/>
  <c r="L704" i="2" s="1"/>
  <c r="L705" i="2" a="1"/>
  <c r="L705" i="2" s="1"/>
  <c r="L706" i="2" a="1"/>
  <c r="L706" i="2" s="1"/>
  <c r="L707" i="2" a="1"/>
  <c r="L707" i="2" s="1"/>
  <c r="L708" i="2" a="1"/>
  <c r="L708" i="2" s="1"/>
  <c r="L709" i="2" a="1"/>
  <c r="L709" i="2" s="1"/>
  <c r="L710" i="2" a="1"/>
  <c r="L710" i="2" s="1"/>
  <c r="L711" i="2" a="1"/>
  <c r="L711" i="2" s="1"/>
  <c r="L712" i="2" a="1"/>
  <c r="L712" i="2" s="1"/>
  <c r="L713" i="2" a="1"/>
  <c r="L713" i="2" s="1"/>
  <c r="L714" i="2" a="1"/>
  <c r="L714" i="2" s="1"/>
  <c r="L715" i="2" a="1"/>
  <c r="L715" i="2" s="1"/>
  <c r="L716" i="2" a="1"/>
  <c r="L716" i="2" s="1"/>
  <c r="L717" i="2" a="1"/>
  <c r="L717" i="2" s="1"/>
  <c r="L718" i="2" a="1"/>
  <c r="L718" i="2" s="1"/>
  <c r="L719" i="2" a="1"/>
  <c r="L719" i="2" s="1"/>
  <c r="L720" i="2" a="1"/>
  <c r="L720" i="2" s="1"/>
  <c r="L721" i="2" a="1"/>
  <c r="L721" i="2" s="1"/>
  <c r="L722" i="2" a="1"/>
  <c r="L722" i="2" s="1"/>
  <c r="L723" i="2" a="1"/>
  <c r="L723" i="2" s="1"/>
  <c r="L724" i="2" a="1"/>
  <c r="L724" i="2" s="1"/>
  <c r="L725" i="2" a="1"/>
  <c r="L725" i="2" s="1"/>
  <c r="L726" i="2" a="1"/>
  <c r="L726" i="2" s="1"/>
  <c r="L727" i="2" a="1"/>
  <c r="L727" i="2" s="1"/>
  <c r="L728" i="2" a="1"/>
  <c r="L728" i="2" s="1"/>
  <c r="L729" i="2" a="1"/>
  <c r="L729" i="2" s="1"/>
  <c r="L730" i="2" a="1"/>
  <c r="L730" i="2" s="1"/>
  <c r="L731" i="2" a="1"/>
  <c r="L731" i="2" s="1"/>
  <c r="L732" i="2" a="1"/>
  <c r="L732" i="2" s="1"/>
  <c r="L733" i="2" a="1"/>
  <c r="L733" i="2" s="1"/>
  <c r="L734" i="2" a="1"/>
  <c r="L734" i="2" s="1"/>
  <c r="L735" i="2" a="1"/>
  <c r="L735" i="2" s="1"/>
  <c r="L736" i="2" a="1"/>
  <c r="L736" i="2" s="1"/>
  <c r="L737" i="2" a="1"/>
  <c r="L737" i="2" s="1"/>
  <c r="L738" i="2" a="1"/>
  <c r="L738" i="2" s="1"/>
  <c r="L739" i="2" a="1"/>
  <c r="L739" i="2" s="1"/>
  <c r="L740" i="2" a="1"/>
  <c r="L740" i="2" s="1"/>
  <c r="L741" i="2" a="1"/>
  <c r="L741" i="2" s="1"/>
  <c r="L742" i="2" a="1"/>
  <c r="L742" i="2" s="1"/>
  <c r="L743" i="2" a="1"/>
  <c r="L743" i="2" s="1"/>
  <c r="L744" i="2" a="1"/>
  <c r="L744" i="2" s="1"/>
  <c r="L745" i="2" a="1"/>
  <c r="L745" i="2" s="1"/>
  <c r="L746" i="2" a="1"/>
  <c r="L746" i="2" s="1"/>
  <c r="L747" i="2" a="1"/>
  <c r="L747" i="2" s="1"/>
  <c r="L748" i="2" a="1"/>
  <c r="L748" i="2" s="1"/>
  <c r="L749" i="2" a="1"/>
  <c r="L749" i="2" s="1"/>
  <c r="L750" i="2" a="1"/>
  <c r="L750" i="2" s="1"/>
  <c r="L751" i="2" a="1"/>
  <c r="L751" i="2" s="1"/>
  <c r="L752" i="2" a="1"/>
  <c r="L752" i="2" s="1"/>
  <c r="L753" i="2" a="1"/>
  <c r="L753" i="2" s="1"/>
  <c r="L754" i="2" a="1"/>
  <c r="L754" i="2" s="1"/>
  <c r="L755" i="2" a="1"/>
  <c r="L755" i="2" s="1"/>
  <c r="L756" i="2" a="1"/>
  <c r="L756" i="2" s="1"/>
  <c r="L757" i="2" a="1"/>
  <c r="L757" i="2" s="1"/>
  <c r="L758" i="2" a="1"/>
  <c r="L758" i="2" s="1"/>
  <c r="L759" i="2" a="1"/>
  <c r="L759" i="2" s="1"/>
  <c r="L760" i="2" a="1"/>
  <c r="L760" i="2" s="1"/>
  <c r="L761" i="2" a="1"/>
  <c r="L761" i="2" s="1"/>
  <c r="L762" i="2" a="1"/>
  <c r="L762" i="2" s="1"/>
  <c r="L763" i="2" a="1"/>
  <c r="L763" i="2" s="1"/>
  <c r="L764" i="2" a="1"/>
  <c r="L764" i="2" s="1"/>
  <c r="L765" i="2" a="1"/>
  <c r="L765" i="2" s="1"/>
  <c r="L766" i="2" a="1"/>
  <c r="L766" i="2" s="1"/>
  <c r="L767" i="2" a="1"/>
  <c r="L767" i="2" s="1"/>
  <c r="L768" i="2" a="1"/>
  <c r="L768" i="2" s="1"/>
  <c r="L769" i="2" a="1"/>
  <c r="L769" i="2" s="1"/>
  <c r="L770" i="2" a="1"/>
  <c r="L770" i="2" s="1"/>
  <c r="L771" i="2" a="1"/>
  <c r="L771" i="2" s="1"/>
  <c r="L772" i="2" a="1"/>
  <c r="L772" i="2" s="1"/>
  <c r="L773" i="2" a="1"/>
  <c r="L773" i="2" s="1"/>
  <c r="L774" i="2" a="1"/>
  <c r="L774" i="2" s="1"/>
  <c r="L775" i="2" a="1"/>
  <c r="L775" i="2" s="1"/>
  <c r="L776" i="2" a="1"/>
  <c r="L776" i="2" s="1"/>
  <c r="L777" i="2" a="1"/>
  <c r="L777" i="2" s="1"/>
  <c r="L778" i="2" a="1"/>
  <c r="L778" i="2" s="1"/>
  <c r="L779" i="2" a="1"/>
  <c r="L779" i="2" s="1"/>
  <c r="L780" i="2" a="1"/>
  <c r="L780" i="2" s="1"/>
  <c r="L781" i="2" a="1"/>
  <c r="L781" i="2" s="1"/>
  <c r="L782" i="2" a="1"/>
  <c r="L782" i="2" s="1"/>
  <c r="L783" i="2" a="1"/>
  <c r="L783" i="2" s="1"/>
  <c r="L784" i="2" a="1"/>
  <c r="L784" i="2" s="1"/>
  <c r="L785" i="2" a="1"/>
  <c r="L785" i="2" s="1"/>
  <c r="L786" i="2" a="1"/>
  <c r="L786" i="2" s="1"/>
  <c r="L787" i="2" a="1"/>
  <c r="L787" i="2" s="1"/>
  <c r="L788" i="2" a="1"/>
  <c r="L788" i="2" s="1"/>
  <c r="L789" i="2" a="1"/>
  <c r="L789" i="2" s="1"/>
  <c r="L790" i="2" a="1"/>
  <c r="L790" i="2" s="1"/>
  <c r="L791" i="2" a="1"/>
  <c r="L791" i="2" s="1"/>
  <c r="L792" i="2" a="1"/>
  <c r="L792" i="2" s="1"/>
  <c r="L793" i="2" a="1"/>
  <c r="L793" i="2" s="1"/>
  <c r="L794" i="2" a="1"/>
  <c r="L794" i="2" s="1"/>
  <c r="L795" i="2" a="1"/>
  <c r="L795" i="2" s="1"/>
  <c r="L796" i="2" a="1"/>
  <c r="L796" i="2" s="1"/>
  <c r="L797" i="2" a="1"/>
  <c r="L797" i="2" s="1"/>
  <c r="L798" i="2" a="1"/>
  <c r="L798" i="2" s="1"/>
  <c r="L799" i="2" a="1"/>
  <c r="L799" i="2" s="1"/>
  <c r="L800" i="2" a="1"/>
  <c r="L800" i="2" s="1"/>
  <c r="L801" i="2" a="1"/>
  <c r="L801" i="2" s="1"/>
  <c r="L802" i="2" a="1"/>
  <c r="L802" i="2" s="1"/>
  <c r="L803" i="2" a="1"/>
  <c r="L803" i="2" s="1"/>
  <c r="L804" i="2" a="1"/>
  <c r="L804" i="2" s="1"/>
  <c r="L805" i="2" a="1"/>
  <c r="L805" i="2" s="1"/>
  <c r="L806" i="2" a="1"/>
  <c r="L806" i="2" s="1"/>
  <c r="L807" i="2" a="1"/>
  <c r="L807" i="2" s="1"/>
  <c r="L808" i="2" a="1"/>
  <c r="L808" i="2" s="1"/>
  <c r="L809" i="2" a="1"/>
  <c r="L809" i="2" s="1"/>
  <c r="L810" i="2" a="1"/>
  <c r="L810" i="2" s="1"/>
  <c r="L811" i="2" a="1"/>
  <c r="L811" i="2" s="1"/>
  <c r="L812" i="2" a="1"/>
  <c r="L812" i="2" s="1"/>
  <c r="L813" i="2" a="1"/>
  <c r="L813" i="2" s="1"/>
  <c r="L814" i="2" a="1"/>
  <c r="L814" i="2" s="1"/>
  <c r="L815" i="2" a="1"/>
  <c r="L815" i="2" s="1"/>
  <c r="L816" i="2" a="1"/>
  <c r="L816" i="2" s="1"/>
  <c r="L817" i="2" a="1"/>
  <c r="L817" i="2" s="1"/>
  <c r="L818" i="2" a="1"/>
  <c r="L818" i="2" s="1"/>
  <c r="L819" i="2" a="1"/>
  <c r="L819" i="2" s="1"/>
  <c r="L820" i="2" a="1"/>
  <c r="L820" i="2" s="1"/>
  <c r="L821" i="2" a="1"/>
  <c r="L821" i="2" s="1"/>
  <c r="L822" i="2" a="1"/>
  <c r="L822" i="2" s="1"/>
  <c r="L823" i="2" a="1"/>
  <c r="L823" i="2" s="1"/>
  <c r="L824" i="2" a="1"/>
  <c r="L824" i="2" s="1"/>
  <c r="L825" i="2" a="1"/>
  <c r="L825" i="2" s="1"/>
  <c r="L826" i="2" a="1"/>
  <c r="L826" i="2" s="1"/>
  <c r="L827" i="2" a="1"/>
  <c r="L827" i="2" s="1"/>
  <c r="L828" i="2" a="1"/>
  <c r="L828" i="2" s="1"/>
  <c r="L829" i="2" a="1"/>
  <c r="L829" i="2" s="1"/>
  <c r="L830" i="2" a="1"/>
  <c r="L830" i="2" s="1"/>
  <c r="L831" i="2" a="1"/>
  <c r="L831" i="2" s="1"/>
  <c r="L832" i="2" a="1"/>
  <c r="L832" i="2" s="1"/>
  <c r="L833" i="2" a="1"/>
  <c r="L833" i="2" s="1"/>
  <c r="L834" i="2" a="1"/>
  <c r="L834" i="2" s="1"/>
  <c r="L835" i="2" a="1"/>
  <c r="L835" i="2" s="1"/>
  <c r="L836" i="2" a="1"/>
  <c r="L836" i="2" s="1"/>
  <c r="L837" i="2" a="1"/>
  <c r="L837" i="2" s="1"/>
  <c r="L838" i="2" a="1"/>
  <c r="L838" i="2" s="1"/>
  <c r="L839" i="2" a="1"/>
  <c r="L839" i="2" s="1"/>
  <c r="L840" i="2" a="1"/>
  <c r="L840" i="2" s="1"/>
  <c r="L841" i="2" a="1"/>
  <c r="L841" i="2" s="1"/>
  <c r="L842" i="2" a="1"/>
  <c r="L842" i="2" s="1"/>
  <c r="L843" i="2" a="1"/>
  <c r="L843" i="2" s="1"/>
  <c r="L844" i="2" a="1"/>
  <c r="L844" i="2" s="1"/>
  <c r="L845" i="2" a="1"/>
  <c r="L845" i="2" s="1"/>
  <c r="L846" i="2" a="1"/>
  <c r="L846" i="2" s="1"/>
  <c r="L847" i="2" a="1"/>
  <c r="L847" i="2" s="1"/>
  <c r="L848" i="2" a="1"/>
  <c r="L848" i="2" s="1"/>
  <c r="L849" i="2" a="1"/>
  <c r="L849" i="2" s="1"/>
  <c r="L850" i="2" a="1"/>
  <c r="L850" i="2" s="1"/>
  <c r="L851" i="2" a="1"/>
  <c r="L851" i="2" s="1"/>
  <c r="L852" i="2" a="1"/>
  <c r="L852" i="2" s="1"/>
  <c r="L853" i="2" a="1"/>
  <c r="L853" i="2" s="1"/>
  <c r="L854" i="2" a="1"/>
  <c r="L854" i="2" s="1"/>
  <c r="L855" i="2" a="1"/>
  <c r="L855" i="2" s="1"/>
  <c r="L856" i="2" a="1"/>
  <c r="L856" i="2" s="1"/>
  <c r="L857" i="2" a="1"/>
  <c r="L857" i="2" s="1"/>
  <c r="L858" i="2" a="1"/>
  <c r="L858" i="2" s="1"/>
  <c r="L859" i="2" a="1"/>
  <c r="L859" i="2" s="1"/>
  <c r="L860" i="2" a="1"/>
  <c r="L860" i="2" s="1"/>
  <c r="L861" i="2" a="1"/>
  <c r="L861" i="2" s="1"/>
  <c r="L862" i="2" a="1"/>
  <c r="L862" i="2" s="1"/>
  <c r="L863" i="2" a="1"/>
  <c r="L863" i="2" s="1"/>
  <c r="L864" i="2" a="1"/>
  <c r="L864" i="2" s="1"/>
  <c r="L865" i="2" a="1"/>
  <c r="L865" i="2" s="1"/>
  <c r="L866" i="2" a="1"/>
  <c r="L866" i="2" s="1"/>
  <c r="L867" i="2" a="1"/>
  <c r="L867" i="2" s="1"/>
  <c r="L868" i="2" a="1"/>
  <c r="L868" i="2" s="1"/>
  <c r="L869" i="2" a="1"/>
  <c r="L869" i="2" s="1"/>
  <c r="L870" i="2" a="1"/>
  <c r="L870" i="2" s="1"/>
  <c r="L871" i="2" a="1"/>
  <c r="L871" i="2" s="1"/>
  <c r="L872" i="2" a="1"/>
  <c r="L872" i="2" s="1"/>
  <c r="L873" i="2" a="1"/>
  <c r="L873" i="2" s="1"/>
  <c r="L874" i="2" a="1"/>
  <c r="L874" i="2" s="1"/>
  <c r="L875" i="2" a="1"/>
  <c r="L875" i="2" s="1"/>
  <c r="L876" i="2" a="1"/>
  <c r="L876" i="2" s="1"/>
  <c r="L877" i="2" a="1"/>
  <c r="L877" i="2" s="1"/>
  <c r="L878" i="2" a="1"/>
  <c r="L878" i="2" s="1"/>
  <c r="L879" i="2" a="1"/>
  <c r="L879" i="2" s="1"/>
  <c r="L880" i="2" a="1"/>
  <c r="L880" i="2" s="1"/>
  <c r="L881" i="2" a="1"/>
  <c r="L881" i="2" s="1"/>
  <c r="L882" i="2" a="1"/>
  <c r="L882" i="2" s="1"/>
  <c r="L883" i="2" a="1"/>
  <c r="L883" i="2" s="1"/>
  <c r="L884" i="2" a="1"/>
  <c r="L884" i="2" s="1"/>
  <c r="L885" i="2" a="1"/>
  <c r="L885" i="2" s="1"/>
  <c r="L886" i="2" a="1"/>
  <c r="L886" i="2" s="1"/>
  <c r="L887" i="2" a="1"/>
  <c r="L887" i="2" s="1"/>
  <c r="L888" i="2" a="1"/>
  <c r="L888" i="2" s="1"/>
  <c r="L889" i="2" a="1"/>
  <c r="L889" i="2" s="1"/>
  <c r="L890" i="2" a="1"/>
  <c r="L890" i="2" s="1"/>
  <c r="L891" i="2" a="1"/>
  <c r="L891" i="2" s="1"/>
  <c r="L892" i="2" a="1"/>
  <c r="L892" i="2" s="1"/>
  <c r="L893" i="2" a="1"/>
  <c r="L893" i="2" s="1"/>
  <c r="L894" i="2" a="1"/>
  <c r="L894" i="2" s="1"/>
  <c r="L895" i="2" a="1"/>
  <c r="L895" i="2" s="1"/>
  <c r="L896" i="2" a="1"/>
  <c r="L896" i="2" s="1"/>
  <c r="L897" i="2" a="1"/>
  <c r="L897" i="2" s="1"/>
  <c r="L898" i="2" a="1"/>
  <c r="L898" i="2" s="1"/>
  <c r="L899" i="2" a="1"/>
  <c r="L899" i="2" s="1"/>
  <c r="L900" i="2" a="1"/>
  <c r="L900" i="2" s="1"/>
  <c r="L901" i="2" a="1"/>
  <c r="L901" i="2" s="1"/>
  <c r="L902" i="2" a="1"/>
  <c r="L902" i="2" s="1"/>
  <c r="L903" i="2" a="1"/>
  <c r="L903" i="2" s="1"/>
  <c r="L904" i="2" a="1"/>
  <c r="L904" i="2" s="1"/>
  <c r="L905" i="2" a="1"/>
  <c r="L905" i="2" s="1"/>
  <c r="L906" i="2" a="1"/>
  <c r="L906" i="2" s="1"/>
  <c r="L907" i="2" a="1"/>
  <c r="L907" i="2" s="1"/>
  <c r="L908" i="2" a="1"/>
  <c r="L908" i="2" s="1"/>
  <c r="L909" i="2" a="1"/>
  <c r="L909" i="2" s="1"/>
  <c r="L910" i="2" a="1"/>
  <c r="L910" i="2" s="1"/>
  <c r="L911" i="2" a="1"/>
  <c r="L911" i="2" s="1"/>
  <c r="L912" i="2" a="1"/>
  <c r="L912" i="2" s="1"/>
  <c r="L913" i="2" a="1"/>
  <c r="L913" i="2" s="1"/>
  <c r="L914" i="2" a="1"/>
  <c r="L914" i="2" s="1"/>
  <c r="L915" i="2" a="1"/>
  <c r="L915" i="2" s="1"/>
  <c r="L916" i="2" a="1"/>
  <c r="L916" i="2" s="1"/>
  <c r="L917" i="2" a="1"/>
  <c r="L917" i="2" s="1"/>
  <c r="L918" i="2" a="1"/>
  <c r="L918" i="2" s="1"/>
  <c r="L919" i="2" a="1"/>
  <c r="L919" i="2" s="1"/>
  <c r="L920" i="2" a="1"/>
  <c r="L920" i="2" s="1"/>
  <c r="L921" i="2" a="1"/>
  <c r="L921" i="2" s="1"/>
  <c r="L922" i="2" a="1"/>
  <c r="L922" i="2" s="1"/>
  <c r="L923" i="2" a="1"/>
  <c r="L923" i="2" s="1"/>
  <c r="L924" i="2" a="1"/>
  <c r="L924" i="2" s="1"/>
  <c r="L925" i="2" a="1"/>
  <c r="L925" i="2" s="1"/>
  <c r="L926" i="2" a="1"/>
  <c r="L926" i="2" s="1"/>
  <c r="L927" i="2" a="1"/>
  <c r="L927" i="2" s="1"/>
  <c r="L928" i="2" a="1"/>
  <c r="L928" i="2" s="1"/>
  <c r="L929" i="2" a="1"/>
  <c r="L929" i="2" s="1"/>
  <c r="L930" i="2" a="1"/>
  <c r="L930" i="2" s="1"/>
  <c r="L931" i="2" a="1"/>
  <c r="L931" i="2" s="1"/>
  <c r="L932" i="2" a="1"/>
  <c r="L932" i="2" s="1"/>
  <c r="L933" i="2" a="1"/>
  <c r="L933" i="2" s="1"/>
  <c r="L934" i="2" a="1"/>
  <c r="L934" i="2" s="1"/>
  <c r="L935" i="2" a="1"/>
  <c r="L935" i="2" s="1"/>
  <c r="L936" i="2" a="1"/>
  <c r="L936" i="2" s="1"/>
  <c r="L937" i="2" a="1"/>
  <c r="L937" i="2" s="1"/>
  <c r="L938" i="2" a="1"/>
  <c r="L938" i="2" s="1"/>
  <c r="L939" i="2" a="1"/>
  <c r="L939" i="2" s="1"/>
  <c r="L940" i="2" a="1"/>
  <c r="L940" i="2" s="1"/>
  <c r="L941" i="2" a="1"/>
  <c r="L941" i="2" s="1"/>
  <c r="L942" i="2" a="1"/>
  <c r="L942" i="2" s="1"/>
  <c r="L943" i="2" a="1"/>
  <c r="L943" i="2" s="1"/>
  <c r="L944" i="2" a="1"/>
  <c r="L944" i="2" s="1"/>
  <c r="L945" i="2" a="1"/>
  <c r="L945" i="2" s="1"/>
  <c r="L946" i="2" a="1"/>
  <c r="L946" i="2" s="1"/>
  <c r="L947" i="2" a="1"/>
  <c r="L947" i="2" s="1"/>
  <c r="L948" i="2" a="1"/>
  <c r="L948" i="2" s="1"/>
  <c r="L949" i="2" a="1"/>
  <c r="L949" i="2" s="1"/>
  <c r="L950" i="2" a="1"/>
  <c r="L950" i="2" s="1"/>
  <c r="L951" i="2" a="1"/>
  <c r="L951" i="2" s="1"/>
  <c r="L952" i="2" a="1"/>
  <c r="L952" i="2" s="1"/>
  <c r="L953" i="2" a="1"/>
  <c r="L953" i="2" s="1"/>
  <c r="L954" i="2" a="1"/>
  <c r="L954" i="2" s="1"/>
  <c r="L955" i="2" a="1"/>
  <c r="L955" i="2" s="1"/>
  <c r="L956" i="2" a="1"/>
  <c r="L956" i="2" s="1"/>
  <c r="L957" i="2" a="1"/>
  <c r="L957" i="2" s="1"/>
  <c r="L958" i="2" a="1"/>
  <c r="L958" i="2" s="1"/>
  <c r="L959" i="2" a="1"/>
  <c r="L959" i="2" s="1"/>
  <c r="L960" i="2" a="1"/>
  <c r="L960" i="2" s="1"/>
  <c r="L961" i="2" a="1"/>
  <c r="L961" i="2" s="1"/>
  <c r="L962" i="2" a="1"/>
  <c r="L962" i="2" s="1"/>
  <c r="L963" i="2" a="1"/>
  <c r="L963" i="2" s="1"/>
  <c r="L964" i="2" a="1"/>
  <c r="L964" i="2" s="1"/>
  <c r="L965" i="2" a="1"/>
  <c r="L965" i="2" s="1"/>
  <c r="L966" i="2" a="1"/>
  <c r="L966" i="2" s="1"/>
  <c r="L967" i="2" a="1"/>
  <c r="L967" i="2" s="1"/>
  <c r="L968" i="2" a="1"/>
  <c r="L968" i="2" s="1"/>
  <c r="L969" i="2" a="1"/>
  <c r="L969" i="2" s="1"/>
  <c r="L970" i="2" a="1"/>
  <c r="L970" i="2" s="1"/>
  <c r="L971" i="2" a="1"/>
  <c r="L971" i="2" s="1"/>
  <c r="L972" i="2" a="1"/>
  <c r="L972" i="2" s="1"/>
  <c r="L973" i="2" a="1"/>
  <c r="L973" i="2" s="1"/>
  <c r="L974" i="2" a="1"/>
  <c r="L974" i="2" s="1"/>
  <c r="L975" i="2" a="1"/>
  <c r="L975" i="2" s="1"/>
  <c r="L976" i="2" a="1"/>
  <c r="L976" i="2" s="1"/>
  <c r="L977" i="2" a="1"/>
  <c r="L977" i="2" s="1"/>
  <c r="L978" i="2" a="1"/>
  <c r="L978" i="2" s="1"/>
  <c r="L979" i="2" a="1"/>
  <c r="L979" i="2" s="1"/>
  <c r="L980" i="2" a="1"/>
  <c r="L980" i="2" s="1"/>
  <c r="L981" i="2" a="1"/>
  <c r="L981" i="2" s="1"/>
  <c r="L982" i="2" a="1"/>
  <c r="L982" i="2" s="1"/>
  <c r="L983" i="2" a="1"/>
  <c r="L983" i="2" s="1"/>
  <c r="L984" i="2" a="1"/>
  <c r="L984" i="2" s="1"/>
  <c r="L985" i="2" a="1"/>
  <c r="L985" i="2" s="1"/>
  <c r="L986" i="2" a="1"/>
  <c r="L986" i="2" s="1"/>
  <c r="L987" i="2" a="1"/>
  <c r="L987" i="2" s="1"/>
  <c r="L988" i="2" a="1"/>
  <c r="L988" i="2" s="1"/>
  <c r="L989" i="2" a="1"/>
  <c r="L989" i="2" s="1"/>
  <c r="L990" i="2" a="1"/>
  <c r="L990" i="2" s="1"/>
  <c r="L991" i="2" a="1"/>
  <c r="L991" i="2" s="1"/>
  <c r="L992" i="2" a="1"/>
  <c r="L992" i="2" s="1"/>
  <c r="L993" i="2" a="1"/>
  <c r="L993" i="2" s="1"/>
  <c r="L994" i="2" a="1"/>
  <c r="L994" i="2" s="1"/>
  <c r="L995" i="2" a="1"/>
  <c r="L995" i="2" s="1"/>
  <c r="L996" i="2" a="1"/>
  <c r="L996" i="2" s="1"/>
  <c r="L997" i="2" a="1"/>
  <c r="L997" i="2" s="1"/>
  <c r="L998" i="2" a="1"/>
  <c r="L998" i="2" s="1"/>
  <c r="L999" i="2" a="1"/>
  <c r="L999" i="2" s="1"/>
  <c r="L1000" i="2" a="1"/>
  <c r="L1000" i="2" s="1"/>
  <c r="L1001" i="2" a="1"/>
  <c r="L1001" i="2" s="1"/>
  <c r="L1002" i="2" a="1"/>
  <c r="L1002" i="2" s="1"/>
  <c r="L1003" i="2" a="1"/>
  <c r="L1003" i="2" s="1"/>
  <c r="L1004" i="2" a="1"/>
  <c r="L1004" i="2" s="1"/>
  <c r="L1005" i="2" a="1"/>
  <c r="L1005" i="2" s="1"/>
  <c r="L1006" i="2" a="1"/>
  <c r="L1006" i="2" s="1"/>
  <c r="L1007" i="2" a="1"/>
  <c r="L1007" i="2" s="1"/>
  <c r="L1008" i="2" a="1"/>
  <c r="L1008" i="2" s="1"/>
  <c r="L1009" i="2" a="1"/>
  <c r="L1009" i="2" s="1"/>
  <c r="L1010" i="2" a="1"/>
  <c r="L1010" i="2" s="1"/>
  <c r="L1011" i="2" a="1"/>
  <c r="L1011" i="2" s="1"/>
  <c r="L1012" i="2" a="1"/>
  <c r="L1012" i="2" s="1"/>
  <c r="L1013" i="2" a="1"/>
  <c r="L1013" i="2" s="1"/>
  <c r="L1014" i="2" a="1"/>
  <c r="L1014" i="2" s="1"/>
  <c r="L1015" i="2" a="1"/>
  <c r="L1015" i="2" s="1"/>
  <c r="L1016" i="2" a="1"/>
  <c r="L1016" i="2" s="1"/>
  <c r="L1017" i="2" a="1"/>
  <c r="L1017" i="2" s="1"/>
  <c r="L1018" i="2" a="1"/>
  <c r="L1018" i="2" s="1"/>
  <c r="L1019" i="2" a="1"/>
  <c r="L1019" i="2" s="1"/>
  <c r="L1020" i="2" a="1"/>
  <c r="L1020" i="2" s="1"/>
  <c r="L1021" i="2" a="1"/>
  <c r="L1021" i="2" s="1"/>
  <c r="L1022" i="2" a="1"/>
  <c r="L1022" i="2" s="1"/>
  <c r="L1023" i="2" a="1"/>
  <c r="L1023" i="2" s="1"/>
  <c r="L1024" i="2" a="1"/>
  <c r="L1024" i="2" s="1"/>
  <c r="L1025" i="2" a="1"/>
  <c r="L1025" i="2" s="1"/>
  <c r="L1026" i="2" a="1"/>
  <c r="L1026" i="2" s="1"/>
  <c r="L1027" i="2" a="1"/>
  <c r="L1027" i="2" s="1"/>
  <c r="L1028" i="2" a="1"/>
  <c r="L1028" i="2" s="1"/>
  <c r="L1029" i="2" a="1"/>
  <c r="L1029" i="2" s="1"/>
  <c r="L1030" i="2" a="1"/>
  <c r="L1030" i="2" s="1"/>
  <c r="L1031" i="2" a="1"/>
  <c r="L1031" i="2" s="1"/>
  <c r="L1032" i="2" a="1"/>
  <c r="L1032" i="2" s="1"/>
  <c r="L1033" i="2" a="1"/>
  <c r="L1033" i="2" s="1"/>
  <c r="L1034" i="2" a="1"/>
  <c r="L1034" i="2" s="1"/>
  <c r="L1035" i="2" a="1"/>
  <c r="L1035" i="2" s="1"/>
  <c r="L1036" i="2" a="1"/>
  <c r="L1036" i="2" s="1"/>
  <c r="L1037" i="2" a="1"/>
  <c r="L1037" i="2" s="1"/>
  <c r="L1038" i="2" a="1"/>
  <c r="L1038" i="2" s="1"/>
  <c r="L1039" i="2" a="1"/>
  <c r="L1039" i="2" s="1"/>
  <c r="L1040" i="2" a="1"/>
  <c r="L1040" i="2" s="1"/>
  <c r="L1041" i="2" a="1"/>
  <c r="L1041" i="2" s="1"/>
  <c r="L1042" i="2" a="1"/>
  <c r="L1042" i="2" s="1"/>
  <c r="L1043" i="2" a="1"/>
  <c r="L1043" i="2" s="1"/>
  <c r="L1044" i="2" a="1"/>
  <c r="L1044" i="2" s="1"/>
  <c r="L1045" i="2" a="1"/>
  <c r="L1045" i="2" s="1"/>
  <c r="L1046" i="2" a="1"/>
  <c r="L1046" i="2" s="1"/>
  <c r="L1047" i="2" a="1"/>
  <c r="L1047" i="2" s="1"/>
  <c r="L1048" i="2" a="1"/>
  <c r="L1048" i="2" s="1"/>
  <c r="L1049" i="2" a="1"/>
  <c r="L1049" i="2" s="1"/>
  <c r="L1050" i="2" a="1"/>
  <c r="L1050" i="2" s="1"/>
  <c r="L1051" i="2" a="1"/>
  <c r="L1051" i="2" s="1"/>
  <c r="L1052" i="2" a="1"/>
  <c r="L1052" i="2" s="1"/>
  <c r="L1053" i="2" a="1"/>
  <c r="L1053" i="2" s="1"/>
  <c r="L1054" i="2" a="1"/>
  <c r="L1054" i="2" s="1"/>
  <c r="L1055" i="2" a="1"/>
  <c r="L1055" i="2" s="1"/>
  <c r="L1056" i="2" a="1"/>
  <c r="L1056" i="2" s="1"/>
  <c r="L1057" i="2" a="1"/>
  <c r="L1057" i="2" s="1"/>
  <c r="L1058" i="2" a="1"/>
  <c r="L1058" i="2" s="1"/>
  <c r="L1059" i="2" a="1"/>
  <c r="L1059" i="2" s="1"/>
  <c r="L1060" i="2" a="1"/>
  <c r="L1060" i="2" s="1"/>
  <c r="L1061" i="2" a="1"/>
  <c r="L1061" i="2" s="1"/>
  <c r="L1062" i="2" a="1"/>
  <c r="L1062" i="2" s="1"/>
  <c r="L1063" i="2" a="1"/>
  <c r="L1063" i="2" s="1"/>
  <c r="L1064" i="2" a="1"/>
  <c r="L1064" i="2" s="1"/>
  <c r="L1065" i="2" a="1"/>
  <c r="L1065" i="2" s="1"/>
  <c r="L1066" i="2" a="1"/>
  <c r="L1066" i="2" s="1"/>
  <c r="L1067" i="2" a="1"/>
  <c r="L1067" i="2" s="1"/>
  <c r="L1068" i="2" a="1"/>
  <c r="L1068" i="2" s="1"/>
  <c r="L1069" i="2" a="1"/>
  <c r="L1069" i="2" s="1"/>
  <c r="L1070" i="2" a="1"/>
  <c r="L1070" i="2" s="1"/>
  <c r="L1071" i="2" a="1"/>
  <c r="L1071" i="2" s="1"/>
  <c r="L1072" i="2" a="1"/>
  <c r="L1072" i="2" s="1"/>
  <c r="L1073" i="2" a="1"/>
  <c r="L1073" i="2" s="1"/>
  <c r="L1074" i="2" a="1"/>
  <c r="L1074" i="2" s="1"/>
  <c r="L1075" i="2" a="1"/>
  <c r="L1075" i="2" s="1"/>
  <c r="L1076" i="2" a="1"/>
  <c r="L1076" i="2" s="1"/>
  <c r="L1077" i="2" a="1"/>
  <c r="L1077" i="2" s="1"/>
  <c r="L1078" i="2" a="1"/>
  <c r="L1078" i="2" s="1"/>
  <c r="L1079" i="2" a="1"/>
  <c r="L1079" i="2" s="1"/>
  <c r="L1080" i="2" a="1"/>
  <c r="L1080" i="2" s="1"/>
  <c r="L1081" i="2" a="1"/>
  <c r="L1081" i="2" s="1"/>
  <c r="L1082" i="2" a="1"/>
  <c r="L1082" i="2" s="1"/>
  <c r="F2" i="2" a="1"/>
  <c r="F2" i="2" s="1"/>
  <c r="F3" i="2" a="1"/>
  <c r="F3" i="2" s="1"/>
  <c r="F4" i="2" a="1"/>
  <c r="F4" i="2" s="1"/>
  <c r="F5" i="2" a="1"/>
  <c r="F5" i="2" s="1"/>
  <c r="F6" i="2" a="1"/>
  <c r="F6" i="2" s="1"/>
  <c r="F7" i="2" a="1"/>
  <c r="F7" i="2" s="1"/>
  <c r="F8" i="2" a="1"/>
  <c r="F8" i="2" s="1"/>
  <c r="F9" i="2" a="1"/>
  <c r="F9" i="2" s="1"/>
  <c r="F10" i="2" a="1"/>
  <c r="F10" i="2" s="1"/>
  <c r="F11" i="2" a="1"/>
  <c r="F11" i="2" s="1"/>
  <c r="F12" i="2" a="1"/>
  <c r="F12" i="2" s="1"/>
  <c r="F13" i="2" a="1"/>
  <c r="F13" i="2" s="1"/>
  <c r="F14" i="2" a="1"/>
  <c r="F14" i="2" s="1"/>
  <c r="F15" i="2" a="1"/>
  <c r="F15" i="2" s="1"/>
  <c r="F16" i="2" a="1"/>
  <c r="F16" i="2" s="1"/>
  <c r="F17" i="2" a="1"/>
  <c r="F17" i="2" s="1"/>
  <c r="F18" i="2" a="1"/>
  <c r="F18" i="2" s="1"/>
  <c r="F19" i="2" a="1"/>
  <c r="F19" i="2" s="1"/>
  <c r="F20" i="2" a="1"/>
  <c r="F20" i="2" s="1"/>
  <c r="F21" i="2" a="1"/>
  <c r="F21" i="2" s="1"/>
  <c r="F22" i="2" a="1"/>
  <c r="F22" i="2" s="1"/>
  <c r="F23" i="2" a="1"/>
  <c r="F23" i="2" s="1"/>
  <c r="F24" i="2" a="1"/>
  <c r="F24" i="2" s="1"/>
  <c r="F25" i="2" a="1"/>
  <c r="F25" i="2" s="1"/>
  <c r="F26" i="2" a="1"/>
  <c r="F26" i="2" s="1"/>
  <c r="F27" i="2" a="1"/>
  <c r="F27" i="2" s="1"/>
  <c r="F28" i="2" a="1"/>
  <c r="F28" i="2" s="1"/>
  <c r="F29" i="2" a="1"/>
  <c r="F29" i="2" s="1"/>
  <c r="F30" i="2" a="1"/>
  <c r="F30" i="2" s="1"/>
  <c r="F31" i="2" a="1"/>
  <c r="F31" i="2" s="1"/>
  <c r="F32" i="2" a="1"/>
  <c r="F32" i="2" s="1"/>
  <c r="F33" i="2" a="1"/>
  <c r="F33" i="2" s="1"/>
  <c r="F34" i="2" a="1"/>
  <c r="F34" i="2" s="1"/>
  <c r="F35" i="2" a="1"/>
  <c r="F35" i="2" s="1"/>
  <c r="F36" i="2" a="1"/>
  <c r="F36" i="2" s="1"/>
  <c r="F37" i="2" a="1"/>
  <c r="F37" i="2" s="1"/>
  <c r="F38" i="2" a="1"/>
  <c r="F38" i="2" s="1"/>
  <c r="F39" i="2" a="1"/>
  <c r="F39" i="2" s="1"/>
  <c r="F40" i="2" a="1"/>
  <c r="F40" i="2" s="1"/>
  <c r="F41" i="2" a="1"/>
  <c r="F41" i="2" s="1"/>
  <c r="F42" i="2" a="1"/>
  <c r="F42" i="2" s="1"/>
  <c r="F43" i="2" a="1"/>
  <c r="F43" i="2" s="1"/>
  <c r="F44" i="2" a="1"/>
  <c r="F44" i="2" s="1"/>
  <c r="F45" i="2" a="1"/>
  <c r="F45" i="2" s="1"/>
  <c r="F46" i="2" a="1"/>
  <c r="F46" i="2" s="1"/>
  <c r="F47" i="2" a="1"/>
  <c r="F47" i="2" s="1"/>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s="1"/>
  <c r="F60" i="2" a="1"/>
  <c r="F60" i="2" s="1"/>
  <c r="F61" i="2" a="1"/>
  <c r="F61" i="2" s="1"/>
  <c r="F62" i="2" a="1"/>
  <c r="F62" i="2" s="1"/>
  <c r="F63" i="2" a="1"/>
  <c r="F63" i="2" s="1"/>
  <c r="F64" i="2" a="1"/>
  <c r="F64" i="2" s="1"/>
  <c r="F65" i="2" a="1"/>
  <c r="F65" i="2" s="1"/>
  <c r="F66" i="2" a="1"/>
  <c r="F66" i="2" s="1"/>
  <c r="F67" i="2" a="1"/>
  <c r="F67" i="2" s="1"/>
  <c r="F68" i="2" a="1"/>
  <c r="F68" i="2" s="1"/>
  <c r="F69" i="2" a="1"/>
  <c r="F69" i="2" s="1"/>
  <c r="F70" i="2" a="1"/>
  <c r="F70" i="2" s="1"/>
  <c r="F71" i="2" a="1"/>
  <c r="F71" i="2" s="1"/>
  <c r="F72" i="2" a="1"/>
  <c r="F72" i="2" s="1"/>
  <c r="F73" i="2" a="1"/>
  <c r="F73" i="2" s="1"/>
  <c r="F74" i="2" a="1"/>
  <c r="F74" i="2" s="1"/>
  <c r="F75" i="2" a="1"/>
  <c r="F75" i="2" s="1"/>
  <c r="F76" i="2" a="1"/>
  <c r="F76" i="2" s="1"/>
  <c r="F77" i="2" a="1"/>
  <c r="F77" i="2" s="1"/>
  <c r="F78" i="2" a="1"/>
  <c r="F78" i="2" s="1"/>
  <c r="F79" i="2" a="1"/>
  <c r="F79" i="2" s="1"/>
  <c r="F80" i="2" a="1"/>
  <c r="F80" i="2" s="1"/>
  <c r="F81" i="2" a="1"/>
  <c r="F81" i="2" s="1"/>
  <c r="F82" i="2" a="1"/>
  <c r="F82" i="2" s="1"/>
  <c r="F83" i="2" a="1"/>
  <c r="F83" i="2" s="1"/>
  <c r="F84" i="2" a="1"/>
  <c r="F84" i="2" s="1"/>
  <c r="F85" i="2" a="1"/>
  <c r="F85" i="2" s="1"/>
  <c r="F86" i="2" a="1"/>
  <c r="F86" i="2" s="1"/>
  <c r="F87" i="2" a="1"/>
  <c r="F87" i="2" s="1"/>
  <c r="F88" i="2" a="1"/>
  <c r="F88" i="2" s="1"/>
  <c r="F89" i="2" a="1"/>
  <c r="F89" i="2" s="1"/>
  <c r="F90" i="2" a="1"/>
  <c r="F90" i="2" s="1"/>
  <c r="F91" i="2" a="1"/>
  <c r="F91" i="2" s="1"/>
  <c r="F92" i="2" a="1"/>
  <c r="F92" i="2" s="1"/>
  <c r="F93" i="2" a="1"/>
  <c r="F93" i="2" s="1"/>
  <c r="F94" i="2" a="1"/>
  <c r="F94" i="2" s="1"/>
  <c r="F95" i="2" a="1"/>
  <c r="F95" i="2" s="1"/>
  <c r="F96" i="2" a="1"/>
  <c r="F96" i="2" s="1"/>
  <c r="F97" i="2" a="1"/>
  <c r="F97" i="2" s="1"/>
  <c r="F98" i="2" a="1"/>
  <c r="F98" i="2" s="1"/>
  <c r="F99" i="2" a="1"/>
  <c r="F99" i="2" s="1"/>
  <c r="F100" i="2" a="1"/>
  <c r="F100" i="2" s="1"/>
  <c r="F101" i="2" a="1"/>
  <c r="F101" i="2" s="1"/>
  <c r="F102" i="2" a="1"/>
  <c r="F102" i="2" s="1"/>
  <c r="F103" i="2" a="1"/>
  <c r="F103" i="2" s="1"/>
  <c r="F104" i="2" a="1"/>
  <c r="F104" i="2" s="1"/>
  <c r="F105" i="2" a="1"/>
  <c r="F105" i="2" s="1"/>
  <c r="F106" i="2" a="1"/>
  <c r="F106" i="2" s="1"/>
  <c r="F107" i="2" a="1"/>
  <c r="F107" i="2" s="1"/>
  <c r="F108" i="2" a="1"/>
  <c r="F108" i="2" s="1"/>
  <c r="F109" i="2" a="1"/>
  <c r="F109" i="2" s="1"/>
  <c r="F110" i="2" a="1"/>
  <c r="F110" i="2" s="1"/>
  <c r="F111" i="2" a="1"/>
  <c r="F111" i="2" s="1"/>
  <c r="F112" i="2" a="1"/>
  <c r="F112" i="2" s="1"/>
  <c r="F113" i="2" a="1"/>
  <c r="F113" i="2" s="1"/>
  <c r="F114" i="2" a="1"/>
  <c r="F114" i="2" s="1"/>
  <c r="F115" i="2" a="1"/>
  <c r="F115" i="2" s="1"/>
  <c r="F116" i="2" a="1"/>
  <c r="F116" i="2" s="1"/>
  <c r="F117" i="2" a="1"/>
  <c r="F117" i="2" s="1"/>
  <c r="F118" i="2" a="1"/>
  <c r="F118" i="2" s="1"/>
  <c r="F119" i="2" a="1"/>
  <c r="F119" i="2" s="1"/>
  <c r="F120" i="2" a="1"/>
  <c r="F120" i="2" s="1"/>
  <c r="F121" i="2" a="1"/>
  <c r="F121" i="2" s="1"/>
  <c r="F122" i="2" a="1"/>
  <c r="F122" i="2" s="1"/>
  <c r="F123" i="2" a="1"/>
  <c r="F123" i="2" s="1"/>
  <c r="F124" i="2" a="1"/>
  <c r="F124" i="2" s="1"/>
  <c r="F125" i="2" a="1"/>
  <c r="F125" i="2" s="1"/>
  <c r="F126" i="2" a="1"/>
  <c r="F126" i="2" s="1"/>
  <c r="F127" i="2" a="1"/>
  <c r="F127" i="2" s="1"/>
  <c r="F128" i="2" a="1"/>
  <c r="F128" i="2" s="1"/>
  <c r="F129" i="2" a="1"/>
  <c r="F129" i="2" s="1"/>
  <c r="F130" i="2" a="1"/>
  <c r="F130" i="2" s="1"/>
  <c r="F131" i="2" a="1"/>
  <c r="F131" i="2" s="1"/>
  <c r="F132" i="2" a="1"/>
  <c r="F132" i="2" s="1"/>
  <c r="F133" i="2" a="1"/>
  <c r="F133" i="2" s="1"/>
  <c r="F134" i="2" a="1"/>
  <c r="F134" i="2" s="1"/>
  <c r="F135" i="2" a="1"/>
  <c r="F135" i="2" s="1"/>
  <c r="F136" i="2" a="1"/>
  <c r="F136" i="2" s="1"/>
  <c r="F137" i="2" a="1"/>
  <c r="F137" i="2" s="1"/>
  <c r="F138" i="2" a="1"/>
  <c r="F138" i="2" s="1"/>
  <c r="F139" i="2" a="1"/>
  <c r="F139" i="2" s="1"/>
  <c r="F140" i="2" a="1"/>
  <c r="F140" i="2" s="1"/>
  <c r="F141" i="2" a="1"/>
  <c r="F141" i="2" s="1"/>
  <c r="F142" i="2" a="1"/>
  <c r="F142" i="2" s="1"/>
  <c r="F143" i="2" a="1"/>
  <c r="F143" i="2" s="1"/>
  <c r="F144" i="2" a="1"/>
  <c r="F144" i="2" s="1"/>
  <c r="F145" i="2" a="1"/>
  <c r="F145" i="2" s="1"/>
  <c r="F146" i="2" a="1"/>
  <c r="F146" i="2" s="1"/>
  <c r="F147" i="2" a="1"/>
  <c r="F147" i="2" s="1"/>
  <c r="F148" i="2" a="1"/>
  <c r="F148" i="2" s="1"/>
  <c r="F149" i="2" a="1"/>
  <c r="F149" i="2" s="1"/>
  <c r="F150" i="2" a="1"/>
  <c r="F150" i="2" s="1"/>
  <c r="F151" i="2" a="1"/>
  <c r="F151" i="2" s="1"/>
  <c r="F152" i="2" a="1"/>
  <c r="F152" i="2" s="1"/>
  <c r="F153" i="2" a="1"/>
  <c r="F153" i="2" s="1"/>
  <c r="F154" i="2" a="1"/>
  <c r="F154" i="2" s="1"/>
  <c r="F155" i="2" a="1"/>
  <c r="F155" i="2" s="1"/>
  <c r="F156" i="2" a="1"/>
  <c r="F156" i="2" s="1"/>
  <c r="F157" i="2" a="1"/>
  <c r="F157" i="2" s="1"/>
  <c r="F158" i="2" a="1"/>
  <c r="F158" i="2" s="1"/>
  <c r="F159" i="2" a="1"/>
  <c r="F159" i="2" s="1"/>
  <c r="F160" i="2" a="1"/>
  <c r="F160" i="2" s="1"/>
  <c r="F161" i="2" a="1"/>
  <c r="F161" i="2" s="1"/>
  <c r="F162" i="2" a="1"/>
  <c r="F162" i="2" s="1"/>
  <c r="F163" i="2" a="1"/>
  <c r="F163" i="2" s="1"/>
  <c r="F164" i="2" a="1"/>
  <c r="F164" i="2" s="1"/>
  <c r="F165" i="2" a="1"/>
  <c r="F165" i="2" s="1"/>
  <c r="F166" i="2" a="1"/>
  <c r="F166" i="2" s="1"/>
  <c r="F167" i="2" a="1"/>
  <c r="F167" i="2" s="1"/>
  <c r="F168" i="2" a="1"/>
  <c r="F168" i="2" s="1"/>
  <c r="F169" i="2" a="1"/>
  <c r="F169" i="2" s="1"/>
  <c r="F170" i="2" a="1"/>
  <c r="F170" i="2" s="1"/>
  <c r="F171" i="2" a="1"/>
  <c r="F171" i="2" s="1"/>
  <c r="F172" i="2" a="1"/>
  <c r="F172" i="2" s="1"/>
  <c r="F173" i="2" a="1"/>
  <c r="F173" i="2" s="1"/>
  <c r="F174" i="2" a="1"/>
  <c r="F174" i="2" s="1"/>
  <c r="F175" i="2" a="1"/>
  <c r="F175" i="2" s="1"/>
  <c r="F176" i="2" a="1"/>
  <c r="F176" i="2" s="1"/>
  <c r="F177" i="2" a="1"/>
  <c r="F177" i="2" s="1"/>
  <c r="F178" i="2" a="1"/>
  <c r="F178" i="2" s="1"/>
  <c r="F179" i="2" a="1"/>
  <c r="F179" i="2" s="1"/>
  <c r="F180" i="2" a="1"/>
  <c r="F180" i="2" s="1"/>
  <c r="F181" i="2" a="1"/>
  <c r="F181" i="2" s="1"/>
  <c r="F182" i="2" a="1"/>
  <c r="F182" i="2" s="1"/>
  <c r="F183" i="2" a="1"/>
  <c r="F183" i="2" s="1"/>
  <c r="F184" i="2" a="1"/>
  <c r="F184" i="2" s="1"/>
  <c r="F185" i="2" a="1"/>
  <c r="F185" i="2" s="1"/>
  <c r="F186" i="2" a="1"/>
  <c r="F186" i="2" s="1"/>
  <c r="F187" i="2" a="1"/>
  <c r="F187" i="2" s="1"/>
  <c r="F188" i="2" a="1"/>
  <c r="F188" i="2" s="1"/>
  <c r="F189" i="2" a="1"/>
  <c r="F189" i="2" s="1"/>
  <c r="F190" i="2" a="1"/>
  <c r="F190" i="2" s="1"/>
  <c r="F191" i="2" a="1"/>
  <c r="F191" i="2" s="1"/>
  <c r="F192" i="2" a="1"/>
  <c r="F192" i="2" s="1"/>
  <c r="F193" i="2" a="1"/>
  <c r="F193" i="2" s="1"/>
  <c r="F194" i="2" a="1"/>
  <c r="F194" i="2" s="1"/>
  <c r="F195" i="2" a="1"/>
  <c r="F195" i="2" s="1"/>
  <c r="F196" i="2" a="1"/>
  <c r="F196" i="2" s="1"/>
  <c r="F197" i="2" a="1"/>
  <c r="F197" i="2" s="1"/>
  <c r="F198" i="2" a="1"/>
  <c r="F198" i="2" s="1"/>
  <c r="F199" i="2" a="1"/>
  <c r="F199" i="2" s="1"/>
  <c r="F200" i="2" a="1"/>
  <c r="F200" i="2" s="1"/>
  <c r="F201" i="2" a="1"/>
  <c r="F201" i="2" s="1"/>
  <c r="F202" i="2" a="1"/>
  <c r="F202" i="2" s="1"/>
  <c r="F203" i="2" a="1"/>
  <c r="F203" i="2" s="1"/>
  <c r="F204" i="2" a="1"/>
  <c r="F204" i="2" s="1"/>
  <c r="F205" i="2" a="1"/>
  <c r="F205" i="2" s="1"/>
  <c r="F206" i="2" a="1"/>
  <c r="F206" i="2" s="1"/>
  <c r="F207" i="2" a="1"/>
  <c r="F207" i="2" s="1"/>
  <c r="F208" i="2" a="1"/>
  <c r="F208" i="2" s="1"/>
  <c r="F209" i="2" a="1"/>
  <c r="F209" i="2" s="1"/>
  <c r="F210" i="2" a="1"/>
  <c r="F210" i="2" s="1"/>
  <c r="F211" i="2" a="1"/>
  <c r="F211" i="2" s="1"/>
  <c r="F212" i="2" a="1"/>
  <c r="F212" i="2" s="1"/>
  <c r="F213" i="2" a="1"/>
  <c r="F213" i="2" s="1"/>
  <c r="F214" i="2" a="1"/>
  <c r="F214" i="2" s="1"/>
  <c r="F215" i="2" a="1"/>
  <c r="F215" i="2" s="1"/>
  <c r="F216" i="2" a="1"/>
  <c r="F216" i="2" s="1"/>
  <c r="F217" i="2" a="1"/>
  <c r="F217" i="2" s="1"/>
  <c r="F218" i="2" a="1"/>
  <c r="F218" i="2" s="1"/>
  <c r="F219" i="2" a="1"/>
  <c r="F219" i="2" s="1"/>
  <c r="F220" i="2" a="1"/>
  <c r="F220" i="2" s="1"/>
  <c r="F221" i="2" a="1"/>
  <c r="F221" i="2" s="1"/>
  <c r="F222" i="2" a="1"/>
  <c r="F222" i="2" s="1"/>
  <c r="F223" i="2" a="1"/>
  <c r="F223" i="2" s="1"/>
  <c r="F224" i="2" a="1"/>
  <c r="F224" i="2" s="1"/>
  <c r="F225" i="2" a="1"/>
  <c r="F225" i="2" s="1"/>
  <c r="F226" i="2" a="1"/>
  <c r="F226" i="2" s="1"/>
  <c r="F227" i="2" a="1"/>
  <c r="F227" i="2" s="1"/>
  <c r="F228" i="2" a="1"/>
  <c r="F228" i="2" s="1"/>
  <c r="F229" i="2" a="1"/>
  <c r="F229" i="2" s="1"/>
  <c r="F230" i="2" a="1"/>
  <c r="F230" i="2" s="1"/>
  <c r="F231" i="2" a="1"/>
  <c r="F231" i="2" s="1"/>
  <c r="F232" i="2" a="1"/>
  <c r="F232" i="2" s="1"/>
  <c r="F233" i="2" a="1"/>
  <c r="F233" i="2" s="1"/>
  <c r="F234" i="2" a="1"/>
  <c r="F234" i="2" s="1"/>
  <c r="F235" i="2" a="1"/>
  <c r="F235" i="2" s="1"/>
  <c r="F236" i="2" a="1"/>
  <c r="F236" i="2" s="1"/>
  <c r="F237" i="2" a="1"/>
  <c r="F237" i="2" s="1"/>
  <c r="F238" i="2" a="1"/>
  <c r="F238" i="2" s="1"/>
  <c r="F239" i="2" a="1"/>
  <c r="F239" i="2" s="1"/>
  <c r="F240" i="2" a="1"/>
  <c r="F240" i="2" s="1"/>
  <c r="F241" i="2" a="1"/>
  <c r="F241" i="2" s="1"/>
  <c r="F242" i="2" a="1"/>
  <c r="F242" i="2" s="1"/>
  <c r="F243" i="2" a="1"/>
  <c r="F243" i="2" s="1"/>
  <c r="F244" i="2" a="1"/>
  <c r="F244" i="2" s="1"/>
  <c r="F245" i="2" a="1"/>
  <c r="F245" i="2" s="1"/>
  <c r="F246" i="2" a="1"/>
  <c r="F246" i="2" s="1"/>
  <c r="F247" i="2" a="1"/>
  <c r="F247" i="2" s="1"/>
  <c r="F248" i="2" a="1"/>
  <c r="F248" i="2" s="1"/>
  <c r="F249" i="2" a="1"/>
  <c r="F249" i="2" s="1"/>
  <c r="F250" i="2" a="1"/>
  <c r="F250" i="2" s="1"/>
  <c r="F251" i="2" a="1"/>
  <c r="F251" i="2" s="1"/>
  <c r="F252" i="2" a="1"/>
  <c r="F252" i="2" s="1"/>
  <c r="F253" i="2" a="1"/>
  <c r="F253" i="2" s="1"/>
  <c r="F254" i="2" a="1"/>
  <c r="F254" i="2" s="1"/>
  <c r="F255" i="2" a="1"/>
  <c r="F255" i="2" s="1"/>
  <c r="F256" i="2" a="1"/>
  <c r="F256" i="2" s="1"/>
  <c r="F257" i="2" a="1"/>
  <c r="F257" i="2" s="1"/>
  <c r="F258" i="2" a="1"/>
  <c r="F258" i="2" s="1"/>
  <c r="F259" i="2" a="1"/>
  <c r="F259" i="2" s="1"/>
  <c r="F260" i="2" a="1"/>
  <c r="F260" i="2" s="1"/>
  <c r="F261" i="2" a="1"/>
  <c r="F261" i="2" s="1"/>
  <c r="F262" i="2" a="1"/>
  <c r="F262" i="2" s="1"/>
  <c r="F263" i="2" a="1"/>
  <c r="F263" i="2" s="1"/>
  <c r="F264" i="2" a="1"/>
  <c r="F264" i="2" s="1"/>
  <c r="F265" i="2" a="1"/>
  <c r="F265" i="2" s="1"/>
  <c r="F266" i="2" a="1"/>
  <c r="F266" i="2" s="1"/>
  <c r="F267" i="2" a="1"/>
  <c r="F267" i="2" s="1"/>
  <c r="F268" i="2" a="1"/>
  <c r="F268" i="2" s="1"/>
  <c r="F269" i="2" a="1"/>
  <c r="F269" i="2" s="1"/>
  <c r="F270" i="2" a="1"/>
  <c r="F270" i="2" s="1"/>
  <c r="F271" i="2" a="1"/>
  <c r="F271" i="2" s="1"/>
  <c r="F272" i="2" a="1"/>
  <c r="F272" i="2" s="1"/>
  <c r="F273" i="2" a="1"/>
  <c r="F273" i="2" s="1"/>
  <c r="F274" i="2" a="1"/>
  <c r="F274" i="2" s="1"/>
  <c r="F275" i="2" a="1"/>
  <c r="F275" i="2" s="1"/>
  <c r="F276" i="2" a="1"/>
  <c r="F276" i="2" s="1"/>
  <c r="F277" i="2" a="1"/>
  <c r="F277" i="2" s="1"/>
  <c r="F278" i="2" a="1"/>
  <c r="F278" i="2" s="1"/>
  <c r="F279" i="2" a="1"/>
  <c r="F279" i="2" s="1"/>
  <c r="F280" i="2" a="1"/>
  <c r="F280" i="2" s="1"/>
  <c r="F281" i="2" a="1"/>
  <c r="F281" i="2" s="1"/>
  <c r="F282" i="2" a="1"/>
  <c r="F282" i="2" s="1"/>
  <c r="F283" i="2" a="1"/>
  <c r="F283" i="2" s="1"/>
  <c r="F284" i="2" a="1"/>
  <c r="F284" i="2" s="1"/>
  <c r="F285" i="2" a="1"/>
  <c r="F285" i="2" s="1"/>
  <c r="F286" i="2" a="1"/>
  <c r="F286" i="2" s="1"/>
  <c r="F287" i="2" a="1"/>
  <c r="F287" i="2" s="1"/>
  <c r="F288" i="2" a="1"/>
  <c r="F288" i="2" s="1"/>
  <c r="F289" i="2" a="1"/>
  <c r="F289" i="2" s="1"/>
  <c r="F290" i="2" a="1"/>
  <c r="F290" i="2" s="1"/>
  <c r="F291" i="2" a="1"/>
  <c r="F291" i="2" s="1"/>
  <c r="F292" i="2" a="1"/>
  <c r="F292" i="2" s="1"/>
  <c r="F293" i="2" a="1"/>
  <c r="F293" i="2" s="1"/>
  <c r="F294" i="2" a="1"/>
  <c r="F294" i="2" s="1"/>
  <c r="F295" i="2" a="1"/>
  <c r="F295" i="2" s="1"/>
  <c r="F296" i="2" a="1"/>
  <c r="F296" i="2" s="1"/>
  <c r="F297" i="2" a="1"/>
  <c r="F297" i="2" s="1"/>
  <c r="F298" i="2" a="1"/>
  <c r="F298" i="2" s="1"/>
  <c r="F299" i="2" a="1"/>
  <c r="F299" i="2" s="1"/>
  <c r="F300" i="2" a="1"/>
  <c r="F300" i="2" s="1"/>
  <c r="F301" i="2" a="1"/>
  <c r="F301" i="2" s="1"/>
  <c r="F302" i="2" a="1"/>
  <c r="F302" i="2" s="1"/>
  <c r="F303" i="2" a="1"/>
  <c r="F303" i="2" s="1"/>
  <c r="F304" i="2" a="1"/>
  <c r="F304" i="2" s="1"/>
  <c r="F305" i="2" a="1"/>
  <c r="F305" i="2" s="1"/>
  <c r="F306" i="2" a="1"/>
  <c r="F306" i="2" s="1"/>
  <c r="F307" i="2" a="1"/>
  <c r="F307" i="2" s="1"/>
  <c r="F308" i="2" a="1"/>
  <c r="F308" i="2" s="1"/>
  <c r="F309" i="2" a="1"/>
  <c r="F309" i="2" s="1"/>
  <c r="F310" i="2" a="1"/>
  <c r="F310" i="2" s="1"/>
  <c r="F311" i="2" a="1"/>
  <c r="F311" i="2" s="1"/>
  <c r="F312" i="2" a="1"/>
  <c r="F312" i="2" s="1"/>
  <c r="F313" i="2" a="1"/>
  <c r="F313" i="2" s="1"/>
  <c r="F314" i="2" a="1"/>
  <c r="F314" i="2" s="1"/>
  <c r="F315" i="2" a="1"/>
  <c r="F315" i="2" s="1"/>
  <c r="F316" i="2" a="1"/>
  <c r="F316" i="2" s="1"/>
  <c r="F317" i="2" a="1"/>
  <c r="F317" i="2" s="1"/>
  <c r="F318" i="2" a="1"/>
  <c r="F318" i="2" s="1"/>
  <c r="F319" i="2" a="1"/>
  <c r="F319" i="2" s="1"/>
  <c r="F320" i="2" a="1"/>
  <c r="F320" i="2" s="1"/>
  <c r="F321" i="2" a="1"/>
  <c r="F321" i="2" s="1"/>
  <c r="F322" i="2" a="1"/>
  <c r="F322" i="2" s="1"/>
  <c r="F323" i="2" a="1"/>
  <c r="F323" i="2" s="1"/>
  <c r="F324" i="2" a="1"/>
  <c r="F324" i="2" s="1"/>
  <c r="F325" i="2" a="1"/>
  <c r="F325" i="2" s="1"/>
  <c r="F326" i="2" a="1"/>
  <c r="F326" i="2" s="1"/>
  <c r="F327" i="2" a="1"/>
  <c r="F327" i="2" s="1"/>
  <c r="F328" i="2" a="1"/>
  <c r="F328" i="2" s="1"/>
  <c r="F329" i="2" a="1"/>
  <c r="F329" i="2" s="1"/>
  <c r="F330" i="2" a="1"/>
  <c r="F330" i="2" s="1"/>
  <c r="F331" i="2" a="1"/>
  <c r="F331" i="2" s="1"/>
  <c r="F332" i="2" a="1"/>
  <c r="F332" i="2" s="1"/>
  <c r="F333" i="2" a="1"/>
  <c r="F333" i="2" s="1"/>
  <c r="F334" i="2" a="1"/>
  <c r="F334" i="2" s="1"/>
  <c r="F335" i="2" a="1"/>
  <c r="F335" i="2" s="1"/>
  <c r="F336" i="2" a="1"/>
  <c r="F336" i="2" s="1"/>
  <c r="F337" i="2" a="1"/>
  <c r="F337" i="2" s="1"/>
  <c r="F338" i="2" a="1"/>
  <c r="F338" i="2" s="1"/>
  <c r="F339" i="2" a="1"/>
  <c r="F339" i="2" s="1"/>
  <c r="F340" i="2" a="1"/>
  <c r="F340" i="2" s="1"/>
  <c r="F341" i="2" a="1"/>
  <c r="F341" i="2" s="1"/>
  <c r="F342" i="2" a="1"/>
  <c r="F342" i="2" s="1"/>
  <c r="F343" i="2" a="1"/>
  <c r="F343" i="2" s="1"/>
  <c r="F344" i="2" a="1"/>
  <c r="F344" i="2" s="1"/>
  <c r="F345" i="2" a="1"/>
  <c r="F345" i="2" s="1"/>
  <c r="F346" i="2" a="1"/>
  <c r="F346" i="2" s="1"/>
  <c r="F347" i="2" a="1"/>
  <c r="F347" i="2" s="1"/>
  <c r="F348" i="2" a="1"/>
  <c r="F348" i="2" s="1"/>
  <c r="F349" i="2" a="1"/>
  <c r="F349" i="2" s="1"/>
  <c r="F350" i="2" a="1"/>
  <c r="F350" i="2" s="1"/>
  <c r="F351" i="2" a="1"/>
  <c r="F351" i="2" s="1"/>
  <c r="F352" i="2" a="1"/>
  <c r="F352" i="2" s="1"/>
  <c r="F353" i="2" a="1"/>
  <c r="F353" i="2" s="1"/>
  <c r="F354" i="2" a="1"/>
  <c r="F354" i="2" s="1"/>
  <c r="F355" i="2" a="1"/>
  <c r="F355" i="2" s="1"/>
  <c r="F356" i="2" a="1"/>
  <c r="F356" i="2" s="1"/>
  <c r="F357" i="2" a="1"/>
  <c r="F357" i="2" s="1"/>
  <c r="F358" i="2" a="1"/>
  <c r="F358" i="2" s="1"/>
  <c r="F359" i="2" a="1"/>
  <c r="F359" i="2" s="1"/>
  <c r="F360" i="2" a="1"/>
  <c r="F360" i="2" s="1"/>
  <c r="F361" i="2" a="1"/>
  <c r="F361" i="2" s="1"/>
  <c r="F362" i="2" a="1"/>
  <c r="F362" i="2" s="1"/>
  <c r="F363" i="2" a="1"/>
  <c r="F363" i="2" s="1"/>
  <c r="F364" i="2" a="1"/>
  <c r="F364" i="2" s="1"/>
  <c r="F365" i="2" a="1"/>
  <c r="F365" i="2" s="1"/>
  <c r="F366" i="2" a="1"/>
  <c r="F366" i="2" s="1"/>
  <c r="F367" i="2" a="1"/>
  <c r="F367" i="2" s="1"/>
  <c r="F368" i="2" a="1"/>
  <c r="F368" i="2" s="1"/>
  <c r="F369" i="2" a="1"/>
  <c r="F369" i="2" s="1"/>
  <c r="F370" i="2" a="1"/>
  <c r="F370" i="2" s="1"/>
  <c r="F371" i="2" a="1"/>
  <c r="F371" i="2" s="1"/>
  <c r="F372" i="2" a="1"/>
  <c r="F372" i="2" s="1"/>
  <c r="F373" i="2" a="1"/>
  <c r="F373" i="2" s="1"/>
  <c r="F374" i="2" a="1"/>
  <c r="F374" i="2" s="1"/>
  <c r="F375" i="2" a="1"/>
  <c r="F375" i="2" s="1"/>
  <c r="F376" i="2" a="1"/>
  <c r="F376" i="2" s="1"/>
  <c r="F377" i="2" a="1"/>
  <c r="F377" i="2" s="1"/>
  <c r="F378" i="2" a="1"/>
  <c r="F378" i="2" s="1"/>
  <c r="F379" i="2" a="1"/>
  <c r="F379" i="2" s="1"/>
  <c r="F380" i="2" a="1"/>
  <c r="F380" i="2" s="1"/>
  <c r="F381" i="2" a="1"/>
  <c r="F381" i="2" s="1"/>
  <c r="F382" i="2" a="1"/>
  <c r="F382" i="2" s="1"/>
  <c r="F383" i="2" a="1"/>
  <c r="F383" i="2" s="1"/>
  <c r="F384" i="2" a="1"/>
  <c r="F384" i="2" s="1"/>
  <c r="F385" i="2" a="1"/>
  <c r="F385" i="2" s="1"/>
  <c r="F386" i="2" a="1"/>
  <c r="F386" i="2" s="1"/>
  <c r="F387" i="2" a="1"/>
  <c r="F387" i="2" s="1"/>
  <c r="F388" i="2" a="1"/>
  <c r="F388" i="2" s="1"/>
  <c r="F389" i="2" a="1"/>
  <c r="F389" i="2" s="1"/>
  <c r="F390" i="2" a="1"/>
  <c r="F390" i="2" s="1"/>
  <c r="F391" i="2" a="1"/>
  <c r="F391" i="2" s="1"/>
  <c r="F392" i="2" a="1"/>
  <c r="F392" i="2" s="1"/>
  <c r="F393" i="2" a="1"/>
  <c r="F393" i="2" s="1"/>
  <c r="F394" i="2" a="1"/>
  <c r="F394" i="2" s="1"/>
  <c r="F395" i="2" a="1"/>
  <c r="F395" i="2" s="1"/>
  <c r="F396" i="2" a="1"/>
  <c r="F396" i="2" s="1"/>
  <c r="F397" i="2" a="1"/>
  <c r="F397" i="2" s="1"/>
  <c r="F398" i="2" a="1"/>
  <c r="F398" i="2" s="1"/>
  <c r="F399" i="2" a="1"/>
  <c r="F399" i="2" s="1"/>
  <c r="F400" i="2" a="1"/>
  <c r="F400" i="2" s="1"/>
  <c r="F401" i="2" a="1"/>
  <c r="F401" i="2" s="1"/>
  <c r="F402" i="2" a="1"/>
  <c r="F402" i="2" s="1"/>
  <c r="F403" i="2" a="1"/>
  <c r="F403" i="2" s="1"/>
  <c r="F404" i="2" a="1"/>
  <c r="F404" i="2" s="1"/>
  <c r="F405" i="2" a="1"/>
  <c r="F405" i="2" s="1"/>
  <c r="F406" i="2" a="1"/>
  <c r="F406" i="2" s="1"/>
  <c r="F407" i="2" a="1"/>
  <c r="F407" i="2" s="1"/>
  <c r="F408" i="2" a="1"/>
  <c r="F408" i="2" s="1"/>
  <c r="F409" i="2" a="1"/>
  <c r="F409" i="2" s="1"/>
  <c r="F410" i="2" a="1"/>
  <c r="F410" i="2" s="1"/>
  <c r="F411" i="2" a="1"/>
  <c r="F411" i="2" s="1"/>
  <c r="F412" i="2" a="1"/>
  <c r="F412" i="2" s="1"/>
  <c r="F413" i="2" a="1"/>
  <c r="F413" i="2" s="1"/>
  <c r="F414" i="2" a="1"/>
  <c r="F414" i="2" s="1"/>
  <c r="F415" i="2" a="1"/>
  <c r="F415" i="2" s="1"/>
  <c r="F416" i="2" a="1"/>
  <c r="F416" i="2" s="1"/>
  <c r="F417" i="2" a="1"/>
  <c r="F417" i="2" s="1"/>
  <c r="F418" i="2" a="1"/>
  <c r="F418" i="2" s="1"/>
  <c r="F419" i="2" a="1"/>
  <c r="F419" i="2" s="1"/>
  <c r="F420" i="2" a="1"/>
  <c r="F420" i="2" s="1"/>
  <c r="F421" i="2" a="1"/>
  <c r="F421" i="2" s="1"/>
  <c r="F422" i="2" a="1"/>
  <c r="F422" i="2" s="1"/>
  <c r="F423" i="2" a="1"/>
  <c r="F423" i="2" s="1"/>
  <c r="F424" i="2" a="1"/>
  <c r="F424" i="2" s="1"/>
  <c r="F425" i="2" a="1"/>
  <c r="F425" i="2" s="1"/>
  <c r="F426" i="2" a="1"/>
  <c r="F426" i="2" s="1"/>
  <c r="F427" i="2" a="1"/>
  <c r="F427" i="2" s="1"/>
  <c r="F428" i="2" a="1"/>
  <c r="F428" i="2" s="1"/>
  <c r="F429" i="2" a="1"/>
  <c r="F429" i="2" s="1"/>
  <c r="F430" i="2" a="1"/>
  <c r="F430" i="2" s="1"/>
  <c r="F431" i="2" a="1"/>
  <c r="F431" i="2" s="1"/>
  <c r="F432" i="2" a="1"/>
  <c r="F432" i="2" s="1"/>
  <c r="F433" i="2" a="1"/>
  <c r="F433" i="2" s="1"/>
  <c r="F434" i="2" a="1"/>
  <c r="F434" i="2" s="1"/>
  <c r="F435" i="2" a="1"/>
  <c r="F435" i="2" s="1"/>
  <c r="F436" i="2" a="1"/>
  <c r="F436" i="2" s="1"/>
  <c r="F437" i="2" a="1"/>
  <c r="F437" i="2" s="1"/>
  <c r="F438" i="2" a="1"/>
  <c r="F438" i="2" s="1"/>
  <c r="F439" i="2" a="1"/>
  <c r="F439" i="2" s="1"/>
  <c r="F440" i="2" a="1"/>
  <c r="F440" i="2" s="1"/>
  <c r="F441" i="2" a="1"/>
  <c r="F441" i="2" s="1"/>
  <c r="F442" i="2" a="1"/>
  <c r="F442" i="2" s="1"/>
  <c r="F443" i="2" a="1"/>
  <c r="F443" i="2" s="1"/>
  <c r="F444" i="2" a="1"/>
  <c r="F444" i="2" s="1"/>
  <c r="F445" i="2" a="1"/>
  <c r="F445" i="2" s="1"/>
  <c r="F446" i="2" a="1"/>
  <c r="F446" i="2" s="1"/>
  <c r="F447" i="2" a="1"/>
  <c r="F447" i="2" s="1"/>
  <c r="F448" i="2" a="1"/>
  <c r="F448" i="2" s="1"/>
  <c r="F449" i="2" a="1"/>
  <c r="F449" i="2" s="1"/>
  <c r="F450" i="2" a="1"/>
  <c r="F450" i="2" s="1"/>
  <c r="F451" i="2" a="1"/>
  <c r="F451" i="2" s="1"/>
  <c r="F452" i="2" a="1"/>
  <c r="F452" i="2" s="1"/>
  <c r="F453" i="2" a="1"/>
  <c r="F453" i="2" s="1"/>
  <c r="F454" i="2" a="1"/>
  <c r="F454" i="2" s="1"/>
  <c r="F455" i="2" a="1"/>
  <c r="F455" i="2" s="1"/>
  <c r="F456" i="2" a="1"/>
  <c r="F456" i="2" s="1"/>
  <c r="F457" i="2" a="1"/>
  <c r="F457" i="2" s="1"/>
  <c r="F458" i="2" a="1"/>
  <c r="F458" i="2" s="1"/>
  <c r="F459" i="2" a="1"/>
  <c r="F459" i="2" s="1"/>
  <c r="F460" i="2" a="1"/>
  <c r="F460" i="2" s="1"/>
  <c r="F461" i="2" a="1"/>
  <c r="F461" i="2" s="1"/>
  <c r="F462" i="2" a="1"/>
  <c r="F462" i="2" s="1"/>
  <c r="F463" i="2" a="1"/>
  <c r="F463" i="2" s="1"/>
  <c r="F464" i="2" a="1"/>
  <c r="F464" i="2" s="1"/>
  <c r="F465" i="2" a="1"/>
  <c r="F465" i="2" s="1"/>
  <c r="F466" i="2" a="1"/>
  <c r="F466" i="2" s="1"/>
  <c r="F467" i="2" a="1"/>
  <c r="F467" i="2" s="1"/>
  <c r="F468" i="2" a="1"/>
  <c r="F468" i="2" s="1"/>
  <c r="F469" i="2" a="1"/>
  <c r="F469" i="2" s="1"/>
  <c r="F470" i="2" a="1"/>
  <c r="F470" i="2" s="1"/>
  <c r="F471" i="2" a="1"/>
  <c r="F471" i="2" s="1"/>
  <c r="F472" i="2" a="1"/>
  <c r="F472" i="2" s="1"/>
  <c r="F473" i="2" a="1"/>
  <c r="F473" i="2" s="1"/>
  <c r="F474" i="2" a="1"/>
  <c r="F474" i="2" s="1"/>
  <c r="F475" i="2" a="1"/>
  <c r="F475" i="2" s="1"/>
  <c r="F476" i="2" a="1"/>
  <c r="F476" i="2" s="1"/>
  <c r="F477" i="2" a="1"/>
  <c r="F477" i="2" s="1"/>
  <c r="F478" i="2" a="1"/>
  <c r="F478" i="2" s="1"/>
  <c r="F479" i="2" a="1"/>
  <c r="F479" i="2" s="1"/>
  <c r="F480" i="2" a="1"/>
  <c r="F480" i="2" s="1"/>
  <c r="F481" i="2" a="1"/>
  <c r="F481" i="2" s="1"/>
  <c r="F482" i="2" a="1"/>
  <c r="F482" i="2" s="1"/>
  <c r="F483" i="2" a="1"/>
  <c r="F483" i="2" s="1"/>
  <c r="F484" i="2" a="1"/>
  <c r="F484" i="2" s="1"/>
  <c r="F485" i="2" a="1"/>
  <c r="F485" i="2" s="1"/>
  <c r="F486" i="2" a="1"/>
  <c r="F486" i="2" s="1"/>
  <c r="F487" i="2" a="1"/>
  <c r="F487" i="2" s="1"/>
  <c r="F488" i="2" a="1"/>
  <c r="F488" i="2" s="1"/>
  <c r="F489" i="2" a="1"/>
  <c r="F489" i="2" s="1"/>
  <c r="F490" i="2" a="1"/>
  <c r="F490" i="2" s="1"/>
  <c r="F491" i="2" a="1"/>
  <c r="F491" i="2" s="1"/>
  <c r="F492" i="2" a="1"/>
  <c r="F492" i="2" s="1"/>
  <c r="F493" i="2" a="1"/>
  <c r="F493" i="2" s="1"/>
  <c r="F494" i="2" a="1"/>
  <c r="F494" i="2" s="1"/>
  <c r="F495" i="2" a="1"/>
  <c r="F495" i="2" s="1"/>
  <c r="F496" i="2" a="1"/>
  <c r="F496" i="2" s="1"/>
  <c r="F497" i="2" a="1"/>
  <c r="F497" i="2" s="1"/>
  <c r="F498" i="2" a="1"/>
  <c r="F498" i="2" s="1"/>
  <c r="F499" i="2" a="1"/>
  <c r="F499" i="2" s="1"/>
  <c r="F500" i="2" a="1"/>
  <c r="F500" i="2" s="1"/>
  <c r="F501" i="2" a="1"/>
  <c r="F501" i="2" s="1"/>
  <c r="F502" i="2" a="1"/>
  <c r="F502" i="2" s="1"/>
  <c r="F503" i="2" a="1"/>
  <c r="F503" i="2" s="1"/>
  <c r="F504" i="2" a="1"/>
  <c r="F504" i="2" s="1"/>
  <c r="F505" i="2" a="1"/>
  <c r="F505" i="2" s="1"/>
  <c r="F506" i="2" a="1"/>
  <c r="F506" i="2" s="1"/>
  <c r="F507" i="2" a="1"/>
  <c r="F507" i="2" s="1"/>
  <c r="F508" i="2" a="1"/>
  <c r="F508" i="2" s="1"/>
  <c r="F509" i="2" a="1"/>
  <c r="F509" i="2" s="1"/>
  <c r="F510" i="2" a="1"/>
  <c r="F510" i="2" s="1"/>
  <c r="F511" i="2" a="1"/>
  <c r="F511" i="2" s="1"/>
  <c r="F512" i="2" a="1"/>
  <c r="F512" i="2" s="1"/>
  <c r="F513" i="2" a="1"/>
  <c r="F513" i="2" s="1"/>
  <c r="F514" i="2" a="1"/>
  <c r="F514" i="2" s="1"/>
  <c r="F515" i="2" a="1"/>
  <c r="F515" i="2" s="1"/>
  <c r="F516" i="2" a="1"/>
  <c r="F516" i="2" s="1"/>
  <c r="F517" i="2" a="1"/>
  <c r="F517" i="2" s="1"/>
  <c r="F518" i="2" a="1"/>
  <c r="F518" i="2" s="1"/>
  <c r="F519" i="2" a="1"/>
  <c r="F519" i="2" s="1"/>
  <c r="F520" i="2" a="1"/>
  <c r="F520" i="2" s="1"/>
  <c r="F521" i="2" a="1"/>
  <c r="F521" i="2" s="1"/>
  <c r="F522" i="2" a="1"/>
  <c r="F522" i="2" s="1"/>
  <c r="F523" i="2" a="1"/>
  <c r="F523" i="2" s="1"/>
  <c r="F524" i="2" a="1"/>
  <c r="F524" i="2" s="1"/>
  <c r="F525" i="2" a="1"/>
  <c r="F525" i="2" s="1"/>
  <c r="F526" i="2" a="1"/>
  <c r="F526" i="2" s="1"/>
  <c r="F527" i="2" a="1"/>
  <c r="F527" i="2" s="1"/>
  <c r="F528" i="2" a="1"/>
  <c r="F528" i="2" s="1"/>
  <c r="F529" i="2" a="1"/>
  <c r="F529" i="2" s="1"/>
  <c r="F530" i="2" a="1"/>
  <c r="F530" i="2" s="1"/>
  <c r="F531" i="2" a="1"/>
  <c r="F531" i="2" s="1"/>
  <c r="F532" i="2" a="1"/>
  <c r="F532" i="2" s="1"/>
  <c r="F533" i="2" a="1"/>
  <c r="F533" i="2" s="1"/>
  <c r="F534" i="2" a="1"/>
  <c r="F534" i="2" s="1"/>
  <c r="F535" i="2" a="1"/>
  <c r="F535" i="2" s="1"/>
  <c r="F536" i="2" a="1"/>
  <c r="F536" i="2" s="1"/>
  <c r="F537" i="2" a="1"/>
  <c r="F537" i="2" s="1"/>
  <c r="F538" i="2" a="1"/>
  <c r="F538" i="2" s="1"/>
  <c r="F539" i="2" a="1"/>
  <c r="F539" i="2" s="1"/>
  <c r="F540" i="2" a="1"/>
  <c r="F540" i="2" s="1"/>
  <c r="F541" i="2" a="1"/>
  <c r="F541" i="2" s="1"/>
  <c r="F542" i="2" a="1"/>
  <c r="F542" i="2" s="1"/>
  <c r="F543" i="2" a="1"/>
  <c r="F543" i="2" s="1"/>
  <c r="F544" i="2" a="1"/>
  <c r="F544" i="2" s="1"/>
  <c r="F545" i="2" a="1"/>
  <c r="F545" i="2" s="1"/>
  <c r="F546" i="2" a="1"/>
  <c r="F546" i="2" s="1"/>
  <c r="F547" i="2" a="1"/>
  <c r="F547" i="2" s="1"/>
  <c r="F548" i="2" a="1"/>
  <c r="F548" i="2" s="1"/>
  <c r="F549" i="2" a="1"/>
  <c r="F549" i="2" s="1"/>
  <c r="F550" i="2" a="1"/>
  <c r="F550" i="2" s="1"/>
  <c r="F551" i="2" a="1"/>
  <c r="F551" i="2" s="1"/>
  <c r="F552" i="2" a="1"/>
  <c r="F552" i="2" s="1"/>
  <c r="F553" i="2" a="1"/>
  <c r="F553" i="2" s="1"/>
  <c r="F554" i="2" a="1"/>
  <c r="F554" i="2" s="1"/>
  <c r="F555" i="2" a="1"/>
  <c r="F555" i="2" s="1"/>
  <c r="F556" i="2" a="1"/>
  <c r="F556" i="2" s="1"/>
  <c r="F557" i="2" a="1"/>
  <c r="F557" i="2" s="1"/>
  <c r="F558" i="2" a="1"/>
  <c r="F558" i="2" s="1"/>
  <c r="F559" i="2" a="1"/>
  <c r="F559" i="2" s="1"/>
  <c r="F560" i="2" a="1"/>
  <c r="F560" i="2" s="1"/>
  <c r="F561" i="2" a="1"/>
  <c r="F561" i="2" s="1"/>
  <c r="F562" i="2" a="1"/>
  <c r="F562" i="2" s="1"/>
  <c r="F563" i="2" a="1"/>
  <c r="F563" i="2" s="1"/>
  <c r="F564" i="2" a="1"/>
  <c r="F564" i="2" s="1"/>
  <c r="F565" i="2" a="1"/>
  <c r="F565" i="2" s="1"/>
  <c r="F566" i="2" a="1"/>
  <c r="F566" i="2" s="1"/>
  <c r="F567" i="2" a="1"/>
  <c r="F567" i="2" s="1"/>
  <c r="F568" i="2" a="1"/>
  <c r="F568" i="2" s="1"/>
  <c r="F569" i="2" a="1"/>
  <c r="F569" i="2" s="1"/>
  <c r="F570" i="2" a="1"/>
  <c r="F570" i="2" s="1"/>
  <c r="F571" i="2" a="1"/>
  <c r="F571" i="2" s="1"/>
  <c r="F572" i="2" a="1"/>
  <c r="F572" i="2" s="1"/>
  <c r="F573" i="2" a="1"/>
  <c r="F573" i="2" s="1"/>
  <c r="F574" i="2" a="1"/>
  <c r="F574" i="2" s="1"/>
  <c r="F575" i="2" a="1"/>
  <c r="F575" i="2" s="1"/>
  <c r="F576" i="2" a="1"/>
  <c r="F576" i="2" s="1"/>
  <c r="F577" i="2" a="1"/>
  <c r="F577" i="2" s="1"/>
  <c r="F578" i="2" a="1"/>
  <c r="F578" i="2" s="1"/>
  <c r="F579" i="2" a="1"/>
  <c r="F579" i="2" s="1"/>
  <c r="F580" i="2" a="1"/>
  <c r="F580" i="2" s="1"/>
  <c r="F581" i="2" a="1"/>
  <c r="F581" i="2" s="1"/>
  <c r="F582" i="2" a="1"/>
  <c r="F582" i="2" s="1"/>
  <c r="F583" i="2" a="1"/>
  <c r="F583" i="2" s="1"/>
  <c r="F584" i="2" a="1"/>
  <c r="F584" i="2" s="1"/>
  <c r="F585" i="2" a="1"/>
  <c r="F585" i="2" s="1"/>
  <c r="F586" i="2" a="1"/>
  <c r="F586" i="2" s="1"/>
  <c r="F587" i="2" a="1"/>
  <c r="F587" i="2" s="1"/>
  <c r="F588" i="2" a="1"/>
  <c r="F588" i="2" s="1"/>
  <c r="F589" i="2" a="1"/>
  <c r="F589" i="2" s="1"/>
  <c r="F590" i="2" a="1"/>
  <c r="F590" i="2" s="1"/>
  <c r="F591" i="2" a="1"/>
  <c r="F591" i="2" s="1"/>
  <c r="F592" i="2" a="1"/>
  <c r="F592" i="2" s="1"/>
  <c r="F593" i="2" a="1"/>
  <c r="F593" i="2" s="1"/>
  <c r="F594" i="2" a="1"/>
  <c r="F594" i="2" s="1"/>
  <c r="F595" i="2" a="1"/>
  <c r="F595" i="2" s="1"/>
  <c r="F596" i="2" a="1"/>
  <c r="F596" i="2" s="1"/>
  <c r="F597" i="2" a="1"/>
  <c r="F597" i="2" s="1"/>
  <c r="F598" i="2" a="1"/>
  <c r="F598" i="2" s="1"/>
  <c r="F599" i="2" a="1"/>
  <c r="F599" i="2" s="1"/>
  <c r="F600" i="2" a="1"/>
  <c r="F600" i="2" s="1"/>
  <c r="F601" i="2" a="1"/>
  <c r="F601" i="2" s="1"/>
  <c r="F602" i="2" a="1"/>
  <c r="F602" i="2" s="1"/>
  <c r="F603" i="2" a="1"/>
  <c r="F603" i="2" s="1"/>
  <c r="F604" i="2" a="1"/>
  <c r="F604" i="2" s="1"/>
  <c r="F605" i="2" a="1"/>
  <c r="F605" i="2" s="1"/>
  <c r="F606" i="2" a="1"/>
  <c r="F606" i="2" s="1"/>
  <c r="F607" i="2" a="1"/>
  <c r="F607" i="2" s="1"/>
  <c r="F608" i="2" a="1"/>
  <c r="F608" i="2" s="1"/>
  <c r="F609" i="2" a="1"/>
  <c r="F609" i="2" s="1"/>
  <c r="F610" i="2" a="1"/>
  <c r="F610" i="2" s="1"/>
  <c r="F611" i="2" a="1"/>
  <c r="F611" i="2" s="1"/>
  <c r="F612" i="2" a="1"/>
  <c r="F612" i="2" s="1"/>
  <c r="F613" i="2" a="1"/>
  <c r="F613" i="2" s="1"/>
  <c r="F614" i="2" a="1"/>
  <c r="F614" i="2" s="1"/>
  <c r="F615" i="2" a="1"/>
  <c r="F615" i="2" s="1"/>
  <c r="F616" i="2" a="1"/>
  <c r="F616" i="2" s="1"/>
  <c r="F617" i="2" a="1"/>
  <c r="F617" i="2" s="1"/>
  <c r="F618" i="2" a="1"/>
  <c r="F618" i="2" s="1"/>
  <c r="F619" i="2" a="1"/>
  <c r="F619" i="2" s="1"/>
  <c r="F620" i="2" a="1"/>
  <c r="F620" i="2" s="1"/>
  <c r="F621" i="2" a="1"/>
  <c r="F621" i="2" s="1"/>
  <c r="F622" i="2" a="1"/>
  <c r="F622" i="2" s="1"/>
  <c r="F623" i="2" a="1"/>
  <c r="F623" i="2" s="1"/>
  <c r="F624" i="2" a="1"/>
  <c r="F624" i="2" s="1"/>
  <c r="F625" i="2" a="1"/>
  <c r="F625" i="2" s="1"/>
  <c r="F626" i="2" a="1"/>
  <c r="F626" i="2" s="1"/>
  <c r="F627" i="2" a="1"/>
  <c r="F627" i="2" s="1"/>
  <c r="F628" i="2" a="1"/>
  <c r="F628" i="2" s="1"/>
  <c r="F629" i="2" a="1"/>
  <c r="F629" i="2" s="1"/>
  <c r="F630" i="2" a="1"/>
  <c r="F630" i="2" s="1"/>
  <c r="F631" i="2" a="1"/>
  <c r="F631" i="2" s="1"/>
  <c r="F632" i="2" a="1"/>
  <c r="F632" i="2" s="1"/>
  <c r="F633" i="2" a="1"/>
  <c r="F633" i="2" s="1"/>
  <c r="F634" i="2" a="1"/>
  <c r="F634" i="2" s="1"/>
  <c r="F635" i="2" a="1"/>
  <c r="F635" i="2" s="1"/>
  <c r="F636" i="2" a="1"/>
  <c r="F636" i="2" s="1"/>
  <c r="F637" i="2" a="1"/>
  <c r="F637" i="2" s="1"/>
  <c r="F638" i="2" a="1"/>
  <c r="F638" i="2" s="1"/>
  <c r="F639" i="2" a="1"/>
  <c r="F639" i="2" s="1"/>
  <c r="F640" i="2" a="1"/>
  <c r="F640" i="2" s="1"/>
  <c r="F641" i="2" a="1"/>
  <c r="F641" i="2" s="1"/>
  <c r="F642" i="2" a="1"/>
  <c r="F642" i="2" s="1"/>
  <c r="F643" i="2" a="1"/>
  <c r="F643" i="2" s="1"/>
  <c r="F644" i="2" a="1"/>
  <c r="F644" i="2" s="1"/>
  <c r="F645" i="2" a="1"/>
  <c r="F645" i="2" s="1"/>
  <c r="F646" i="2" a="1"/>
  <c r="F646" i="2" s="1"/>
  <c r="F647" i="2" a="1"/>
  <c r="F647" i="2" s="1"/>
  <c r="F648" i="2" a="1"/>
  <c r="F648" i="2" s="1"/>
  <c r="F649" i="2" a="1"/>
  <c r="F649" i="2" s="1"/>
  <c r="F650" i="2" a="1"/>
  <c r="F650" i="2" s="1"/>
  <c r="F651" i="2" a="1"/>
  <c r="F651" i="2" s="1"/>
  <c r="F652" i="2" a="1"/>
  <c r="F652" i="2" s="1"/>
  <c r="F653" i="2" a="1"/>
  <c r="F653" i="2" s="1"/>
  <c r="F654" i="2" a="1"/>
  <c r="F654" i="2" s="1"/>
  <c r="F655" i="2" a="1"/>
  <c r="F655" i="2" s="1"/>
  <c r="F656" i="2" a="1"/>
  <c r="F656" i="2" s="1"/>
  <c r="F657" i="2" a="1"/>
  <c r="F657" i="2" s="1"/>
  <c r="F658" i="2" a="1"/>
  <c r="F658" i="2" s="1"/>
  <c r="F659" i="2" a="1"/>
  <c r="F659" i="2" s="1"/>
  <c r="F660" i="2" a="1"/>
  <c r="F660" i="2" s="1"/>
  <c r="F661" i="2" a="1"/>
  <c r="F661" i="2" s="1"/>
  <c r="F662" i="2" a="1"/>
  <c r="F662" i="2" s="1"/>
  <c r="F663" i="2" a="1"/>
  <c r="F663" i="2" s="1"/>
  <c r="F664" i="2" a="1"/>
  <c r="F664" i="2" s="1"/>
  <c r="F665" i="2" a="1"/>
  <c r="F665" i="2" s="1"/>
  <c r="F666" i="2" a="1"/>
  <c r="F666" i="2" s="1"/>
  <c r="F667" i="2" a="1"/>
  <c r="F667" i="2" s="1"/>
  <c r="F668" i="2" a="1"/>
  <c r="F668" i="2" s="1"/>
  <c r="F669" i="2" a="1"/>
  <c r="F669" i="2" s="1"/>
  <c r="F670" i="2" a="1"/>
  <c r="F670" i="2" s="1"/>
  <c r="F671" i="2" a="1"/>
  <c r="F671" i="2" s="1"/>
  <c r="F672" i="2" a="1"/>
  <c r="F672" i="2" s="1"/>
  <c r="F673" i="2" a="1"/>
  <c r="F673" i="2" s="1"/>
  <c r="F674" i="2" a="1"/>
  <c r="F674" i="2" s="1"/>
  <c r="F675" i="2" a="1"/>
  <c r="F675" i="2" s="1"/>
  <c r="F676" i="2" a="1"/>
  <c r="F676" i="2" s="1"/>
  <c r="F677" i="2" a="1"/>
  <c r="F677" i="2" s="1"/>
  <c r="F678" i="2" a="1"/>
  <c r="F678" i="2" s="1"/>
  <c r="F679" i="2" a="1"/>
  <c r="F679" i="2" s="1"/>
  <c r="F680" i="2" a="1"/>
  <c r="F680" i="2" s="1"/>
  <c r="F681" i="2" a="1"/>
  <c r="F681" i="2" s="1"/>
  <c r="F682" i="2" a="1"/>
  <c r="F682" i="2" s="1"/>
  <c r="F683" i="2" a="1"/>
  <c r="F683" i="2" s="1"/>
  <c r="F684" i="2" a="1"/>
  <c r="F684" i="2" s="1"/>
  <c r="F685" i="2" a="1"/>
  <c r="F685" i="2" s="1"/>
  <c r="F686" i="2" a="1"/>
  <c r="F686" i="2" s="1"/>
  <c r="F687" i="2" a="1"/>
  <c r="F687" i="2" s="1"/>
  <c r="F688" i="2" a="1"/>
  <c r="F688" i="2" s="1"/>
  <c r="F689" i="2" a="1"/>
  <c r="F689" i="2" s="1"/>
  <c r="F690" i="2" a="1"/>
  <c r="F690" i="2" s="1"/>
  <c r="F691" i="2" a="1"/>
  <c r="F691" i="2" s="1"/>
  <c r="F692" i="2" a="1"/>
  <c r="F692" i="2" s="1"/>
  <c r="F693" i="2" a="1"/>
  <c r="F693" i="2" s="1"/>
  <c r="F694" i="2" a="1"/>
  <c r="F694" i="2" s="1"/>
  <c r="F695" i="2" a="1"/>
  <c r="F695" i="2" s="1"/>
  <c r="F696" i="2" a="1"/>
  <c r="F696" i="2" s="1"/>
  <c r="F697" i="2" a="1"/>
  <c r="F697" i="2" s="1"/>
  <c r="F698" i="2" a="1"/>
  <c r="F698" i="2" s="1"/>
  <c r="F699" i="2" a="1"/>
  <c r="F699" i="2" s="1"/>
  <c r="F700" i="2" a="1"/>
  <c r="F700" i="2" s="1"/>
  <c r="F701" i="2" a="1"/>
  <c r="F701" i="2" s="1"/>
  <c r="F702" i="2" a="1"/>
  <c r="F702" i="2" s="1"/>
  <c r="F703" i="2" a="1"/>
  <c r="F703" i="2" s="1"/>
  <c r="F704" i="2" a="1"/>
  <c r="F704" i="2" s="1"/>
  <c r="F705" i="2" a="1"/>
  <c r="F705" i="2" s="1"/>
  <c r="F706" i="2" a="1"/>
  <c r="F706" i="2" s="1"/>
  <c r="F707" i="2" a="1"/>
  <c r="F707" i="2" s="1"/>
  <c r="F708" i="2" a="1"/>
  <c r="F708" i="2" s="1"/>
  <c r="F709" i="2" a="1"/>
  <c r="F709" i="2" s="1"/>
  <c r="F710" i="2" a="1"/>
  <c r="F710" i="2" s="1"/>
  <c r="F711" i="2" a="1"/>
  <c r="F711" i="2" s="1"/>
  <c r="F712" i="2" a="1"/>
  <c r="F712" i="2" s="1"/>
  <c r="F713" i="2" a="1"/>
  <c r="F713" i="2" s="1"/>
  <c r="F714" i="2" a="1"/>
  <c r="F714" i="2" s="1"/>
  <c r="F715" i="2" a="1"/>
  <c r="F715" i="2" s="1"/>
  <c r="F716" i="2" a="1"/>
  <c r="F716" i="2" s="1"/>
  <c r="F717" i="2" a="1"/>
  <c r="F717" i="2" s="1"/>
  <c r="F718" i="2" a="1"/>
  <c r="F718" i="2" s="1"/>
  <c r="F719" i="2" a="1"/>
  <c r="F719" i="2" s="1"/>
  <c r="F720" i="2" a="1"/>
  <c r="F720" i="2" s="1"/>
  <c r="F721" i="2" a="1"/>
  <c r="F721" i="2" s="1"/>
  <c r="F722" i="2" a="1"/>
  <c r="F722" i="2" s="1"/>
  <c r="F723" i="2" a="1"/>
  <c r="F723" i="2" s="1"/>
  <c r="F724" i="2" a="1"/>
  <c r="F724" i="2" s="1"/>
  <c r="F725" i="2" a="1"/>
  <c r="F725" i="2" s="1"/>
  <c r="F726" i="2" a="1"/>
  <c r="F726" i="2" s="1"/>
  <c r="F727" i="2" a="1"/>
  <c r="F727" i="2" s="1"/>
  <c r="F728" i="2" a="1"/>
  <c r="F728" i="2" s="1"/>
  <c r="F729" i="2" a="1"/>
  <c r="F729" i="2" s="1"/>
  <c r="F730" i="2" a="1"/>
  <c r="F730" i="2" s="1"/>
  <c r="F731" i="2" a="1"/>
  <c r="F731" i="2" s="1"/>
  <c r="F732" i="2" a="1"/>
  <c r="F732" i="2" s="1"/>
  <c r="F733" i="2" a="1"/>
  <c r="F733" i="2" s="1"/>
  <c r="F734" i="2" a="1"/>
  <c r="F734" i="2" s="1"/>
  <c r="F735" i="2" a="1"/>
  <c r="F735" i="2" s="1"/>
  <c r="F736" i="2" a="1"/>
  <c r="F736" i="2" s="1"/>
  <c r="F737" i="2" a="1"/>
  <c r="F737" i="2" s="1"/>
  <c r="F738" i="2" a="1"/>
  <c r="F738" i="2" s="1"/>
  <c r="F739" i="2" a="1"/>
  <c r="F739" i="2" s="1"/>
  <c r="F740" i="2" a="1"/>
  <c r="F740" i="2" s="1"/>
  <c r="F741" i="2" a="1"/>
  <c r="F741" i="2" s="1"/>
  <c r="F742" i="2" a="1"/>
  <c r="F742" i="2" s="1"/>
  <c r="F743" i="2" a="1"/>
  <c r="F743" i="2" s="1"/>
  <c r="F744" i="2" a="1"/>
  <c r="F744" i="2" s="1"/>
  <c r="F745" i="2" a="1"/>
  <c r="F745" i="2" s="1"/>
  <c r="F746" i="2" a="1"/>
  <c r="F746" i="2" s="1"/>
  <c r="F747" i="2" a="1"/>
  <c r="F747" i="2" s="1"/>
  <c r="F748" i="2" a="1"/>
  <c r="F748" i="2" s="1"/>
  <c r="F749" i="2" a="1"/>
  <c r="F749" i="2" s="1"/>
  <c r="F750" i="2" a="1"/>
  <c r="F750" i="2" s="1"/>
  <c r="F751" i="2" a="1"/>
  <c r="F751" i="2" s="1"/>
  <c r="F752" i="2" a="1"/>
  <c r="F752" i="2" s="1"/>
  <c r="F753" i="2" a="1"/>
  <c r="F753" i="2" s="1"/>
  <c r="F754" i="2" a="1"/>
  <c r="F754" i="2" s="1"/>
  <c r="F755" i="2" a="1"/>
  <c r="F755" i="2" s="1"/>
  <c r="F756" i="2" a="1"/>
  <c r="F756" i="2" s="1"/>
  <c r="F757" i="2" a="1"/>
  <c r="F757" i="2" s="1"/>
  <c r="F758" i="2" a="1"/>
  <c r="F758" i="2" s="1"/>
  <c r="F759" i="2" a="1"/>
  <c r="F759" i="2" s="1"/>
  <c r="F760" i="2" a="1"/>
  <c r="F760" i="2" s="1"/>
  <c r="F761" i="2" a="1"/>
  <c r="F761" i="2" s="1"/>
  <c r="F762" i="2" a="1"/>
  <c r="F762" i="2" s="1"/>
  <c r="F763" i="2" a="1"/>
  <c r="F763" i="2" s="1"/>
  <c r="F764" i="2" a="1"/>
  <c r="F764" i="2" s="1"/>
  <c r="F765" i="2" a="1"/>
  <c r="F765" i="2" s="1"/>
  <c r="F766" i="2" a="1"/>
  <c r="F766" i="2" s="1"/>
  <c r="F767" i="2" a="1"/>
  <c r="F767" i="2" s="1"/>
  <c r="F768" i="2" a="1"/>
  <c r="F768" i="2" s="1"/>
  <c r="F769" i="2" a="1"/>
  <c r="F769" i="2" s="1"/>
  <c r="F770" i="2" a="1"/>
  <c r="F770" i="2" s="1"/>
  <c r="F771" i="2" a="1"/>
  <c r="F771" i="2" s="1"/>
  <c r="F772" i="2" a="1"/>
  <c r="F772" i="2" s="1"/>
  <c r="F773" i="2" a="1"/>
  <c r="F773" i="2" s="1"/>
  <c r="F774" i="2" a="1"/>
  <c r="F774" i="2" s="1"/>
  <c r="F775" i="2" a="1"/>
  <c r="F775" i="2" s="1"/>
  <c r="F776" i="2" a="1"/>
  <c r="F776" i="2" s="1"/>
  <c r="F777" i="2" a="1"/>
  <c r="F777" i="2" s="1"/>
  <c r="F778" i="2" a="1"/>
  <c r="F778" i="2" s="1"/>
  <c r="F779" i="2" a="1"/>
  <c r="F779" i="2" s="1"/>
  <c r="F780" i="2" a="1"/>
  <c r="F780" i="2" s="1"/>
  <c r="F781" i="2" a="1"/>
  <c r="F781" i="2" s="1"/>
  <c r="F782" i="2" a="1"/>
  <c r="F782" i="2" s="1"/>
  <c r="F783" i="2" a="1"/>
  <c r="F783" i="2" s="1"/>
  <c r="F784" i="2" a="1"/>
  <c r="F784" i="2" s="1"/>
  <c r="F785" i="2" a="1"/>
  <c r="F785" i="2" s="1"/>
  <c r="F786" i="2" a="1"/>
  <c r="F786" i="2" s="1"/>
  <c r="F787" i="2" a="1"/>
  <c r="F787" i="2" s="1"/>
  <c r="F788" i="2" a="1"/>
  <c r="F788" i="2" s="1"/>
  <c r="F789" i="2" a="1"/>
  <c r="F789" i="2" s="1"/>
  <c r="F790" i="2" a="1"/>
  <c r="F790" i="2" s="1"/>
  <c r="F791" i="2" a="1"/>
  <c r="F791" i="2" s="1"/>
  <c r="F792" i="2" a="1"/>
  <c r="F792" i="2" s="1"/>
  <c r="F793" i="2" a="1"/>
  <c r="F793" i="2" s="1"/>
  <c r="F794" i="2" a="1"/>
  <c r="F794" i="2" s="1"/>
  <c r="F795" i="2" a="1"/>
  <c r="F795" i="2" s="1"/>
  <c r="F796" i="2" a="1"/>
  <c r="F796" i="2" s="1"/>
  <c r="F797" i="2" a="1"/>
  <c r="F797" i="2" s="1"/>
  <c r="F798" i="2" a="1"/>
  <c r="F798" i="2" s="1"/>
  <c r="F799" i="2" a="1"/>
  <c r="F799" i="2" s="1"/>
  <c r="F800" i="2" a="1"/>
  <c r="F800" i="2" s="1"/>
  <c r="F801" i="2" a="1"/>
  <c r="F801" i="2" s="1"/>
  <c r="F802" i="2" a="1"/>
  <c r="F802" i="2" s="1"/>
  <c r="F803" i="2" a="1"/>
  <c r="F803" i="2" s="1"/>
  <c r="F804" i="2" a="1"/>
  <c r="F804" i="2" s="1"/>
  <c r="F805" i="2" a="1"/>
  <c r="F805" i="2" s="1"/>
  <c r="F806" i="2" a="1"/>
  <c r="F806" i="2" s="1"/>
  <c r="F807" i="2" a="1"/>
  <c r="F807" i="2" s="1"/>
  <c r="F808" i="2" a="1"/>
  <c r="F808" i="2" s="1"/>
  <c r="F809" i="2" a="1"/>
  <c r="F809" i="2" s="1"/>
  <c r="F810" i="2" a="1"/>
  <c r="F810" i="2" s="1"/>
  <c r="F811" i="2" a="1"/>
  <c r="F811" i="2" s="1"/>
  <c r="F812" i="2" a="1"/>
  <c r="F812" i="2" s="1"/>
  <c r="F813" i="2" a="1"/>
  <c r="F813" i="2" s="1"/>
  <c r="F814" i="2" a="1"/>
  <c r="F814" i="2" s="1"/>
  <c r="F815" i="2" a="1"/>
  <c r="F815" i="2" s="1"/>
  <c r="F816" i="2" a="1"/>
  <c r="F816" i="2" s="1"/>
  <c r="F817" i="2" a="1"/>
  <c r="F817" i="2" s="1"/>
  <c r="F818" i="2" a="1"/>
  <c r="F818" i="2" s="1"/>
  <c r="F819" i="2" a="1"/>
  <c r="F819" i="2" s="1"/>
  <c r="F820" i="2" a="1"/>
  <c r="F820" i="2" s="1"/>
  <c r="F821" i="2" a="1"/>
  <c r="F821" i="2" s="1"/>
  <c r="F822" i="2" a="1"/>
  <c r="F822" i="2" s="1"/>
  <c r="F823" i="2" a="1"/>
  <c r="F823" i="2" s="1"/>
  <c r="F824" i="2" a="1"/>
  <c r="F824" i="2" s="1"/>
  <c r="F825" i="2" a="1"/>
  <c r="F825" i="2" s="1"/>
  <c r="F826" i="2" a="1"/>
  <c r="F826" i="2" s="1"/>
  <c r="F827" i="2" a="1"/>
  <c r="F827" i="2" s="1"/>
  <c r="F828" i="2" a="1"/>
  <c r="F828" i="2" s="1"/>
  <c r="F829" i="2" a="1"/>
  <c r="F829" i="2" s="1"/>
  <c r="F830" i="2" a="1"/>
  <c r="F830" i="2" s="1"/>
  <c r="F831" i="2" a="1"/>
  <c r="F831" i="2" s="1"/>
  <c r="F832" i="2" a="1"/>
  <c r="F832" i="2" s="1"/>
  <c r="F833" i="2" a="1"/>
  <c r="F833" i="2" s="1"/>
  <c r="F834" i="2" a="1"/>
  <c r="F834" i="2" s="1"/>
  <c r="F835" i="2" a="1"/>
  <c r="F835" i="2" s="1"/>
  <c r="F836" i="2" a="1"/>
  <c r="F836" i="2" s="1"/>
  <c r="F837" i="2" a="1"/>
  <c r="F837" i="2" s="1"/>
  <c r="F838" i="2" a="1"/>
  <c r="F838" i="2" s="1"/>
  <c r="F839" i="2" a="1"/>
  <c r="F839" i="2" s="1"/>
  <c r="F840" i="2" a="1"/>
  <c r="F840" i="2" s="1"/>
  <c r="F841" i="2" a="1"/>
  <c r="F841" i="2" s="1"/>
  <c r="F842" i="2" a="1"/>
  <c r="F842" i="2" s="1"/>
  <c r="F843" i="2" a="1"/>
  <c r="F843" i="2" s="1"/>
  <c r="F844" i="2" a="1"/>
  <c r="F844" i="2" s="1"/>
  <c r="F845" i="2" a="1"/>
  <c r="F845" i="2" s="1"/>
  <c r="F846" i="2" a="1"/>
  <c r="F846" i="2" s="1"/>
  <c r="F847" i="2" a="1"/>
  <c r="F847" i="2" s="1"/>
  <c r="F848" i="2" a="1"/>
  <c r="F848" i="2" s="1"/>
  <c r="F849" i="2" a="1"/>
  <c r="F849" i="2" s="1"/>
  <c r="F850" i="2" a="1"/>
  <c r="F850" i="2" s="1"/>
  <c r="F851" i="2" a="1"/>
  <c r="F851" i="2" s="1"/>
  <c r="F852" i="2" a="1"/>
  <c r="F852" i="2" s="1"/>
  <c r="F853" i="2" a="1"/>
  <c r="F853" i="2" s="1"/>
  <c r="F854" i="2" a="1"/>
  <c r="F854" i="2" s="1"/>
  <c r="F855" i="2" a="1"/>
  <c r="F855" i="2" s="1"/>
  <c r="F856" i="2" a="1"/>
  <c r="F856" i="2" s="1"/>
  <c r="F857" i="2" a="1"/>
  <c r="F857" i="2" s="1"/>
  <c r="F858" i="2" a="1"/>
  <c r="F858" i="2" s="1"/>
  <c r="F859" i="2" a="1"/>
  <c r="F859" i="2" s="1"/>
  <c r="F860" i="2" a="1"/>
  <c r="F860" i="2" s="1"/>
  <c r="F861" i="2" a="1"/>
  <c r="F861" i="2" s="1"/>
  <c r="F862" i="2" a="1"/>
  <c r="F862" i="2" s="1"/>
  <c r="F863" i="2" a="1"/>
  <c r="F863" i="2" s="1"/>
  <c r="F864" i="2" a="1"/>
  <c r="F864" i="2" s="1"/>
  <c r="F865" i="2" a="1"/>
  <c r="F865" i="2" s="1"/>
  <c r="F866" i="2" a="1"/>
  <c r="F866" i="2" s="1"/>
  <c r="F867" i="2" a="1"/>
  <c r="F867" i="2" s="1"/>
  <c r="F868" i="2" a="1"/>
  <c r="F868" i="2" s="1"/>
  <c r="F869" i="2" a="1"/>
  <c r="F869" i="2" s="1"/>
  <c r="F870" i="2" a="1"/>
  <c r="F870" i="2" s="1"/>
  <c r="F871" i="2" a="1"/>
  <c r="F871" i="2" s="1"/>
  <c r="F872" i="2" a="1"/>
  <c r="F872" i="2" s="1"/>
  <c r="F873" i="2" a="1"/>
  <c r="F873" i="2" s="1"/>
  <c r="F874" i="2" a="1"/>
  <c r="F874" i="2" s="1"/>
  <c r="F875" i="2" a="1"/>
  <c r="F875" i="2" s="1"/>
  <c r="F876" i="2" a="1"/>
  <c r="F876" i="2" s="1"/>
  <c r="F877" i="2" a="1"/>
  <c r="F877" i="2" s="1"/>
  <c r="F878" i="2" a="1"/>
  <c r="F878" i="2" s="1"/>
  <c r="F879" i="2" a="1"/>
  <c r="F879" i="2" s="1"/>
  <c r="F880" i="2" a="1"/>
  <c r="F880" i="2" s="1"/>
  <c r="F881" i="2" a="1"/>
  <c r="F881" i="2" s="1"/>
  <c r="F882" i="2" a="1"/>
  <c r="F882" i="2" s="1"/>
  <c r="F883" i="2" a="1"/>
  <c r="F883" i="2" s="1"/>
  <c r="F884" i="2" a="1"/>
  <c r="F884" i="2" s="1"/>
  <c r="F885" i="2" a="1"/>
  <c r="F885" i="2" s="1"/>
  <c r="F886" i="2" a="1"/>
  <c r="F886" i="2" s="1"/>
  <c r="F887" i="2" a="1"/>
  <c r="F887" i="2" s="1"/>
  <c r="F888" i="2" a="1"/>
  <c r="F888" i="2" s="1"/>
  <c r="F889" i="2" a="1"/>
  <c r="F889" i="2" s="1"/>
  <c r="F890" i="2" a="1"/>
  <c r="F890" i="2" s="1"/>
  <c r="F891" i="2" a="1"/>
  <c r="F891" i="2" s="1"/>
  <c r="F892" i="2" a="1"/>
  <c r="F892" i="2" s="1"/>
  <c r="F893" i="2" a="1"/>
  <c r="F893" i="2" s="1"/>
  <c r="F894" i="2" a="1"/>
  <c r="F894" i="2" s="1"/>
  <c r="F895" i="2" a="1"/>
  <c r="F895" i="2" s="1"/>
  <c r="F896" i="2" a="1"/>
  <c r="F896" i="2" s="1"/>
  <c r="F897" i="2" a="1"/>
  <c r="F897" i="2" s="1"/>
  <c r="F898" i="2" a="1"/>
  <c r="F898" i="2" s="1"/>
  <c r="F899" i="2" a="1"/>
  <c r="F899" i="2" s="1"/>
  <c r="F900" i="2" a="1"/>
  <c r="F900" i="2" s="1"/>
  <c r="F901" i="2" a="1"/>
  <c r="F901" i="2" s="1"/>
  <c r="F902" i="2" a="1"/>
  <c r="F902" i="2" s="1"/>
  <c r="F903" i="2" a="1"/>
  <c r="F903" i="2" s="1"/>
  <c r="F904" i="2" a="1"/>
  <c r="F904" i="2" s="1"/>
  <c r="F905" i="2" a="1"/>
  <c r="F905" i="2" s="1"/>
  <c r="F906" i="2" a="1"/>
  <c r="F906" i="2" s="1"/>
  <c r="F907" i="2" a="1"/>
  <c r="F907" i="2" s="1"/>
  <c r="F908" i="2" a="1"/>
  <c r="F908" i="2" s="1"/>
  <c r="F909" i="2" a="1"/>
  <c r="F909" i="2" s="1"/>
  <c r="F910" i="2" a="1"/>
  <c r="F910" i="2" s="1"/>
  <c r="F911" i="2" a="1"/>
  <c r="F911" i="2" s="1"/>
  <c r="F912" i="2" a="1"/>
  <c r="F912" i="2" s="1"/>
  <c r="F913" i="2" a="1"/>
  <c r="F913" i="2" s="1"/>
  <c r="F914" i="2" a="1"/>
  <c r="F914" i="2" s="1"/>
  <c r="F915" i="2" a="1"/>
  <c r="F915" i="2" s="1"/>
  <c r="F916" i="2" a="1"/>
  <c r="F916" i="2" s="1"/>
  <c r="F917" i="2" a="1"/>
  <c r="F917" i="2" s="1"/>
  <c r="F918" i="2" a="1"/>
  <c r="F918" i="2" s="1"/>
  <c r="F919" i="2" a="1"/>
  <c r="F919" i="2" s="1"/>
  <c r="F920" i="2" a="1"/>
  <c r="F920" i="2" s="1"/>
  <c r="F921" i="2" a="1"/>
  <c r="F921" i="2" s="1"/>
  <c r="F922" i="2" a="1"/>
  <c r="F922" i="2" s="1"/>
  <c r="F923" i="2" a="1"/>
  <c r="F923" i="2" s="1"/>
  <c r="F924" i="2" a="1"/>
  <c r="F924" i="2" s="1"/>
  <c r="F925" i="2" a="1"/>
  <c r="F925" i="2" s="1"/>
  <c r="F926" i="2" a="1"/>
  <c r="F926" i="2" s="1"/>
  <c r="F927" i="2" a="1"/>
  <c r="F927" i="2" s="1"/>
  <c r="F928" i="2" a="1"/>
  <c r="F928" i="2" s="1"/>
  <c r="F929" i="2" a="1"/>
  <c r="F929" i="2" s="1"/>
  <c r="F930" i="2" a="1"/>
  <c r="F930" i="2" s="1"/>
  <c r="F931" i="2" a="1"/>
  <c r="F931" i="2" s="1"/>
  <c r="F932" i="2" a="1"/>
  <c r="F932" i="2" s="1"/>
  <c r="F933" i="2" a="1"/>
  <c r="F933" i="2" s="1"/>
  <c r="F934" i="2" a="1"/>
  <c r="F934" i="2" s="1"/>
  <c r="F935" i="2" a="1"/>
  <c r="F935" i="2" s="1"/>
  <c r="F936" i="2" a="1"/>
  <c r="F936" i="2" s="1"/>
  <c r="F937" i="2" a="1"/>
  <c r="F937" i="2" s="1"/>
  <c r="F938" i="2" a="1"/>
  <c r="F938" i="2" s="1"/>
  <c r="F939" i="2" a="1"/>
  <c r="F939" i="2" s="1"/>
  <c r="F940" i="2" a="1"/>
  <c r="F940" i="2" s="1"/>
  <c r="F941" i="2" a="1"/>
  <c r="F941" i="2" s="1"/>
  <c r="F942" i="2" a="1"/>
  <c r="F942" i="2" s="1"/>
  <c r="F943" i="2" a="1"/>
  <c r="F943" i="2" s="1"/>
  <c r="F944" i="2" a="1"/>
  <c r="F944" i="2" s="1"/>
  <c r="F945" i="2" a="1"/>
  <c r="F945" i="2" s="1"/>
  <c r="F946" i="2" a="1"/>
  <c r="F946" i="2" s="1"/>
  <c r="F947" i="2" a="1"/>
  <c r="F947" i="2" s="1"/>
  <c r="F948" i="2" a="1"/>
  <c r="F948" i="2" s="1"/>
  <c r="F949" i="2" a="1"/>
  <c r="F949" i="2" s="1"/>
  <c r="F950" i="2" a="1"/>
  <c r="F950" i="2" s="1"/>
  <c r="F951" i="2" a="1"/>
  <c r="F951" i="2" s="1"/>
  <c r="F952" i="2" a="1"/>
  <c r="F952" i="2" s="1"/>
  <c r="F953" i="2" a="1"/>
  <c r="F953" i="2" s="1"/>
  <c r="F954" i="2" a="1"/>
  <c r="F954" i="2" s="1"/>
  <c r="F955" i="2" a="1"/>
  <c r="F955" i="2" s="1"/>
  <c r="F956" i="2" a="1"/>
  <c r="F956" i="2" s="1"/>
  <c r="F957" i="2" a="1"/>
  <c r="F957" i="2" s="1"/>
  <c r="F958" i="2" a="1"/>
  <c r="F958" i="2" s="1"/>
  <c r="F959" i="2" a="1"/>
  <c r="F959" i="2" s="1"/>
  <c r="F960" i="2" a="1"/>
  <c r="F960" i="2" s="1"/>
  <c r="F961" i="2" a="1"/>
  <c r="F961" i="2" s="1"/>
  <c r="F962" i="2" a="1"/>
  <c r="F962" i="2" s="1"/>
  <c r="F963" i="2" a="1"/>
  <c r="F963" i="2" s="1"/>
  <c r="F964" i="2" a="1"/>
  <c r="F964" i="2" s="1"/>
  <c r="F965" i="2" a="1"/>
  <c r="F965" i="2" s="1"/>
  <c r="F966" i="2" a="1"/>
  <c r="F966" i="2" s="1"/>
  <c r="F967" i="2" a="1"/>
  <c r="F967" i="2" s="1"/>
  <c r="F968" i="2" a="1"/>
  <c r="F968" i="2" s="1"/>
  <c r="F969" i="2" a="1"/>
  <c r="F969" i="2" s="1"/>
  <c r="F970" i="2" a="1"/>
  <c r="F970" i="2" s="1"/>
  <c r="F971" i="2" a="1"/>
  <c r="F971" i="2" s="1"/>
  <c r="F972" i="2" a="1"/>
  <c r="F972" i="2" s="1"/>
  <c r="F973" i="2" a="1"/>
  <c r="F973" i="2" s="1"/>
  <c r="F974" i="2" a="1"/>
  <c r="F974" i="2" s="1"/>
  <c r="F975" i="2" a="1"/>
  <c r="F975" i="2" s="1"/>
  <c r="F976" i="2" a="1"/>
  <c r="F976" i="2" s="1"/>
  <c r="F977" i="2" a="1"/>
  <c r="F977" i="2" s="1"/>
  <c r="F978" i="2" a="1"/>
  <c r="F978" i="2" s="1"/>
  <c r="F979" i="2" a="1"/>
  <c r="F979" i="2" s="1"/>
  <c r="F980" i="2" a="1"/>
  <c r="F980" i="2" s="1"/>
  <c r="F981" i="2" a="1"/>
  <c r="F981" i="2" s="1"/>
  <c r="F982" i="2" a="1"/>
  <c r="F982" i="2" s="1"/>
  <c r="F983" i="2" a="1"/>
  <c r="F983" i="2" s="1"/>
  <c r="F984" i="2" a="1"/>
  <c r="F984" i="2" s="1"/>
  <c r="F985" i="2" a="1"/>
  <c r="F985" i="2" s="1"/>
  <c r="F986" i="2" a="1"/>
  <c r="F986" i="2" s="1"/>
  <c r="F987" i="2" a="1"/>
  <c r="F987" i="2" s="1"/>
  <c r="F988" i="2" a="1"/>
  <c r="F988" i="2" s="1"/>
  <c r="F989" i="2" a="1"/>
  <c r="F989" i="2" s="1"/>
  <c r="F990" i="2" a="1"/>
  <c r="F990" i="2" s="1"/>
  <c r="F991" i="2" a="1"/>
  <c r="F991" i="2" s="1"/>
  <c r="F992" i="2" a="1"/>
  <c r="F992" i="2" s="1"/>
  <c r="F993" i="2" a="1"/>
  <c r="F993" i="2" s="1"/>
  <c r="F994" i="2" a="1"/>
  <c r="F994" i="2" s="1"/>
  <c r="F995" i="2" a="1"/>
  <c r="F995" i="2" s="1"/>
  <c r="F996" i="2" a="1"/>
  <c r="F996" i="2" s="1"/>
  <c r="F997" i="2" a="1"/>
  <c r="F997" i="2" s="1"/>
  <c r="F998" i="2" a="1"/>
  <c r="F998" i="2" s="1"/>
  <c r="F999" i="2" a="1"/>
  <c r="F999" i="2" s="1"/>
  <c r="F1000" i="2" a="1"/>
  <c r="F1000" i="2" s="1"/>
  <c r="F1001" i="2" a="1"/>
  <c r="F1001" i="2" s="1"/>
  <c r="F1002" i="2" a="1"/>
  <c r="F1002" i="2" s="1"/>
  <c r="F1003" i="2" a="1"/>
  <c r="F1003" i="2" s="1"/>
  <c r="F1004" i="2" a="1"/>
  <c r="F1004" i="2" s="1"/>
  <c r="F1005" i="2" a="1"/>
  <c r="F1005" i="2" s="1"/>
  <c r="F1006" i="2" a="1"/>
  <c r="F1006" i="2" s="1"/>
  <c r="F1007" i="2" a="1"/>
  <c r="F1007" i="2" s="1"/>
  <c r="F1008" i="2" a="1"/>
  <c r="F1008" i="2" s="1"/>
  <c r="F1009" i="2" a="1"/>
  <c r="F1009" i="2" s="1"/>
  <c r="F1010" i="2" a="1"/>
  <c r="F1010" i="2" s="1"/>
  <c r="F1011" i="2" a="1"/>
  <c r="F1011" i="2" s="1"/>
  <c r="F1012" i="2" a="1"/>
  <c r="F1012" i="2" s="1"/>
  <c r="F1013" i="2" a="1"/>
  <c r="F1013" i="2" s="1"/>
  <c r="F1014" i="2" a="1"/>
  <c r="F1014" i="2" s="1"/>
  <c r="F1015" i="2" a="1"/>
  <c r="F1015" i="2" s="1"/>
  <c r="F1016" i="2" a="1"/>
  <c r="F1016" i="2" s="1"/>
  <c r="F1017" i="2" a="1"/>
  <c r="F1017" i="2" s="1"/>
  <c r="F1018" i="2" a="1"/>
  <c r="F1018" i="2" s="1"/>
  <c r="F1019" i="2" a="1"/>
  <c r="F1019" i="2" s="1"/>
  <c r="F1020" i="2" a="1"/>
  <c r="F1020" i="2" s="1"/>
  <c r="F1021" i="2" a="1"/>
  <c r="F1021" i="2" s="1"/>
  <c r="F1022" i="2" a="1"/>
  <c r="F1022" i="2" s="1"/>
  <c r="F1023" i="2" a="1"/>
  <c r="F1023" i="2" s="1"/>
  <c r="F1024" i="2" a="1"/>
  <c r="F1024" i="2" s="1"/>
  <c r="F1025" i="2" a="1"/>
  <c r="F1025" i="2" s="1"/>
  <c r="F1026" i="2" a="1"/>
  <c r="F1026" i="2" s="1"/>
  <c r="F1027" i="2" a="1"/>
  <c r="F1027" i="2" s="1"/>
  <c r="F1028" i="2" a="1"/>
  <c r="F1028" i="2" s="1"/>
  <c r="F1029" i="2" a="1"/>
  <c r="F1029" i="2" s="1"/>
  <c r="F1030" i="2" a="1"/>
  <c r="F1030" i="2" s="1"/>
  <c r="F1031" i="2" a="1"/>
  <c r="F1031" i="2" s="1"/>
  <c r="F1032" i="2" a="1"/>
  <c r="F1032" i="2" s="1"/>
  <c r="F1033" i="2" a="1"/>
  <c r="F1033" i="2" s="1"/>
  <c r="F1034" i="2" a="1"/>
  <c r="F1034" i="2" s="1"/>
  <c r="F1035" i="2" a="1"/>
  <c r="F1035" i="2" s="1"/>
  <c r="F1036" i="2" a="1"/>
  <c r="F1036" i="2" s="1"/>
  <c r="F1037" i="2" a="1"/>
  <c r="F1037" i="2" s="1"/>
  <c r="F1038" i="2" a="1"/>
  <c r="F1038" i="2" s="1"/>
  <c r="F1039" i="2" a="1"/>
  <c r="F1039" i="2" s="1"/>
  <c r="F1040" i="2" a="1"/>
  <c r="F1040" i="2" s="1"/>
  <c r="F1041" i="2" a="1"/>
  <c r="F1041" i="2" s="1"/>
  <c r="F1042" i="2" a="1"/>
  <c r="F1042" i="2" s="1"/>
  <c r="F1043" i="2" a="1"/>
  <c r="F1043" i="2" s="1"/>
  <c r="F1044" i="2" a="1"/>
  <c r="F1044" i="2" s="1"/>
  <c r="F1045" i="2" a="1"/>
  <c r="F1045" i="2" s="1"/>
  <c r="F1046" i="2" a="1"/>
  <c r="F1046" i="2" s="1"/>
  <c r="F1047" i="2" a="1"/>
  <c r="F1047" i="2" s="1"/>
  <c r="F1048" i="2" a="1"/>
  <c r="F1048" i="2" s="1"/>
  <c r="F1049" i="2" a="1"/>
  <c r="F1049" i="2" s="1"/>
  <c r="F1050" i="2" a="1"/>
  <c r="F1050" i="2" s="1"/>
  <c r="F1051" i="2" a="1"/>
  <c r="F1051" i="2" s="1"/>
  <c r="F1052" i="2" a="1"/>
  <c r="F1052" i="2" s="1"/>
  <c r="F1053" i="2" a="1"/>
  <c r="F1053" i="2" s="1"/>
  <c r="F1054" i="2" a="1"/>
  <c r="F1054" i="2" s="1"/>
  <c r="F1055" i="2" a="1"/>
  <c r="F1055" i="2" s="1"/>
  <c r="F1056" i="2" a="1"/>
  <c r="F1056" i="2" s="1"/>
  <c r="F1057" i="2" a="1"/>
  <c r="F1057" i="2" s="1"/>
  <c r="F1058" i="2" a="1"/>
  <c r="F1058" i="2" s="1"/>
  <c r="F1059" i="2" a="1"/>
  <c r="F1059" i="2" s="1"/>
  <c r="F1060" i="2" a="1"/>
  <c r="F1060" i="2" s="1"/>
  <c r="F1061" i="2" a="1"/>
  <c r="F1061" i="2" s="1"/>
  <c r="F1062" i="2" a="1"/>
  <c r="F1062" i="2" s="1"/>
  <c r="F1063" i="2" a="1"/>
  <c r="F1063" i="2" s="1"/>
  <c r="F1064" i="2" a="1"/>
  <c r="F1064" i="2" s="1"/>
  <c r="F1065" i="2" a="1"/>
  <c r="F1065" i="2" s="1"/>
  <c r="F1066" i="2" a="1"/>
  <c r="F1066" i="2" s="1"/>
  <c r="F1067" i="2" a="1"/>
  <c r="F1067" i="2" s="1"/>
  <c r="F1068" i="2" a="1"/>
  <c r="F1068" i="2" s="1"/>
  <c r="F1069" i="2" a="1"/>
  <c r="F1069" i="2" s="1"/>
  <c r="F1070" i="2" a="1"/>
  <c r="F1070" i="2" s="1"/>
  <c r="F1071" i="2" a="1"/>
  <c r="F1071" i="2" s="1"/>
  <c r="F1072" i="2" a="1"/>
  <c r="F1072" i="2" s="1"/>
  <c r="F1073" i="2" a="1"/>
  <c r="F1073" i="2" s="1"/>
  <c r="F1074" i="2" a="1"/>
  <c r="F1074" i="2" s="1"/>
  <c r="F1075" i="2" a="1"/>
  <c r="F1075" i="2" s="1"/>
  <c r="F1076" i="2" a="1"/>
  <c r="F1076" i="2" s="1"/>
  <c r="F1077" i="2" a="1"/>
  <c r="F1077" i="2" s="1"/>
  <c r="F1078" i="2" a="1"/>
  <c r="F1078" i="2" s="1"/>
  <c r="F1079" i="2" a="1"/>
  <c r="F1079" i="2" s="1"/>
  <c r="F1080" i="2" a="1"/>
  <c r="F1080" i="2" s="1"/>
  <c r="F1081" i="2" a="1"/>
  <c r="F1081" i="2" s="1"/>
  <c r="F1082" i="2" a="1"/>
  <c r="F1082" i="2" s="1"/>
  <c r="Q9" i="2" a="1"/>
  <c r="Q9" i="2" s="1"/>
  <c r="Q10" i="2" a="1"/>
  <c r="Q10" i="2" s="1"/>
  <c r="Q11" i="2" a="1"/>
  <c r="Q11" i="2" s="1"/>
  <c r="Q12" i="2" a="1"/>
  <c r="Q12" i="2" s="1"/>
  <c r="Q13" i="2" a="1"/>
  <c r="Q13" i="2" s="1"/>
  <c r="Q14" i="2" a="1"/>
  <c r="Q14" i="2" s="1"/>
  <c r="Q15" i="2" a="1"/>
  <c r="Q15" i="2" s="1"/>
  <c r="Q16" i="2" a="1"/>
  <c r="Q16" i="2" s="1"/>
  <c r="Q17" i="2" a="1"/>
  <c r="Q17" i="2" s="1"/>
  <c r="Q18" i="2" a="1"/>
  <c r="Q18" i="2" s="1"/>
  <c r="Q19" i="2" a="1"/>
  <c r="Q19" i="2" s="1"/>
  <c r="Q20" i="2" a="1"/>
  <c r="Q20" i="2" s="1"/>
  <c r="Q21" i="2" a="1"/>
  <c r="Q21" i="2" s="1"/>
  <c r="Q22" i="2" a="1"/>
  <c r="Q22" i="2" s="1"/>
  <c r="Q23" i="2" a="1"/>
  <c r="Q23" i="2" s="1"/>
  <c r="Q24" i="2" a="1"/>
  <c r="Q24" i="2" s="1"/>
  <c r="Q25" i="2" a="1"/>
  <c r="Q25" i="2" s="1"/>
  <c r="Q26" i="2" a="1"/>
  <c r="Q26" i="2" s="1"/>
  <c r="Q27" i="2" a="1"/>
  <c r="Q27" i="2" s="1"/>
  <c r="Q28" i="2" a="1"/>
  <c r="Q28" i="2" s="1"/>
  <c r="Q29" i="2" a="1"/>
  <c r="Q29" i="2" s="1"/>
  <c r="Q30" i="2" a="1"/>
  <c r="Q30" i="2" s="1"/>
  <c r="Q31" i="2" a="1"/>
  <c r="Q31" i="2" s="1"/>
  <c r="Q32" i="2" a="1"/>
  <c r="Q32" i="2" s="1"/>
  <c r="Q33" i="2" a="1"/>
  <c r="Q33" i="2" s="1"/>
  <c r="Q34" i="2" a="1"/>
  <c r="Q34" i="2" s="1"/>
  <c r="Q35" i="2" a="1"/>
  <c r="Q35" i="2" s="1"/>
  <c r="Q36" i="2" a="1"/>
  <c r="Q36" i="2" s="1"/>
  <c r="Q37" i="2" a="1"/>
  <c r="Q37" i="2" s="1"/>
  <c r="Q38" i="2" a="1"/>
  <c r="Q38" i="2" s="1"/>
  <c r="Q39" i="2" a="1"/>
  <c r="Q39" i="2" s="1"/>
  <c r="Q40" i="2" a="1"/>
  <c r="Q40" i="2" s="1"/>
  <c r="Q41" i="2" a="1"/>
  <c r="Q41" i="2" s="1"/>
  <c r="Q42" i="2" a="1"/>
  <c r="Q42" i="2" s="1"/>
  <c r="Q43" i="2" a="1"/>
  <c r="Q43" i="2" s="1"/>
  <c r="Q44" i="2" a="1"/>
  <c r="Q44" i="2" s="1"/>
  <c r="Q45" i="2" a="1"/>
  <c r="Q45" i="2" s="1"/>
  <c r="Q46" i="2" a="1"/>
  <c r="Q46" i="2" s="1"/>
  <c r="Q47" i="2" a="1"/>
  <c r="Q47" i="2" s="1"/>
  <c r="Q48" i="2" a="1"/>
  <c r="Q48" i="2" s="1"/>
  <c r="Q49" i="2" a="1"/>
  <c r="Q49" i="2" s="1"/>
  <c r="Q50" i="2" a="1"/>
  <c r="Q50" i="2" s="1"/>
  <c r="Q51" i="2" a="1"/>
  <c r="Q51" i="2" s="1"/>
  <c r="Q52" i="2" a="1"/>
  <c r="Q52" i="2" s="1"/>
  <c r="Q53" i="2" a="1"/>
  <c r="Q53" i="2" s="1"/>
  <c r="Q54" i="2" a="1"/>
  <c r="Q54" i="2" s="1"/>
  <c r="Q55" i="2" a="1"/>
  <c r="Q55" i="2" s="1"/>
  <c r="Q56" i="2" a="1"/>
  <c r="Q56" i="2" s="1"/>
  <c r="Q57" i="2" a="1"/>
  <c r="Q57" i="2" s="1"/>
  <c r="Q58" i="2" a="1"/>
  <c r="Q58" i="2" s="1"/>
  <c r="Q59" i="2" a="1"/>
  <c r="Q59" i="2" s="1"/>
  <c r="Q60" i="2" a="1"/>
  <c r="Q60" i="2" s="1"/>
  <c r="Q61" i="2" a="1"/>
  <c r="Q61" i="2" s="1"/>
  <c r="Q62" i="2" a="1"/>
  <c r="Q62" i="2" s="1"/>
  <c r="Q63" i="2" a="1"/>
  <c r="Q63" i="2" s="1"/>
  <c r="Q64" i="2" a="1"/>
  <c r="Q64" i="2" s="1"/>
  <c r="Q65" i="2" a="1"/>
  <c r="Q65" i="2" s="1"/>
  <c r="Q66" i="2" a="1"/>
  <c r="Q66" i="2" s="1"/>
  <c r="Q67" i="2" a="1"/>
  <c r="Q67" i="2" s="1"/>
  <c r="Q68" i="2" a="1"/>
  <c r="Q68" i="2" s="1"/>
  <c r="Q69" i="2" a="1"/>
  <c r="Q69" i="2" s="1"/>
  <c r="Q70" i="2" a="1"/>
  <c r="Q70" i="2" s="1"/>
  <c r="Q71" i="2" a="1"/>
  <c r="Q71" i="2" s="1"/>
  <c r="Q72" i="2" a="1"/>
  <c r="Q72" i="2" s="1"/>
  <c r="Q73" i="2" a="1"/>
  <c r="Q73" i="2" s="1"/>
  <c r="Q74" i="2" a="1"/>
  <c r="Q74" i="2" s="1"/>
  <c r="Q75" i="2" a="1"/>
  <c r="Q75" i="2" s="1"/>
  <c r="Q76" i="2" a="1"/>
  <c r="Q76" i="2" s="1"/>
  <c r="Q77" i="2" a="1"/>
  <c r="Q77" i="2" s="1"/>
  <c r="Q78" i="2" a="1"/>
  <c r="Q78" i="2" s="1"/>
  <c r="Q79" i="2" a="1"/>
  <c r="Q79" i="2" s="1"/>
  <c r="Q80" i="2" a="1"/>
  <c r="Q80" i="2" s="1"/>
  <c r="Q81" i="2" a="1"/>
  <c r="Q81" i="2" s="1"/>
  <c r="Q82" i="2" a="1"/>
  <c r="Q82" i="2" s="1"/>
  <c r="Q83" i="2" a="1"/>
  <c r="Q83" i="2" s="1"/>
  <c r="Q84" i="2" a="1"/>
  <c r="Q84" i="2" s="1"/>
  <c r="Q85" i="2" a="1"/>
  <c r="Q85" i="2" s="1"/>
  <c r="Q86" i="2" a="1"/>
  <c r="Q86" i="2" s="1"/>
  <c r="Q87" i="2" a="1"/>
  <c r="Q87" i="2" s="1"/>
  <c r="Q88" i="2" a="1"/>
  <c r="Q88" i="2" s="1"/>
  <c r="Q89" i="2" a="1"/>
  <c r="Q89" i="2" s="1"/>
  <c r="Q90" i="2" a="1"/>
  <c r="Q90" i="2" s="1"/>
  <c r="Q91" i="2" a="1"/>
  <c r="Q91" i="2" s="1"/>
  <c r="Q92" i="2" a="1"/>
  <c r="Q92" i="2" s="1"/>
  <c r="Q93" i="2" a="1"/>
  <c r="Q93" i="2" s="1"/>
  <c r="Q94" i="2" a="1"/>
  <c r="Q94" i="2" s="1"/>
  <c r="Q95" i="2" a="1"/>
  <c r="Q95" i="2" s="1"/>
  <c r="Q96" i="2" a="1"/>
  <c r="Q96" i="2" s="1"/>
  <c r="Q97" i="2" a="1"/>
  <c r="Q97" i="2" s="1"/>
  <c r="Q98" i="2" a="1"/>
  <c r="Q98" i="2" s="1"/>
  <c r="Q99" i="2" a="1"/>
  <c r="Q99" i="2" s="1"/>
  <c r="Q100" i="2" a="1"/>
  <c r="Q100" i="2" s="1"/>
  <c r="Q101" i="2" a="1"/>
  <c r="Q101" i="2" s="1"/>
  <c r="Q102" i="2" a="1"/>
  <c r="Q102" i="2" s="1"/>
  <c r="Q103" i="2" a="1"/>
  <c r="Q103" i="2" s="1"/>
  <c r="Q104" i="2" a="1"/>
  <c r="Q104" i="2" s="1"/>
  <c r="Q105" i="2" a="1"/>
  <c r="Q105" i="2" s="1"/>
  <c r="Q106" i="2" a="1"/>
  <c r="Q106" i="2" s="1"/>
  <c r="Q107" i="2" a="1"/>
  <c r="Q107" i="2" s="1"/>
  <c r="Q108" i="2" a="1"/>
  <c r="Q108" i="2" s="1"/>
  <c r="Q109" i="2" a="1"/>
  <c r="Q109" i="2" s="1"/>
  <c r="Q110" i="2" a="1"/>
  <c r="Q110" i="2" s="1"/>
  <c r="Q111" i="2" a="1"/>
  <c r="Q111" i="2" s="1"/>
  <c r="Q112" i="2" a="1"/>
  <c r="Q112" i="2" s="1"/>
  <c r="Q113" i="2" a="1"/>
  <c r="Q113" i="2" s="1"/>
  <c r="Q114" i="2" a="1"/>
  <c r="Q114" i="2" s="1"/>
  <c r="Q115" i="2" a="1"/>
  <c r="Q115" i="2" s="1"/>
  <c r="Q116" i="2" a="1"/>
  <c r="Q116" i="2" s="1"/>
  <c r="Q117" i="2" a="1"/>
  <c r="Q117" i="2" s="1"/>
  <c r="Q118" i="2" a="1"/>
  <c r="Q118" i="2" s="1"/>
  <c r="Q119" i="2" a="1"/>
  <c r="Q119" i="2" s="1"/>
  <c r="Q120" i="2" a="1"/>
  <c r="Q120" i="2" s="1"/>
  <c r="Q121" i="2" a="1"/>
  <c r="Q121" i="2" s="1"/>
  <c r="Q122" i="2" a="1"/>
  <c r="Q122" i="2" s="1"/>
  <c r="Q123" i="2" a="1"/>
  <c r="Q123" i="2" s="1"/>
  <c r="Q124" i="2" a="1"/>
  <c r="Q124" i="2" s="1"/>
  <c r="Q125" i="2" a="1"/>
  <c r="Q125" i="2" s="1"/>
  <c r="Q126" i="2" a="1"/>
  <c r="Q126" i="2" s="1"/>
  <c r="Q127" i="2" a="1"/>
  <c r="Q127" i="2" s="1"/>
  <c r="Q128" i="2" a="1"/>
  <c r="Q128" i="2" s="1"/>
  <c r="Q129" i="2" a="1"/>
  <c r="Q129" i="2" s="1"/>
  <c r="Q130" i="2" a="1"/>
  <c r="Q130" i="2" s="1"/>
  <c r="Q131" i="2" a="1"/>
  <c r="Q131" i="2" s="1"/>
  <c r="Q132" i="2" a="1"/>
  <c r="Q132" i="2" s="1"/>
  <c r="Q133" i="2" a="1"/>
  <c r="Q133" i="2" s="1"/>
  <c r="Q134" i="2" a="1"/>
  <c r="Q134" i="2" s="1"/>
  <c r="Q135" i="2" a="1"/>
  <c r="Q135" i="2" s="1"/>
  <c r="Q136" i="2" a="1"/>
  <c r="Q136" i="2" s="1"/>
  <c r="Q137" i="2" a="1"/>
  <c r="Q137" i="2" s="1"/>
  <c r="Q138" i="2" a="1"/>
  <c r="Q138" i="2" s="1"/>
  <c r="Q139" i="2" a="1"/>
  <c r="Q139" i="2" s="1"/>
  <c r="Q140" i="2" a="1"/>
  <c r="Q140" i="2" s="1"/>
  <c r="Q141" i="2" a="1"/>
  <c r="Q141" i="2" s="1"/>
  <c r="Q142" i="2" a="1"/>
  <c r="Q142" i="2" s="1"/>
  <c r="Q143" i="2" a="1"/>
  <c r="Q143" i="2" s="1"/>
  <c r="Q144" i="2" a="1"/>
  <c r="Q144" i="2" s="1"/>
  <c r="Q145" i="2" a="1"/>
  <c r="Q145" i="2" s="1"/>
  <c r="Q146" i="2" a="1"/>
  <c r="Q146" i="2" s="1"/>
  <c r="Q147" i="2" a="1"/>
  <c r="Q147" i="2" s="1"/>
  <c r="Q148" i="2" a="1"/>
  <c r="Q148" i="2" s="1"/>
  <c r="Q149" i="2" a="1"/>
  <c r="Q149" i="2" s="1"/>
  <c r="Q150" i="2" a="1"/>
  <c r="Q150" i="2" s="1"/>
  <c r="Q151" i="2" a="1"/>
  <c r="Q151" i="2" s="1"/>
  <c r="Q152" i="2" a="1"/>
  <c r="Q152" i="2" s="1"/>
  <c r="Q153" i="2" a="1"/>
  <c r="Q153" i="2" s="1"/>
  <c r="Q154" i="2" a="1"/>
  <c r="Q154" i="2" s="1"/>
  <c r="Q155" i="2" a="1"/>
  <c r="Q155" i="2" s="1"/>
  <c r="Q156" i="2" a="1"/>
  <c r="Q156" i="2" s="1"/>
  <c r="Q157" i="2" a="1"/>
  <c r="Q157" i="2" s="1"/>
  <c r="Q158" i="2" a="1"/>
  <c r="Q158" i="2" s="1"/>
  <c r="Q159" i="2" a="1"/>
  <c r="Q159" i="2" s="1"/>
  <c r="Q160" i="2" a="1"/>
  <c r="Q160" i="2" s="1"/>
  <c r="Q161" i="2" a="1"/>
  <c r="Q161" i="2" s="1"/>
  <c r="Q162" i="2" a="1"/>
  <c r="Q162" i="2" s="1"/>
  <c r="Q163" i="2" a="1"/>
  <c r="Q163" i="2" s="1"/>
  <c r="Q164" i="2" a="1"/>
  <c r="Q164" i="2" s="1"/>
  <c r="Q165" i="2" a="1"/>
  <c r="Q165" i="2" s="1"/>
  <c r="Q166" i="2" a="1"/>
  <c r="Q166" i="2" s="1"/>
  <c r="Q167" i="2" a="1"/>
  <c r="Q167" i="2" s="1"/>
  <c r="Q168" i="2" a="1"/>
  <c r="Q168" i="2" s="1"/>
  <c r="Q169" i="2" a="1"/>
  <c r="Q169" i="2" s="1"/>
  <c r="Q170" i="2" a="1"/>
  <c r="Q170" i="2" s="1"/>
  <c r="Q171" i="2" a="1"/>
  <c r="Q171" i="2" s="1"/>
  <c r="Q172" i="2" a="1"/>
  <c r="Q172" i="2" s="1"/>
  <c r="Q173" i="2" a="1"/>
  <c r="Q173" i="2" s="1"/>
  <c r="Q174" i="2" a="1"/>
  <c r="Q174" i="2" s="1"/>
  <c r="Q175" i="2" a="1"/>
  <c r="Q175" i="2" s="1"/>
  <c r="Q176" i="2" a="1"/>
  <c r="Q176" i="2" s="1"/>
  <c r="Q177" i="2" a="1"/>
  <c r="Q177" i="2" s="1"/>
  <c r="Q178" i="2" a="1"/>
  <c r="Q178" i="2" s="1"/>
  <c r="Q179" i="2" a="1"/>
  <c r="Q179" i="2" s="1"/>
  <c r="Q180" i="2" a="1"/>
  <c r="Q180" i="2" s="1"/>
  <c r="Q181" i="2" a="1"/>
  <c r="Q181" i="2" s="1"/>
  <c r="Q182" i="2" a="1"/>
  <c r="Q182" i="2" s="1"/>
  <c r="Q183" i="2" a="1"/>
  <c r="Q183" i="2" s="1"/>
  <c r="Q184" i="2" a="1"/>
  <c r="Q184" i="2" s="1"/>
  <c r="Q185" i="2" a="1"/>
  <c r="Q185" i="2" s="1"/>
  <c r="Q186" i="2" a="1"/>
  <c r="Q186" i="2" s="1"/>
  <c r="Q187" i="2" a="1"/>
  <c r="Q187" i="2" s="1"/>
  <c r="Q188" i="2" a="1"/>
  <c r="Q188" i="2" s="1"/>
  <c r="Q189" i="2" a="1"/>
  <c r="Q189" i="2" s="1"/>
  <c r="Q190" i="2" a="1"/>
  <c r="Q190" i="2" s="1"/>
  <c r="Q191" i="2" a="1"/>
  <c r="Q191" i="2" s="1"/>
  <c r="Q192" i="2" a="1"/>
  <c r="Q192" i="2" s="1"/>
  <c r="Q193" i="2" a="1"/>
  <c r="Q193" i="2" s="1"/>
  <c r="Q194" i="2" a="1"/>
  <c r="Q194" i="2" s="1"/>
  <c r="Q195" i="2" a="1"/>
  <c r="Q195" i="2" s="1"/>
  <c r="Q196" i="2" a="1"/>
  <c r="Q196" i="2" s="1"/>
  <c r="Q197" i="2" a="1"/>
  <c r="Q197" i="2" s="1"/>
  <c r="Q198" i="2" a="1"/>
  <c r="Q198" i="2" s="1"/>
  <c r="Q199" i="2" a="1"/>
  <c r="Q199" i="2" s="1"/>
  <c r="Q200" i="2" a="1"/>
  <c r="Q200" i="2" s="1"/>
  <c r="Q201" i="2" a="1"/>
  <c r="Q201" i="2" s="1"/>
  <c r="Q202" i="2" a="1"/>
  <c r="Q202" i="2" s="1"/>
  <c r="Q203" i="2" a="1"/>
  <c r="Q203" i="2" s="1"/>
  <c r="Q204" i="2" a="1"/>
  <c r="Q204" i="2" s="1"/>
  <c r="Q205" i="2" a="1"/>
  <c r="Q205" i="2" s="1"/>
  <c r="Q206" i="2" a="1"/>
  <c r="Q206" i="2" s="1"/>
  <c r="Q207" i="2" a="1"/>
  <c r="Q207" i="2" s="1"/>
  <c r="Q208" i="2" a="1"/>
  <c r="Q208" i="2" s="1"/>
  <c r="Q209" i="2" a="1"/>
  <c r="Q209" i="2" s="1"/>
  <c r="Q210" i="2" a="1"/>
  <c r="Q210" i="2" s="1"/>
  <c r="Q211" i="2" a="1"/>
  <c r="Q211" i="2" s="1"/>
  <c r="Q212" i="2" a="1"/>
  <c r="Q212" i="2" s="1"/>
  <c r="Q213" i="2" a="1"/>
  <c r="Q213" i="2" s="1"/>
  <c r="Q214" i="2" a="1"/>
  <c r="Q214" i="2" s="1"/>
  <c r="Q215" i="2" a="1"/>
  <c r="Q215" i="2" s="1"/>
  <c r="Q216" i="2" a="1"/>
  <c r="Q216" i="2" s="1"/>
  <c r="Q217" i="2" a="1"/>
  <c r="Q217" i="2" s="1"/>
  <c r="Q218" i="2" a="1"/>
  <c r="Q218" i="2" s="1"/>
  <c r="Q219" i="2" a="1"/>
  <c r="Q219" i="2" s="1"/>
  <c r="Q220" i="2" a="1"/>
  <c r="Q220" i="2" s="1"/>
  <c r="Q221" i="2" a="1"/>
  <c r="Q221" i="2" s="1"/>
  <c r="Q222" i="2" a="1"/>
  <c r="Q222" i="2" s="1"/>
  <c r="Q223" i="2" a="1"/>
  <c r="Q223" i="2" s="1"/>
  <c r="Q224" i="2" a="1"/>
  <c r="Q224" i="2" s="1"/>
  <c r="Q225" i="2" a="1"/>
  <c r="Q225" i="2" s="1"/>
  <c r="Q226" i="2" a="1"/>
  <c r="Q226" i="2" s="1"/>
  <c r="Q227" i="2" a="1"/>
  <c r="Q227" i="2" s="1"/>
  <c r="Q228" i="2" a="1"/>
  <c r="Q228" i="2" s="1"/>
  <c r="Q229" i="2" a="1"/>
  <c r="Q229" i="2" s="1"/>
  <c r="Q230" i="2" a="1"/>
  <c r="Q230" i="2" s="1"/>
  <c r="Q231" i="2" a="1"/>
  <c r="Q231" i="2" s="1"/>
  <c r="Q232" i="2" a="1"/>
  <c r="Q232" i="2" s="1"/>
  <c r="Q233" i="2" a="1"/>
  <c r="Q233" i="2" s="1"/>
  <c r="Q234" i="2" a="1"/>
  <c r="Q234" i="2" s="1"/>
  <c r="Q235" i="2" a="1"/>
  <c r="Q235" i="2" s="1"/>
  <c r="Q236" i="2" a="1"/>
  <c r="Q236" i="2" s="1"/>
  <c r="Q237" i="2" a="1"/>
  <c r="Q237" i="2" s="1"/>
  <c r="Q238" i="2" a="1"/>
  <c r="Q238" i="2" s="1"/>
  <c r="Q239" i="2" a="1"/>
  <c r="Q239" i="2" s="1"/>
  <c r="Q240" i="2" a="1"/>
  <c r="Q240" i="2" s="1"/>
  <c r="Q241" i="2" a="1"/>
  <c r="Q241" i="2" s="1"/>
  <c r="Q242" i="2" a="1"/>
  <c r="Q242" i="2" s="1"/>
  <c r="Q243" i="2" a="1"/>
  <c r="Q243" i="2" s="1"/>
  <c r="Q244" i="2" a="1"/>
  <c r="Q244" i="2" s="1"/>
  <c r="Q245" i="2" a="1"/>
  <c r="Q245" i="2" s="1"/>
  <c r="Q246" i="2" a="1"/>
  <c r="Q246" i="2" s="1"/>
  <c r="Q247" i="2" a="1"/>
  <c r="Q247" i="2" s="1"/>
  <c r="Q248" i="2" a="1"/>
  <c r="Q248" i="2" s="1"/>
  <c r="Q249" i="2" a="1"/>
  <c r="Q249" i="2" s="1"/>
  <c r="Q250" i="2" a="1"/>
  <c r="Q250" i="2" s="1"/>
  <c r="Q251" i="2" a="1"/>
  <c r="Q251" i="2" s="1"/>
  <c r="Q252" i="2" a="1"/>
  <c r="Q252" i="2" s="1"/>
  <c r="Q253" i="2" a="1"/>
  <c r="Q253" i="2" s="1"/>
  <c r="Q254" i="2" a="1"/>
  <c r="Q254" i="2" s="1"/>
  <c r="Q255" i="2" a="1"/>
  <c r="Q255" i="2" s="1"/>
  <c r="Q256" i="2" a="1"/>
  <c r="Q256" i="2" s="1"/>
  <c r="Q257" i="2" a="1"/>
  <c r="Q257" i="2" s="1"/>
  <c r="Q258" i="2" a="1"/>
  <c r="Q258" i="2" s="1"/>
  <c r="Q259" i="2" a="1"/>
  <c r="Q259" i="2" s="1"/>
  <c r="Q260" i="2" a="1"/>
  <c r="Q260" i="2" s="1"/>
  <c r="Q261" i="2" a="1"/>
  <c r="Q261" i="2" s="1"/>
  <c r="Q262" i="2" a="1"/>
  <c r="Q262" i="2" s="1"/>
  <c r="Q263" i="2" a="1"/>
  <c r="Q263" i="2" s="1"/>
  <c r="Q264" i="2" a="1"/>
  <c r="Q264" i="2" s="1"/>
  <c r="Q265" i="2" a="1"/>
  <c r="Q265" i="2" s="1"/>
  <c r="Q266" i="2" a="1"/>
  <c r="Q266" i="2" s="1"/>
  <c r="Q267" i="2" a="1"/>
  <c r="Q267" i="2" s="1"/>
  <c r="Q268" i="2" a="1"/>
  <c r="Q268" i="2" s="1"/>
  <c r="Q269" i="2" a="1"/>
  <c r="Q269" i="2" s="1"/>
  <c r="Q270" i="2" a="1"/>
  <c r="Q270" i="2" s="1"/>
  <c r="Q271" i="2" a="1"/>
  <c r="Q271" i="2" s="1"/>
  <c r="Q272" i="2" a="1"/>
  <c r="Q272" i="2" s="1"/>
  <c r="Q273" i="2" a="1"/>
  <c r="Q273" i="2" s="1"/>
  <c r="Q274" i="2" a="1"/>
  <c r="Q274" i="2" s="1"/>
  <c r="Q275" i="2" a="1"/>
  <c r="Q275" i="2" s="1"/>
  <c r="Q276" i="2" a="1"/>
  <c r="Q276" i="2" s="1"/>
  <c r="Q277" i="2" a="1"/>
  <c r="Q277" i="2" s="1"/>
  <c r="Q278" i="2" a="1"/>
  <c r="Q278" i="2" s="1"/>
  <c r="Q279" i="2" a="1"/>
  <c r="Q279" i="2" s="1"/>
  <c r="Q280" i="2" a="1"/>
  <c r="Q280" i="2" s="1"/>
  <c r="Q281" i="2" a="1"/>
  <c r="Q281" i="2" s="1"/>
  <c r="Q282" i="2" a="1"/>
  <c r="Q282" i="2" s="1"/>
  <c r="Q283" i="2" a="1"/>
  <c r="Q283" i="2" s="1"/>
  <c r="Q284" i="2" a="1"/>
  <c r="Q284" i="2" s="1"/>
  <c r="Q285" i="2" a="1"/>
  <c r="Q285" i="2" s="1"/>
  <c r="Q286" i="2" a="1"/>
  <c r="Q286" i="2" s="1"/>
  <c r="Q287" i="2" a="1"/>
  <c r="Q287" i="2" s="1"/>
  <c r="Q288" i="2" a="1"/>
  <c r="Q288" i="2" s="1"/>
  <c r="Q289" i="2" a="1"/>
  <c r="Q289" i="2" s="1"/>
  <c r="Q290" i="2" a="1"/>
  <c r="Q290" i="2" s="1"/>
  <c r="Q291" i="2" a="1"/>
  <c r="Q291" i="2" s="1"/>
  <c r="Q292" i="2" a="1"/>
  <c r="Q292" i="2" s="1"/>
  <c r="Q293" i="2" a="1"/>
  <c r="Q293" i="2" s="1"/>
  <c r="Q294" i="2" a="1"/>
  <c r="Q294" i="2" s="1"/>
  <c r="Q295" i="2" a="1"/>
  <c r="Q295" i="2" s="1"/>
  <c r="Q296" i="2" a="1"/>
  <c r="Q296" i="2" s="1"/>
  <c r="Q297" i="2" a="1"/>
  <c r="Q297" i="2" s="1"/>
  <c r="Q298" i="2" a="1"/>
  <c r="Q298" i="2" s="1"/>
  <c r="Q299" i="2" a="1"/>
  <c r="Q299" i="2" s="1"/>
  <c r="Q300" i="2" a="1"/>
  <c r="Q300" i="2" s="1"/>
  <c r="Q301" i="2" a="1"/>
  <c r="Q301" i="2" s="1"/>
  <c r="Q302" i="2" a="1"/>
  <c r="Q302" i="2" s="1"/>
  <c r="Q303" i="2" a="1"/>
  <c r="Q303" i="2" s="1"/>
  <c r="Q304" i="2" a="1"/>
  <c r="Q304" i="2" s="1"/>
  <c r="Q305" i="2" a="1"/>
  <c r="Q305" i="2" s="1"/>
  <c r="Q306" i="2" a="1"/>
  <c r="Q306" i="2" s="1"/>
  <c r="Q307" i="2" a="1"/>
  <c r="Q307" i="2" s="1"/>
  <c r="Q308" i="2" a="1"/>
  <c r="Q308" i="2" s="1"/>
  <c r="Q309" i="2" a="1"/>
  <c r="Q309" i="2" s="1"/>
  <c r="Q310" i="2" a="1"/>
  <c r="Q310" i="2" s="1"/>
  <c r="Q311" i="2" a="1"/>
  <c r="Q311" i="2" s="1"/>
  <c r="Q312" i="2" a="1"/>
  <c r="Q312" i="2" s="1"/>
  <c r="Q313" i="2" a="1"/>
  <c r="Q313" i="2" s="1"/>
  <c r="Q314" i="2" a="1"/>
  <c r="Q314" i="2" s="1"/>
  <c r="Q315" i="2" a="1"/>
  <c r="Q315" i="2" s="1"/>
  <c r="Q316" i="2" a="1"/>
  <c r="Q316" i="2" s="1"/>
  <c r="Q317" i="2" a="1"/>
  <c r="Q317" i="2" s="1"/>
  <c r="Q318" i="2" a="1"/>
  <c r="Q318" i="2" s="1"/>
  <c r="Q319" i="2" a="1"/>
  <c r="Q319" i="2" s="1"/>
  <c r="Q320" i="2" a="1"/>
  <c r="Q320" i="2" s="1"/>
  <c r="Q321" i="2" a="1"/>
  <c r="Q321" i="2" s="1"/>
  <c r="Q322" i="2" a="1"/>
  <c r="Q322" i="2" s="1"/>
  <c r="Q323" i="2" a="1"/>
  <c r="Q323" i="2" s="1"/>
  <c r="Q324" i="2" a="1"/>
  <c r="Q324" i="2" s="1"/>
  <c r="Q325" i="2" a="1"/>
  <c r="Q325" i="2" s="1"/>
  <c r="Q326" i="2" a="1"/>
  <c r="Q326" i="2" s="1"/>
  <c r="Q327" i="2" a="1"/>
  <c r="Q327" i="2" s="1"/>
  <c r="Q328" i="2" a="1"/>
  <c r="Q328" i="2" s="1"/>
  <c r="Q329" i="2" a="1"/>
  <c r="Q329" i="2" s="1"/>
  <c r="Q330" i="2" a="1"/>
  <c r="Q330" i="2" s="1"/>
  <c r="Q331" i="2" a="1"/>
  <c r="Q331" i="2" s="1"/>
  <c r="Q332" i="2" a="1"/>
  <c r="Q332" i="2" s="1"/>
  <c r="Q333" i="2" a="1"/>
  <c r="Q333" i="2" s="1"/>
  <c r="Q334" i="2" a="1"/>
  <c r="Q334" i="2" s="1"/>
  <c r="Q335" i="2" a="1"/>
  <c r="Q335" i="2" s="1"/>
  <c r="Q336" i="2" a="1"/>
  <c r="Q336" i="2" s="1"/>
  <c r="Q337" i="2" a="1"/>
  <c r="Q337" i="2" s="1"/>
  <c r="Q338" i="2" a="1"/>
  <c r="Q338" i="2" s="1"/>
  <c r="Q339" i="2" a="1"/>
  <c r="Q339" i="2" s="1"/>
  <c r="Q340" i="2" a="1"/>
  <c r="Q340" i="2" s="1"/>
  <c r="Q341" i="2" a="1"/>
  <c r="Q341" i="2" s="1"/>
  <c r="Q342" i="2" a="1"/>
  <c r="Q342" i="2" s="1"/>
  <c r="Q343" i="2" a="1"/>
  <c r="Q343" i="2" s="1"/>
  <c r="Q344" i="2" a="1"/>
  <c r="Q344" i="2" s="1"/>
  <c r="Q345" i="2" a="1"/>
  <c r="Q345" i="2" s="1"/>
  <c r="Q346" i="2" a="1"/>
  <c r="Q346" i="2" s="1"/>
  <c r="Q347" i="2" a="1"/>
  <c r="Q347" i="2" s="1"/>
  <c r="Q348" i="2" a="1"/>
  <c r="Q348" i="2" s="1"/>
  <c r="Q349" i="2" a="1"/>
  <c r="Q349" i="2" s="1"/>
  <c r="Q350" i="2" a="1"/>
  <c r="Q350" i="2" s="1"/>
  <c r="Q351" i="2" a="1"/>
  <c r="Q351" i="2" s="1"/>
  <c r="Q352" i="2" a="1"/>
  <c r="Q352" i="2" s="1"/>
  <c r="Q353" i="2" a="1"/>
  <c r="Q353" i="2" s="1"/>
  <c r="Q354" i="2" a="1"/>
  <c r="Q354" i="2" s="1"/>
  <c r="Q355" i="2" a="1"/>
  <c r="Q355" i="2" s="1"/>
  <c r="Q356" i="2" a="1"/>
  <c r="Q356" i="2" s="1"/>
  <c r="Q357" i="2" a="1"/>
  <c r="Q357" i="2" s="1"/>
  <c r="Q358" i="2" a="1"/>
  <c r="Q358" i="2" s="1"/>
  <c r="Q359" i="2" a="1"/>
  <c r="Q359" i="2" s="1"/>
  <c r="Q360" i="2" a="1"/>
  <c r="Q360" i="2" s="1"/>
  <c r="Q361" i="2" a="1"/>
  <c r="Q361" i="2" s="1"/>
  <c r="Q362" i="2" a="1"/>
  <c r="Q362" i="2" s="1"/>
  <c r="Q363" i="2" a="1"/>
  <c r="Q363" i="2" s="1"/>
  <c r="Q364" i="2" a="1"/>
  <c r="Q364" i="2" s="1"/>
  <c r="Q365" i="2" a="1"/>
  <c r="Q365" i="2" s="1"/>
  <c r="Q366" i="2" a="1"/>
  <c r="Q366" i="2" s="1"/>
  <c r="Q367" i="2" a="1"/>
  <c r="Q367" i="2" s="1"/>
  <c r="Q368" i="2" a="1"/>
  <c r="Q368" i="2" s="1"/>
  <c r="Q369" i="2" a="1"/>
  <c r="Q369" i="2" s="1"/>
  <c r="Q370" i="2" a="1"/>
  <c r="Q370" i="2" s="1"/>
  <c r="Q371" i="2" a="1"/>
  <c r="Q371" i="2" s="1"/>
  <c r="Q372" i="2" a="1"/>
  <c r="Q372" i="2" s="1"/>
  <c r="Q373" i="2" a="1"/>
  <c r="Q373" i="2" s="1"/>
  <c r="Q374" i="2" a="1"/>
  <c r="Q374" i="2" s="1"/>
  <c r="Q375" i="2" a="1"/>
  <c r="Q375" i="2" s="1"/>
  <c r="Q376" i="2" a="1"/>
  <c r="Q376" i="2" s="1"/>
  <c r="Q377" i="2" a="1"/>
  <c r="Q377" i="2" s="1"/>
  <c r="Q378" i="2" a="1"/>
  <c r="Q378" i="2" s="1"/>
  <c r="Q379" i="2" a="1"/>
  <c r="Q379" i="2" s="1"/>
  <c r="Q380" i="2" a="1"/>
  <c r="Q380" i="2" s="1"/>
  <c r="Q381" i="2" a="1"/>
  <c r="Q381" i="2" s="1"/>
  <c r="Q382" i="2" a="1"/>
  <c r="Q382" i="2" s="1"/>
  <c r="Q383" i="2" a="1"/>
  <c r="Q383" i="2" s="1"/>
  <c r="Q384" i="2" a="1"/>
  <c r="Q384" i="2" s="1"/>
  <c r="Q385" i="2" a="1"/>
  <c r="Q385" i="2" s="1"/>
  <c r="Q386" i="2" a="1"/>
  <c r="Q386" i="2" s="1"/>
  <c r="Q387" i="2" a="1"/>
  <c r="Q387" i="2" s="1"/>
  <c r="Q388" i="2" a="1"/>
  <c r="Q388" i="2" s="1"/>
  <c r="Q389" i="2" a="1"/>
  <c r="Q389" i="2" s="1"/>
  <c r="Q390" i="2" a="1"/>
  <c r="Q390" i="2" s="1"/>
  <c r="Q391" i="2" a="1"/>
  <c r="Q391" i="2" s="1"/>
  <c r="Q392" i="2" a="1"/>
  <c r="Q392" i="2" s="1"/>
  <c r="Q393" i="2" a="1"/>
  <c r="Q393" i="2" s="1"/>
  <c r="Q394" i="2" a="1"/>
  <c r="Q394" i="2" s="1"/>
  <c r="Q395" i="2" a="1"/>
  <c r="Q395" i="2" s="1"/>
  <c r="Q396" i="2" a="1"/>
  <c r="Q396" i="2" s="1"/>
  <c r="Q397" i="2" a="1"/>
  <c r="Q397" i="2" s="1"/>
  <c r="Q398" i="2" a="1"/>
  <c r="Q398" i="2" s="1"/>
  <c r="Q399" i="2" a="1"/>
  <c r="Q399" i="2" s="1"/>
  <c r="Q400" i="2" a="1"/>
  <c r="Q400" i="2" s="1"/>
  <c r="Q401" i="2" a="1"/>
  <c r="Q401" i="2" s="1"/>
  <c r="Q402" i="2" a="1"/>
  <c r="Q402" i="2" s="1"/>
  <c r="Q403" i="2" a="1"/>
  <c r="Q403" i="2" s="1"/>
  <c r="Q404" i="2" a="1"/>
  <c r="Q404" i="2" s="1"/>
  <c r="Q405" i="2" a="1"/>
  <c r="Q405" i="2" s="1"/>
  <c r="Q406" i="2" a="1"/>
  <c r="Q406" i="2" s="1"/>
  <c r="Q407" i="2" a="1"/>
  <c r="Q407" i="2" s="1"/>
  <c r="Q408" i="2" a="1"/>
  <c r="Q408" i="2" s="1"/>
  <c r="Q409" i="2" a="1"/>
  <c r="Q409" i="2" s="1"/>
  <c r="Q410" i="2" a="1"/>
  <c r="Q410" i="2" s="1"/>
  <c r="Q411" i="2" a="1"/>
  <c r="Q411" i="2" s="1"/>
  <c r="Q412" i="2" a="1"/>
  <c r="Q412" i="2" s="1"/>
  <c r="Q413" i="2" a="1"/>
  <c r="Q413" i="2" s="1"/>
  <c r="Q414" i="2" a="1"/>
  <c r="Q414" i="2" s="1"/>
  <c r="Q415" i="2" a="1"/>
  <c r="Q415" i="2" s="1"/>
  <c r="Q416" i="2" a="1"/>
  <c r="Q416" i="2" s="1"/>
  <c r="Q417" i="2" a="1"/>
  <c r="Q417" i="2" s="1"/>
  <c r="Q418" i="2" a="1"/>
  <c r="Q418" i="2" s="1"/>
  <c r="Q419" i="2" a="1"/>
  <c r="Q419" i="2" s="1"/>
  <c r="Q420" i="2" a="1"/>
  <c r="Q420" i="2" s="1"/>
  <c r="Q421" i="2" a="1"/>
  <c r="Q421" i="2" s="1"/>
  <c r="Q422" i="2" a="1"/>
  <c r="Q422" i="2" s="1"/>
  <c r="Q423" i="2" a="1"/>
  <c r="Q423" i="2" s="1"/>
  <c r="Q424" i="2" a="1"/>
  <c r="Q424" i="2" s="1"/>
  <c r="Q425" i="2" a="1"/>
  <c r="Q425" i="2" s="1"/>
  <c r="Q426" i="2" a="1"/>
  <c r="Q426" i="2" s="1"/>
  <c r="Q427" i="2" a="1"/>
  <c r="Q427" i="2" s="1"/>
  <c r="Q428" i="2" a="1"/>
  <c r="Q428" i="2" s="1"/>
  <c r="Q429" i="2" a="1"/>
  <c r="Q429" i="2" s="1"/>
  <c r="Q430" i="2" a="1"/>
  <c r="Q430" i="2" s="1"/>
  <c r="Q431" i="2" a="1"/>
  <c r="Q431" i="2" s="1"/>
  <c r="Q432" i="2" a="1"/>
  <c r="Q432" i="2" s="1"/>
  <c r="Q433" i="2" a="1"/>
  <c r="Q433" i="2" s="1"/>
  <c r="Q434" i="2" a="1"/>
  <c r="Q434" i="2" s="1"/>
  <c r="Q435" i="2" a="1"/>
  <c r="Q435" i="2" s="1"/>
  <c r="Q436" i="2" a="1"/>
  <c r="Q436" i="2" s="1"/>
  <c r="Q437" i="2" a="1"/>
  <c r="Q437" i="2" s="1"/>
  <c r="Q438" i="2" a="1"/>
  <c r="Q438" i="2" s="1"/>
  <c r="Q439" i="2" a="1"/>
  <c r="Q439" i="2" s="1"/>
  <c r="Q440" i="2" a="1"/>
  <c r="Q440" i="2" s="1"/>
  <c r="Q441" i="2" a="1"/>
  <c r="Q441" i="2" s="1"/>
  <c r="Q442" i="2" a="1"/>
  <c r="Q442" i="2" s="1"/>
  <c r="Q443" i="2" a="1"/>
  <c r="Q443" i="2" s="1"/>
  <c r="Q444" i="2" a="1"/>
  <c r="Q444" i="2" s="1"/>
  <c r="Q445" i="2" a="1"/>
  <c r="Q445" i="2" s="1"/>
  <c r="Q446" i="2" a="1"/>
  <c r="Q446" i="2" s="1"/>
  <c r="Q447" i="2" a="1"/>
  <c r="Q447" i="2" s="1"/>
  <c r="Q448" i="2" a="1"/>
  <c r="Q448" i="2" s="1"/>
  <c r="Q449" i="2" a="1"/>
  <c r="Q449" i="2" s="1"/>
  <c r="Q450" i="2" a="1"/>
  <c r="Q450" i="2" s="1"/>
  <c r="Q451" i="2" a="1"/>
  <c r="Q451" i="2" s="1"/>
  <c r="Q452" i="2" a="1"/>
  <c r="Q452" i="2" s="1"/>
  <c r="Q453" i="2" a="1"/>
  <c r="Q453" i="2" s="1"/>
  <c r="Q454" i="2" a="1"/>
  <c r="Q454" i="2" s="1"/>
  <c r="Q455" i="2" a="1"/>
  <c r="Q455" i="2" s="1"/>
  <c r="Q456" i="2" a="1"/>
  <c r="Q456" i="2" s="1"/>
  <c r="Q457" i="2" a="1"/>
  <c r="Q457" i="2" s="1"/>
  <c r="Q458" i="2" a="1"/>
  <c r="Q458" i="2" s="1"/>
  <c r="Q459" i="2" a="1"/>
  <c r="Q459" i="2" s="1"/>
  <c r="Q460" i="2" a="1"/>
  <c r="Q460" i="2" s="1"/>
  <c r="Q461" i="2" a="1"/>
  <c r="Q461" i="2" s="1"/>
  <c r="Q462" i="2" a="1"/>
  <c r="Q462" i="2" s="1"/>
  <c r="Q463" i="2" a="1"/>
  <c r="Q463" i="2" s="1"/>
  <c r="Q464" i="2" a="1"/>
  <c r="Q464" i="2" s="1"/>
  <c r="Q465" i="2" a="1"/>
  <c r="Q465" i="2" s="1"/>
  <c r="Q466" i="2" a="1"/>
  <c r="Q466" i="2" s="1"/>
  <c r="Q467" i="2" a="1"/>
  <c r="Q467" i="2" s="1"/>
  <c r="Q468" i="2" a="1"/>
  <c r="Q468" i="2" s="1"/>
  <c r="Q469" i="2" a="1"/>
  <c r="Q469" i="2" s="1"/>
  <c r="Q470" i="2" a="1"/>
  <c r="Q470" i="2" s="1"/>
  <c r="Q471" i="2" a="1"/>
  <c r="Q471" i="2" s="1"/>
  <c r="Q472" i="2" a="1"/>
  <c r="Q472" i="2" s="1"/>
  <c r="Q473" i="2" a="1"/>
  <c r="Q473" i="2" s="1"/>
  <c r="Q474" i="2" a="1"/>
  <c r="Q474" i="2" s="1"/>
  <c r="Q475" i="2" a="1"/>
  <c r="Q475" i="2" s="1"/>
  <c r="Q476" i="2" a="1"/>
  <c r="Q476" i="2" s="1"/>
  <c r="Q477" i="2" a="1"/>
  <c r="Q477" i="2" s="1"/>
  <c r="Q478" i="2" a="1"/>
  <c r="Q478" i="2" s="1"/>
  <c r="Q479" i="2" a="1"/>
  <c r="Q479" i="2" s="1"/>
  <c r="Q480" i="2" a="1"/>
  <c r="Q480" i="2" s="1"/>
  <c r="Q481" i="2" a="1"/>
  <c r="Q481" i="2" s="1"/>
  <c r="Q482" i="2" a="1"/>
  <c r="Q482" i="2" s="1"/>
  <c r="Q483" i="2" a="1"/>
  <c r="Q483" i="2" s="1"/>
  <c r="Q484" i="2" a="1"/>
  <c r="Q484" i="2" s="1"/>
  <c r="Q485" i="2" a="1"/>
  <c r="Q485" i="2" s="1"/>
  <c r="Q486" i="2" a="1"/>
  <c r="Q486" i="2" s="1"/>
  <c r="Q487" i="2" a="1"/>
  <c r="Q487" i="2" s="1"/>
  <c r="Q488" i="2" a="1"/>
  <c r="Q488" i="2" s="1"/>
  <c r="Q489" i="2" a="1"/>
  <c r="Q489" i="2" s="1"/>
  <c r="Q490" i="2" a="1"/>
  <c r="Q490" i="2" s="1"/>
  <c r="Q491" i="2" a="1"/>
  <c r="Q491" i="2" s="1"/>
  <c r="Q492" i="2" a="1"/>
  <c r="Q492" i="2" s="1"/>
  <c r="Q493" i="2" a="1"/>
  <c r="Q493" i="2" s="1"/>
  <c r="Q494" i="2" a="1"/>
  <c r="Q494" i="2" s="1"/>
  <c r="Q495" i="2" a="1"/>
  <c r="Q495" i="2" s="1"/>
  <c r="Q496" i="2" a="1"/>
  <c r="Q496" i="2" s="1"/>
  <c r="Q497" i="2" a="1"/>
  <c r="Q497" i="2" s="1"/>
  <c r="Q498" i="2" a="1"/>
  <c r="Q498" i="2" s="1"/>
  <c r="Q499" i="2" a="1"/>
  <c r="Q499" i="2" s="1"/>
  <c r="Q500" i="2" a="1"/>
  <c r="Q500" i="2" s="1"/>
  <c r="Q501" i="2" a="1"/>
  <c r="Q501" i="2" s="1"/>
  <c r="Q502" i="2" a="1"/>
  <c r="Q502" i="2" s="1"/>
  <c r="Q503" i="2" a="1"/>
  <c r="Q503" i="2" s="1"/>
  <c r="Q504" i="2" a="1"/>
  <c r="Q504" i="2" s="1"/>
  <c r="Q505" i="2" a="1"/>
  <c r="Q505" i="2" s="1"/>
  <c r="Q506" i="2" a="1"/>
  <c r="Q506" i="2" s="1"/>
  <c r="Q507" i="2" a="1"/>
  <c r="Q507" i="2" s="1"/>
  <c r="Q508" i="2" a="1"/>
  <c r="Q508" i="2" s="1"/>
  <c r="Q509" i="2" a="1"/>
  <c r="Q509" i="2" s="1"/>
  <c r="Q510" i="2" a="1"/>
  <c r="Q510" i="2" s="1"/>
  <c r="Q511" i="2" a="1"/>
  <c r="Q511" i="2" s="1"/>
  <c r="Q512" i="2" a="1"/>
  <c r="Q512" i="2" s="1"/>
  <c r="Q513" i="2" a="1"/>
  <c r="Q513" i="2" s="1"/>
  <c r="Q514" i="2" a="1"/>
  <c r="Q514" i="2" s="1"/>
  <c r="Q515" i="2" a="1"/>
  <c r="Q515" i="2" s="1"/>
  <c r="Q516" i="2" a="1"/>
  <c r="Q516" i="2" s="1"/>
  <c r="Q517" i="2" a="1"/>
  <c r="Q517" i="2" s="1"/>
  <c r="Q518" i="2" a="1"/>
  <c r="Q518" i="2" s="1"/>
  <c r="Q519" i="2" a="1"/>
  <c r="Q519" i="2" s="1"/>
  <c r="Q520" i="2" a="1"/>
  <c r="Q520" i="2" s="1"/>
  <c r="Q521" i="2" a="1"/>
  <c r="Q521" i="2" s="1"/>
  <c r="Q522" i="2" a="1"/>
  <c r="Q522" i="2" s="1"/>
  <c r="Q523" i="2" a="1"/>
  <c r="Q523" i="2" s="1"/>
  <c r="Q524" i="2" a="1"/>
  <c r="Q524" i="2" s="1"/>
  <c r="Q525" i="2" a="1"/>
  <c r="Q525" i="2" s="1"/>
  <c r="Q526" i="2" a="1"/>
  <c r="Q526" i="2" s="1"/>
  <c r="Q527" i="2" a="1"/>
  <c r="Q527" i="2" s="1"/>
  <c r="Q528" i="2" a="1"/>
  <c r="Q528" i="2" s="1"/>
  <c r="Q529" i="2" a="1"/>
  <c r="Q529" i="2" s="1"/>
  <c r="Q530" i="2" a="1"/>
  <c r="Q530" i="2" s="1"/>
  <c r="Q531" i="2" a="1"/>
  <c r="Q531" i="2" s="1"/>
  <c r="Q532" i="2" a="1"/>
  <c r="Q532" i="2" s="1"/>
  <c r="Q533" i="2" a="1"/>
  <c r="Q533" i="2" s="1"/>
  <c r="Q534" i="2" a="1"/>
  <c r="Q534" i="2" s="1"/>
  <c r="Q535" i="2" a="1"/>
  <c r="Q535" i="2" s="1"/>
  <c r="Q536" i="2" a="1"/>
  <c r="Q536" i="2" s="1"/>
  <c r="Q537" i="2" a="1"/>
  <c r="Q537" i="2" s="1"/>
  <c r="Q538" i="2" a="1"/>
  <c r="Q538" i="2" s="1"/>
  <c r="Q539" i="2" a="1"/>
  <c r="Q539" i="2" s="1"/>
  <c r="Q540" i="2" a="1"/>
  <c r="Q540" i="2" s="1"/>
  <c r="Q541" i="2" a="1"/>
  <c r="Q541" i="2" s="1"/>
  <c r="Q542" i="2" a="1"/>
  <c r="Q542" i="2" s="1"/>
  <c r="Q543" i="2" a="1"/>
  <c r="Q543" i="2" s="1"/>
  <c r="Q544" i="2" a="1"/>
  <c r="Q544" i="2" s="1"/>
  <c r="Q545" i="2" a="1"/>
  <c r="Q545" i="2" s="1"/>
  <c r="Q546" i="2" a="1"/>
  <c r="Q546" i="2" s="1"/>
  <c r="Q547" i="2" a="1"/>
  <c r="Q547" i="2" s="1"/>
  <c r="Q548" i="2" a="1"/>
  <c r="Q548" i="2" s="1"/>
  <c r="Q549" i="2" a="1"/>
  <c r="Q549" i="2" s="1"/>
  <c r="Q550" i="2" a="1"/>
  <c r="Q550" i="2" s="1"/>
  <c r="Q551" i="2" a="1"/>
  <c r="Q551" i="2" s="1"/>
  <c r="Q552" i="2" a="1"/>
  <c r="Q552" i="2" s="1"/>
  <c r="Q553" i="2" a="1"/>
  <c r="Q553" i="2" s="1"/>
  <c r="Q554" i="2" a="1"/>
  <c r="Q554" i="2" s="1"/>
  <c r="Q555" i="2" a="1"/>
  <c r="Q555" i="2" s="1"/>
  <c r="Q556" i="2" a="1"/>
  <c r="Q556" i="2" s="1"/>
  <c r="Q557" i="2" a="1"/>
  <c r="Q557" i="2" s="1"/>
  <c r="Q558" i="2" a="1"/>
  <c r="Q558" i="2" s="1"/>
  <c r="Q559" i="2" a="1"/>
  <c r="Q559" i="2" s="1"/>
  <c r="Q560" i="2" a="1"/>
  <c r="Q560" i="2" s="1"/>
  <c r="Q561" i="2" a="1"/>
  <c r="Q561" i="2" s="1"/>
  <c r="Q562" i="2" a="1"/>
  <c r="Q562" i="2" s="1"/>
  <c r="Q563" i="2" a="1"/>
  <c r="Q563" i="2" s="1"/>
  <c r="Q564" i="2" a="1"/>
  <c r="Q564" i="2" s="1"/>
  <c r="Q565" i="2" a="1"/>
  <c r="Q565" i="2" s="1"/>
  <c r="Q566" i="2" a="1"/>
  <c r="Q566" i="2" s="1"/>
  <c r="Q567" i="2" a="1"/>
  <c r="Q567" i="2" s="1"/>
  <c r="Q568" i="2" a="1"/>
  <c r="Q568" i="2" s="1"/>
  <c r="Q569" i="2" a="1"/>
  <c r="Q569" i="2" s="1"/>
  <c r="Q570" i="2" a="1"/>
  <c r="Q570" i="2" s="1"/>
  <c r="Q571" i="2" a="1"/>
  <c r="Q571" i="2" s="1"/>
  <c r="Q572" i="2" a="1"/>
  <c r="Q572" i="2" s="1"/>
  <c r="Q573" i="2" a="1"/>
  <c r="Q573" i="2" s="1"/>
  <c r="Q574" i="2" a="1"/>
  <c r="Q574" i="2" s="1"/>
  <c r="Q575" i="2" a="1"/>
  <c r="Q575" i="2" s="1"/>
  <c r="Q576" i="2" a="1"/>
  <c r="Q576" i="2" s="1"/>
  <c r="Q577" i="2" a="1"/>
  <c r="Q577" i="2" s="1"/>
  <c r="Q578" i="2" a="1"/>
  <c r="Q578" i="2" s="1"/>
  <c r="Q579" i="2" a="1"/>
  <c r="Q579" i="2" s="1"/>
  <c r="Q580" i="2" a="1"/>
  <c r="Q580" i="2" s="1"/>
  <c r="Q581" i="2" a="1"/>
  <c r="Q581" i="2" s="1"/>
  <c r="Q582" i="2" a="1"/>
  <c r="Q582" i="2" s="1"/>
  <c r="Q583" i="2" a="1"/>
  <c r="Q583" i="2" s="1"/>
  <c r="Q584" i="2" a="1"/>
  <c r="Q584" i="2" s="1"/>
  <c r="Q585" i="2" a="1"/>
  <c r="Q585" i="2" s="1"/>
  <c r="Q586" i="2" a="1"/>
  <c r="Q586" i="2" s="1"/>
  <c r="Q587" i="2" a="1"/>
  <c r="Q587" i="2" s="1"/>
  <c r="Q588" i="2" a="1"/>
  <c r="Q588" i="2" s="1"/>
  <c r="Q589" i="2" a="1"/>
  <c r="Q589" i="2" s="1"/>
  <c r="Q590" i="2" a="1"/>
  <c r="Q590" i="2" s="1"/>
  <c r="Q591" i="2" a="1"/>
  <c r="Q591" i="2" s="1"/>
  <c r="Q592" i="2" a="1"/>
  <c r="Q592" i="2" s="1"/>
  <c r="Q593" i="2" a="1"/>
  <c r="Q593" i="2" s="1"/>
  <c r="Q594" i="2" a="1"/>
  <c r="Q594" i="2" s="1"/>
  <c r="Q595" i="2" a="1"/>
  <c r="Q595" i="2" s="1"/>
  <c r="Q596" i="2" a="1"/>
  <c r="Q596" i="2" s="1"/>
  <c r="Q597" i="2" a="1"/>
  <c r="Q597" i="2" s="1"/>
  <c r="Q598" i="2" a="1"/>
  <c r="Q598" i="2" s="1"/>
  <c r="Q599" i="2" a="1"/>
  <c r="Q599" i="2" s="1"/>
  <c r="Q600" i="2" a="1"/>
  <c r="Q600" i="2" s="1"/>
  <c r="Q601" i="2" a="1"/>
  <c r="Q601" i="2" s="1"/>
  <c r="Q602" i="2" a="1"/>
  <c r="Q602" i="2" s="1"/>
  <c r="Q603" i="2" a="1"/>
  <c r="Q603" i="2" s="1"/>
  <c r="Q604" i="2" a="1"/>
  <c r="Q604" i="2" s="1"/>
  <c r="Q605" i="2" a="1"/>
  <c r="Q605" i="2" s="1"/>
  <c r="Q606" i="2" a="1"/>
  <c r="Q606" i="2" s="1"/>
  <c r="Q607" i="2" a="1"/>
  <c r="Q607" i="2" s="1"/>
  <c r="Q608" i="2" a="1"/>
  <c r="Q608" i="2" s="1"/>
  <c r="Q609" i="2" a="1"/>
  <c r="Q609" i="2" s="1"/>
  <c r="Q610" i="2" a="1"/>
  <c r="Q610" i="2" s="1"/>
  <c r="Q611" i="2" a="1"/>
  <c r="Q611" i="2" s="1"/>
  <c r="Q612" i="2" a="1"/>
  <c r="Q612" i="2" s="1"/>
  <c r="Q613" i="2" a="1"/>
  <c r="Q613" i="2" s="1"/>
  <c r="Q614" i="2" a="1"/>
  <c r="Q614" i="2" s="1"/>
  <c r="Q615" i="2" a="1"/>
  <c r="Q615" i="2" s="1"/>
  <c r="Q616" i="2" a="1"/>
  <c r="Q616" i="2" s="1"/>
  <c r="Q617" i="2" a="1"/>
  <c r="Q617" i="2" s="1"/>
  <c r="Q618" i="2" a="1"/>
  <c r="Q618" i="2" s="1"/>
  <c r="Q619" i="2" a="1"/>
  <c r="Q619" i="2" s="1"/>
  <c r="Q620" i="2" a="1"/>
  <c r="Q620" i="2" s="1"/>
  <c r="Q621" i="2" a="1"/>
  <c r="Q621" i="2" s="1"/>
  <c r="Q622" i="2" a="1"/>
  <c r="Q622" i="2" s="1"/>
  <c r="Q623" i="2" a="1"/>
  <c r="Q623" i="2" s="1"/>
  <c r="Q624" i="2" a="1"/>
  <c r="Q624" i="2" s="1"/>
  <c r="Q625" i="2" a="1"/>
  <c r="Q625" i="2" s="1"/>
  <c r="Q626" i="2" a="1"/>
  <c r="Q626" i="2" s="1"/>
  <c r="Q627" i="2" a="1"/>
  <c r="Q627" i="2" s="1"/>
  <c r="Q628" i="2" a="1"/>
  <c r="Q628" i="2" s="1"/>
  <c r="Q629" i="2" a="1"/>
  <c r="Q629" i="2" s="1"/>
  <c r="Q630" i="2" a="1"/>
  <c r="Q630" i="2" s="1"/>
  <c r="Q631" i="2" a="1"/>
  <c r="Q631" i="2" s="1"/>
  <c r="Q632" i="2" a="1"/>
  <c r="Q632" i="2" s="1"/>
  <c r="Q633" i="2" a="1"/>
  <c r="Q633" i="2" s="1"/>
  <c r="Q634" i="2" a="1"/>
  <c r="Q634" i="2" s="1"/>
  <c r="Q635" i="2" a="1"/>
  <c r="Q635" i="2" s="1"/>
  <c r="Q636" i="2" a="1"/>
  <c r="Q636" i="2" s="1"/>
  <c r="Q637" i="2" a="1"/>
  <c r="Q637" i="2" s="1"/>
  <c r="Q638" i="2" a="1"/>
  <c r="Q638" i="2" s="1"/>
  <c r="Q639" i="2" a="1"/>
  <c r="Q639" i="2" s="1"/>
  <c r="Q640" i="2" a="1"/>
  <c r="Q640" i="2" s="1"/>
  <c r="Q641" i="2" a="1"/>
  <c r="Q641" i="2" s="1"/>
  <c r="Q642" i="2" a="1"/>
  <c r="Q642" i="2" s="1"/>
  <c r="Q643" i="2" a="1"/>
  <c r="Q643" i="2" s="1"/>
  <c r="Q644" i="2" a="1"/>
  <c r="Q644" i="2" s="1"/>
  <c r="Q645" i="2" a="1"/>
  <c r="Q645" i="2" s="1"/>
  <c r="Q646" i="2" a="1"/>
  <c r="Q646" i="2" s="1"/>
  <c r="Q647" i="2" a="1"/>
  <c r="Q647" i="2" s="1"/>
  <c r="Q648" i="2" a="1"/>
  <c r="Q648" i="2" s="1"/>
  <c r="Q649" i="2" a="1"/>
  <c r="Q649" i="2" s="1"/>
  <c r="Q650" i="2" a="1"/>
  <c r="Q650" i="2" s="1"/>
  <c r="Q651" i="2" a="1"/>
  <c r="Q651" i="2" s="1"/>
  <c r="Q652" i="2" a="1"/>
  <c r="Q652" i="2" s="1"/>
  <c r="Q653" i="2" a="1"/>
  <c r="Q653" i="2" s="1"/>
  <c r="Q654" i="2" a="1"/>
  <c r="Q654" i="2" s="1"/>
  <c r="Q655" i="2" a="1"/>
  <c r="Q655" i="2" s="1"/>
  <c r="Q656" i="2" a="1"/>
  <c r="Q656" i="2" s="1"/>
  <c r="Q657" i="2" a="1"/>
  <c r="Q657" i="2" s="1"/>
  <c r="Q658" i="2" a="1"/>
  <c r="Q658" i="2" s="1"/>
  <c r="Q659" i="2" a="1"/>
  <c r="Q659" i="2" s="1"/>
  <c r="Q660" i="2" a="1"/>
  <c r="Q660" i="2" s="1"/>
  <c r="Q661" i="2" a="1"/>
  <c r="Q661" i="2" s="1"/>
  <c r="Q662" i="2" a="1"/>
  <c r="Q662" i="2" s="1"/>
  <c r="Q663" i="2" a="1"/>
  <c r="Q663" i="2" s="1"/>
  <c r="Q664" i="2" a="1"/>
  <c r="Q664" i="2" s="1"/>
  <c r="Q665" i="2" a="1"/>
  <c r="Q665" i="2" s="1"/>
  <c r="Q666" i="2" a="1"/>
  <c r="Q666" i="2" s="1"/>
  <c r="Q667" i="2" a="1"/>
  <c r="Q667" i="2" s="1"/>
  <c r="Q668" i="2" a="1"/>
  <c r="Q668" i="2" s="1"/>
  <c r="Q669" i="2" a="1"/>
  <c r="Q669" i="2" s="1"/>
  <c r="Q670" i="2" a="1"/>
  <c r="Q670" i="2" s="1"/>
  <c r="Q671" i="2" a="1"/>
  <c r="Q671" i="2" s="1"/>
  <c r="Q672" i="2" a="1"/>
  <c r="Q672" i="2" s="1"/>
  <c r="Q673" i="2" a="1"/>
  <c r="Q673" i="2" s="1"/>
  <c r="Q674" i="2" a="1"/>
  <c r="Q674" i="2" s="1"/>
  <c r="Q675" i="2" a="1"/>
  <c r="Q675" i="2" s="1"/>
  <c r="Q676" i="2" a="1"/>
  <c r="Q676" i="2" s="1"/>
  <c r="Q677" i="2" a="1"/>
  <c r="Q677" i="2" s="1"/>
  <c r="Q678" i="2" a="1"/>
  <c r="Q678" i="2" s="1"/>
  <c r="Q679" i="2" a="1"/>
  <c r="Q679" i="2" s="1"/>
  <c r="Q680" i="2" a="1"/>
  <c r="Q680" i="2" s="1"/>
  <c r="Q681" i="2" a="1"/>
  <c r="Q681" i="2" s="1"/>
  <c r="Q682" i="2" a="1"/>
  <c r="Q682" i="2" s="1"/>
  <c r="Q683" i="2" a="1"/>
  <c r="Q683" i="2" s="1"/>
  <c r="Q684" i="2" a="1"/>
  <c r="Q684" i="2" s="1"/>
  <c r="Q685" i="2" a="1"/>
  <c r="Q685" i="2" s="1"/>
  <c r="Q686" i="2" a="1"/>
  <c r="Q686" i="2" s="1"/>
  <c r="Q687" i="2" a="1"/>
  <c r="Q687" i="2" s="1"/>
  <c r="Q688" i="2" a="1"/>
  <c r="Q688" i="2" s="1"/>
  <c r="Q689" i="2" a="1"/>
  <c r="Q689" i="2" s="1"/>
  <c r="Q690" i="2" a="1"/>
  <c r="Q690" i="2" s="1"/>
  <c r="Q691" i="2" a="1"/>
  <c r="Q691" i="2" s="1"/>
  <c r="Q692" i="2" a="1"/>
  <c r="Q692" i="2" s="1"/>
  <c r="Q693" i="2" a="1"/>
  <c r="Q693" i="2" s="1"/>
  <c r="Q694" i="2" a="1"/>
  <c r="Q694" i="2" s="1"/>
  <c r="Q695" i="2" a="1"/>
  <c r="Q695" i="2" s="1"/>
  <c r="Q696" i="2" a="1"/>
  <c r="Q696" i="2" s="1"/>
  <c r="Q697" i="2" a="1"/>
  <c r="Q697" i="2" s="1"/>
  <c r="Q698" i="2" a="1"/>
  <c r="Q698" i="2" s="1"/>
  <c r="Q699" i="2" a="1"/>
  <c r="Q699" i="2" s="1"/>
  <c r="Q700" i="2" a="1"/>
  <c r="Q700" i="2" s="1"/>
  <c r="Q701" i="2" a="1"/>
  <c r="Q701" i="2" s="1"/>
  <c r="Q702" i="2" a="1"/>
  <c r="Q702" i="2" s="1"/>
  <c r="Q703" i="2" a="1"/>
  <c r="Q703" i="2" s="1"/>
  <c r="Q704" i="2" a="1"/>
  <c r="Q704" i="2" s="1"/>
  <c r="Q705" i="2" a="1"/>
  <c r="Q705" i="2" s="1"/>
  <c r="Q706" i="2" a="1"/>
  <c r="Q706" i="2" s="1"/>
  <c r="Q707" i="2" a="1"/>
  <c r="Q707" i="2" s="1"/>
  <c r="Q708" i="2" a="1"/>
  <c r="Q708" i="2" s="1"/>
  <c r="Q709" i="2" a="1"/>
  <c r="Q709" i="2" s="1"/>
  <c r="Q710" i="2" a="1"/>
  <c r="Q710" i="2" s="1"/>
  <c r="Q711" i="2" a="1"/>
  <c r="Q711" i="2" s="1"/>
  <c r="Q712" i="2" a="1"/>
  <c r="Q712" i="2" s="1"/>
  <c r="Q713" i="2" a="1"/>
  <c r="Q713" i="2" s="1"/>
  <c r="Q714" i="2" a="1"/>
  <c r="Q714" i="2" s="1"/>
  <c r="Q715" i="2" a="1"/>
  <c r="Q715" i="2" s="1"/>
  <c r="Q716" i="2" a="1"/>
  <c r="Q716" i="2" s="1"/>
  <c r="Q717" i="2" a="1"/>
  <c r="Q717" i="2" s="1"/>
  <c r="Q718" i="2" a="1"/>
  <c r="Q718" i="2" s="1"/>
  <c r="Q719" i="2" a="1"/>
  <c r="Q719" i="2" s="1"/>
  <c r="Q720" i="2" a="1"/>
  <c r="Q720" i="2" s="1"/>
  <c r="Q721" i="2" a="1"/>
  <c r="Q721" i="2" s="1"/>
  <c r="Q722" i="2" a="1"/>
  <c r="Q722" i="2" s="1"/>
  <c r="Q723" i="2" a="1"/>
  <c r="Q723" i="2" s="1"/>
  <c r="Q724" i="2" a="1"/>
  <c r="Q724" i="2" s="1"/>
  <c r="Q725" i="2" a="1"/>
  <c r="Q725" i="2" s="1"/>
  <c r="Q726" i="2" a="1"/>
  <c r="Q726" i="2" s="1"/>
  <c r="Q727" i="2" a="1"/>
  <c r="Q727" i="2" s="1"/>
  <c r="Q728" i="2" a="1"/>
  <c r="Q728" i="2" s="1"/>
  <c r="Q729" i="2" a="1"/>
  <c r="Q729" i="2" s="1"/>
  <c r="Q730" i="2" a="1"/>
  <c r="Q730" i="2" s="1"/>
  <c r="Q731" i="2" a="1"/>
  <c r="Q731" i="2" s="1"/>
  <c r="Q732" i="2" a="1"/>
  <c r="Q732" i="2" s="1"/>
  <c r="Q733" i="2" a="1"/>
  <c r="Q733" i="2" s="1"/>
  <c r="Q734" i="2" a="1"/>
  <c r="Q734" i="2" s="1"/>
  <c r="Q735" i="2" a="1"/>
  <c r="Q735" i="2" s="1"/>
  <c r="Q736" i="2" a="1"/>
  <c r="Q736" i="2" s="1"/>
  <c r="Q737" i="2" a="1"/>
  <c r="Q737" i="2" s="1"/>
  <c r="Q738" i="2" a="1"/>
  <c r="Q738" i="2" s="1"/>
  <c r="Q739" i="2" a="1"/>
  <c r="Q739" i="2" s="1"/>
  <c r="Q740" i="2" a="1"/>
  <c r="Q740" i="2" s="1"/>
  <c r="Q741" i="2" a="1"/>
  <c r="Q741" i="2" s="1"/>
  <c r="Q742" i="2" a="1"/>
  <c r="Q742" i="2" s="1"/>
  <c r="Q743" i="2" a="1"/>
  <c r="Q743" i="2" s="1"/>
  <c r="Q744" i="2" a="1"/>
  <c r="Q744" i="2" s="1"/>
  <c r="Q745" i="2" a="1"/>
  <c r="Q745" i="2" s="1"/>
  <c r="Q746" i="2" a="1"/>
  <c r="Q746" i="2" s="1"/>
  <c r="Q747" i="2" a="1"/>
  <c r="Q747" i="2" s="1"/>
  <c r="Q748" i="2" a="1"/>
  <c r="Q748" i="2" s="1"/>
  <c r="Q749" i="2" a="1"/>
  <c r="Q749" i="2" s="1"/>
  <c r="Q750" i="2" a="1"/>
  <c r="Q750" i="2" s="1"/>
  <c r="Q751" i="2" a="1"/>
  <c r="Q751" i="2" s="1"/>
  <c r="Q752" i="2" a="1"/>
  <c r="Q752" i="2" s="1"/>
  <c r="Q753" i="2" a="1"/>
  <c r="Q753" i="2" s="1"/>
  <c r="Q754" i="2" a="1"/>
  <c r="Q754" i="2" s="1"/>
  <c r="Q755" i="2" a="1"/>
  <c r="Q755" i="2" s="1"/>
  <c r="Q756" i="2" a="1"/>
  <c r="Q756" i="2" s="1"/>
  <c r="Q757" i="2" a="1"/>
  <c r="Q757" i="2" s="1"/>
  <c r="Q758" i="2" a="1"/>
  <c r="Q758" i="2" s="1"/>
  <c r="Q759" i="2" a="1"/>
  <c r="Q759" i="2" s="1"/>
  <c r="Q760" i="2" a="1"/>
  <c r="Q760" i="2" s="1"/>
  <c r="Q761" i="2" a="1"/>
  <c r="Q761" i="2" s="1"/>
  <c r="Q762" i="2" a="1"/>
  <c r="Q762" i="2" s="1"/>
  <c r="Q763" i="2" a="1"/>
  <c r="Q763" i="2" s="1"/>
  <c r="Q764" i="2" a="1"/>
  <c r="Q764" i="2" s="1"/>
  <c r="Q765" i="2" a="1"/>
  <c r="Q765" i="2" s="1"/>
  <c r="Q766" i="2" a="1"/>
  <c r="Q766" i="2" s="1"/>
  <c r="Q767" i="2" a="1"/>
  <c r="Q767" i="2" s="1"/>
  <c r="Q768" i="2" a="1"/>
  <c r="Q768" i="2" s="1"/>
  <c r="Q769" i="2" a="1"/>
  <c r="Q769" i="2" s="1"/>
  <c r="Q770" i="2" a="1"/>
  <c r="Q770" i="2" s="1"/>
  <c r="Q771" i="2" a="1"/>
  <c r="Q771" i="2" s="1"/>
  <c r="Q772" i="2" a="1"/>
  <c r="Q772" i="2" s="1"/>
  <c r="Q773" i="2" a="1"/>
  <c r="Q773" i="2" s="1"/>
  <c r="Q774" i="2" a="1"/>
  <c r="Q774" i="2" s="1"/>
  <c r="Q775" i="2" a="1"/>
  <c r="Q775" i="2" s="1"/>
  <c r="Q776" i="2" a="1"/>
  <c r="Q776" i="2" s="1"/>
  <c r="Q777" i="2" a="1"/>
  <c r="Q777" i="2" s="1"/>
  <c r="Q778" i="2" a="1"/>
  <c r="Q778" i="2" s="1"/>
  <c r="Q779" i="2" a="1"/>
  <c r="Q779" i="2" s="1"/>
  <c r="Q780" i="2" a="1"/>
  <c r="Q780" i="2" s="1"/>
  <c r="Q781" i="2" a="1"/>
  <c r="Q781" i="2" s="1"/>
  <c r="Q782" i="2" a="1"/>
  <c r="Q782" i="2" s="1"/>
  <c r="Q783" i="2" a="1"/>
  <c r="Q783" i="2" s="1"/>
  <c r="Q784" i="2" a="1"/>
  <c r="Q784" i="2" s="1"/>
  <c r="Q785" i="2" a="1"/>
  <c r="Q785" i="2" s="1"/>
  <c r="Q786" i="2" a="1"/>
  <c r="Q786" i="2" s="1"/>
  <c r="Q787" i="2" a="1"/>
  <c r="Q787" i="2" s="1"/>
  <c r="Q788" i="2" a="1"/>
  <c r="Q788" i="2" s="1"/>
  <c r="Q789" i="2" a="1"/>
  <c r="Q789" i="2" s="1"/>
  <c r="Q790" i="2" a="1"/>
  <c r="Q790" i="2" s="1"/>
  <c r="Q791" i="2" a="1"/>
  <c r="Q791" i="2" s="1"/>
  <c r="Q792" i="2" a="1"/>
  <c r="Q792" i="2" s="1"/>
  <c r="Q793" i="2" a="1"/>
  <c r="Q793" i="2" s="1"/>
  <c r="Q794" i="2" a="1"/>
  <c r="Q794" i="2" s="1"/>
  <c r="Q795" i="2" a="1"/>
  <c r="Q795" i="2" s="1"/>
  <c r="Q796" i="2" a="1"/>
  <c r="Q796" i="2" s="1"/>
  <c r="Q797" i="2" a="1"/>
  <c r="Q797" i="2" s="1"/>
  <c r="Q798" i="2" a="1"/>
  <c r="Q798" i="2" s="1"/>
  <c r="Q799" i="2" a="1"/>
  <c r="Q799" i="2" s="1"/>
  <c r="Q800" i="2" a="1"/>
  <c r="Q800" i="2" s="1"/>
  <c r="Q801" i="2" a="1"/>
  <c r="Q801" i="2" s="1"/>
  <c r="Q802" i="2" a="1"/>
  <c r="Q802" i="2" s="1"/>
  <c r="Q803" i="2" a="1"/>
  <c r="Q803" i="2" s="1"/>
  <c r="Q804" i="2" a="1"/>
  <c r="Q804" i="2" s="1"/>
  <c r="Q805" i="2" a="1"/>
  <c r="Q805" i="2" s="1"/>
  <c r="Q806" i="2" a="1"/>
  <c r="Q806" i="2" s="1"/>
  <c r="Q807" i="2" a="1"/>
  <c r="Q807" i="2" s="1"/>
  <c r="Q808" i="2" a="1"/>
  <c r="Q808" i="2" s="1"/>
  <c r="Q809" i="2" a="1"/>
  <c r="Q809" i="2" s="1"/>
  <c r="Q810" i="2" a="1"/>
  <c r="Q810" i="2" s="1"/>
  <c r="Q811" i="2" a="1"/>
  <c r="Q811" i="2" s="1"/>
  <c r="Q812" i="2" a="1"/>
  <c r="Q812" i="2" s="1"/>
  <c r="Q813" i="2" a="1"/>
  <c r="Q813" i="2" s="1"/>
  <c r="Q814" i="2" a="1"/>
  <c r="Q814" i="2" s="1"/>
  <c r="Q815" i="2" a="1"/>
  <c r="Q815" i="2" s="1"/>
  <c r="Q816" i="2" a="1"/>
  <c r="Q816" i="2" s="1"/>
  <c r="Q817" i="2" a="1"/>
  <c r="Q817" i="2" s="1"/>
  <c r="Q818" i="2" a="1"/>
  <c r="Q818" i="2" s="1"/>
  <c r="Q819" i="2" a="1"/>
  <c r="Q819" i="2" s="1"/>
  <c r="Q820" i="2" a="1"/>
  <c r="Q820" i="2" s="1"/>
  <c r="Q821" i="2" a="1"/>
  <c r="Q821" i="2" s="1"/>
  <c r="Q822" i="2" a="1"/>
  <c r="Q822" i="2" s="1"/>
  <c r="Q823" i="2" a="1"/>
  <c r="Q823" i="2" s="1"/>
  <c r="Q824" i="2" a="1"/>
  <c r="Q824" i="2" s="1"/>
  <c r="Q825" i="2" a="1"/>
  <c r="Q825" i="2" s="1"/>
  <c r="Q826" i="2" a="1"/>
  <c r="Q826" i="2" s="1"/>
  <c r="Q827" i="2" a="1"/>
  <c r="Q827" i="2" s="1"/>
  <c r="Q828" i="2" a="1"/>
  <c r="Q828" i="2" s="1"/>
  <c r="Q829" i="2" a="1"/>
  <c r="Q829" i="2" s="1"/>
  <c r="Q830" i="2" a="1"/>
  <c r="Q830" i="2" s="1"/>
  <c r="Q831" i="2" a="1"/>
  <c r="Q831" i="2" s="1"/>
  <c r="Q832" i="2" a="1"/>
  <c r="Q832" i="2" s="1"/>
  <c r="Q833" i="2" a="1"/>
  <c r="Q833" i="2" s="1"/>
  <c r="Q834" i="2" a="1"/>
  <c r="Q834" i="2" s="1"/>
  <c r="Q835" i="2" a="1"/>
  <c r="Q835" i="2" s="1"/>
  <c r="Q836" i="2" a="1"/>
  <c r="Q836" i="2" s="1"/>
  <c r="Q837" i="2" a="1"/>
  <c r="Q837" i="2" s="1"/>
  <c r="Q838" i="2" a="1"/>
  <c r="Q838" i="2" s="1"/>
  <c r="Q839" i="2" a="1"/>
  <c r="Q839" i="2" s="1"/>
  <c r="Q840" i="2" a="1"/>
  <c r="Q840" i="2" s="1"/>
  <c r="Q841" i="2" a="1"/>
  <c r="Q841" i="2" s="1"/>
  <c r="Q842" i="2" a="1"/>
  <c r="Q842" i="2" s="1"/>
  <c r="Q843" i="2" a="1"/>
  <c r="Q843" i="2" s="1"/>
  <c r="Q844" i="2" a="1"/>
  <c r="Q844" i="2" s="1"/>
  <c r="Q845" i="2" a="1"/>
  <c r="Q845" i="2" s="1"/>
  <c r="Q846" i="2" a="1"/>
  <c r="Q846" i="2" s="1"/>
  <c r="Q847" i="2" a="1"/>
  <c r="Q847" i="2" s="1"/>
  <c r="Q848" i="2" a="1"/>
  <c r="Q848" i="2" s="1"/>
  <c r="Q849" i="2" a="1"/>
  <c r="Q849" i="2" s="1"/>
  <c r="Q850" i="2" a="1"/>
  <c r="Q850" i="2" s="1"/>
  <c r="Q851" i="2" a="1"/>
  <c r="Q851" i="2" s="1"/>
  <c r="Q852" i="2" a="1"/>
  <c r="Q852" i="2" s="1"/>
  <c r="Q853" i="2" a="1"/>
  <c r="Q853" i="2" s="1"/>
  <c r="Q854" i="2" a="1"/>
  <c r="Q854" i="2" s="1"/>
  <c r="Q855" i="2" a="1"/>
  <c r="Q855" i="2" s="1"/>
  <c r="Q856" i="2" a="1"/>
  <c r="Q856" i="2" s="1"/>
  <c r="Q857" i="2" a="1"/>
  <c r="Q857" i="2" s="1"/>
  <c r="Q858" i="2" a="1"/>
  <c r="Q858" i="2" s="1"/>
  <c r="Q859" i="2" a="1"/>
  <c r="Q859" i="2" s="1"/>
  <c r="Q860" i="2" a="1"/>
  <c r="Q860" i="2" s="1"/>
  <c r="Q861" i="2" a="1"/>
  <c r="Q861" i="2" s="1"/>
  <c r="Q862" i="2" a="1"/>
  <c r="Q862" i="2" s="1"/>
  <c r="Q863" i="2" a="1"/>
  <c r="Q863" i="2" s="1"/>
  <c r="Q864" i="2" a="1"/>
  <c r="Q864" i="2" s="1"/>
  <c r="Q865" i="2" a="1"/>
  <c r="Q865" i="2" s="1"/>
  <c r="Q866" i="2" a="1"/>
  <c r="Q866" i="2" s="1"/>
  <c r="Q867" i="2" a="1"/>
  <c r="Q867" i="2" s="1"/>
  <c r="Q868" i="2" a="1"/>
  <c r="Q868" i="2" s="1"/>
  <c r="Q869" i="2" a="1"/>
  <c r="Q869" i="2" s="1"/>
  <c r="Q870" i="2" a="1"/>
  <c r="Q870" i="2" s="1"/>
  <c r="Q871" i="2" a="1"/>
  <c r="Q871" i="2" s="1"/>
  <c r="Q872" i="2" a="1"/>
  <c r="Q872" i="2" s="1"/>
  <c r="Q873" i="2" a="1"/>
  <c r="Q873" i="2" s="1"/>
  <c r="Q874" i="2" a="1"/>
  <c r="Q874" i="2" s="1"/>
  <c r="Q875" i="2" a="1"/>
  <c r="Q875" i="2" s="1"/>
  <c r="Q876" i="2" a="1"/>
  <c r="Q876" i="2" s="1"/>
  <c r="Q877" i="2" a="1"/>
  <c r="Q877" i="2" s="1"/>
  <c r="Q878" i="2" a="1"/>
  <c r="Q878" i="2" s="1"/>
  <c r="Q879" i="2" a="1"/>
  <c r="Q879" i="2" s="1"/>
  <c r="Q880" i="2" a="1"/>
  <c r="Q880" i="2" s="1"/>
  <c r="Q881" i="2" a="1"/>
  <c r="Q881" i="2" s="1"/>
  <c r="Q882" i="2" a="1"/>
  <c r="Q882" i="2" s="1"/>
  <c r="Q883" i="2" a="1"/>
  <c r="Q883" i="2" s="1"/>
  <c r="Q884" i="2" a="1"/>
  <c r="Q884" i="2" s="1"/>
  <c r="Q885" i="2" a="1"/>
  <c r="Q885" i="2" s="1"/>
  <c r="Q886" i="2" a="1"/>
  <c r="Q886" i="2" s="1"/>
  <c r="Q887" i="2" a="1"/>
  <c r="Q887" i="2" s="1"/>
  <c r="Q888" i="2" a="1"/>
  <c r="Q888" i="2" s="1"/>
  <c r="Q889" i="2" a="1"/>
  <c r="Q889" i="2" s="1"/>
  <c r="Q890" i="2" a="1"/>
  <c r="Q890" i="2" s="1"/>
  <c r="Q891" i="2" a="1"/>
  <c r="Q891" i="2" s="1"/>
  <c r="Q892" i="2" a="1"/>
  <c r="Q892" i="2" s="1"/>
  <c r="Q893" i="2" a="1"/>
  <c r="Q893" i="2" s="1"/>
  <c r="Q894" i="2" a="1"/>
  <c r="Q894" i="2" s="1"/>
  <c r="Q895" i="2" a="1"/>
  <c r="Q895" i="2" s="1"/>
  <c r="Q896" i="2" a="1"/>
  <c r="Q896" i="2" s="1"/>
  <c r="Q897" i="2" a="1"/>
  <c r="Q897" i="2" s="1"/>
  <c r="Q898" i="2" a="1"/>
  <c r="Q898" i="2" s="1"/>
  <c r="Q899" i="2" a="1"/>
  <c r="Q899" i="2" s="1"/>
  <c r="Q900" i="2" a="1"/>
  <c r="Q900" i="2" s="1"/>
  <c r="Q901" i="2" a="1"/>
  <c r="Q901" i="2" s="1"/>
  <c r="Q902" i="2" a="1"/>
  <c r="Q902" i="2" s="1"/>
  <c r="Q903" i="2" a="1"/>
  <c r="Q903" i="2" s="1"/>
  <c r="Q904" i="2" a="1"/>
  <c r="Q904" i="2" s="1"/>
  <c r="Q905" i="2" a="1"/>
  <c r="Q905" i="2" s="1"/>
  <c r="Q906" i="2" a="1"/>
  <c r="Q906" i="2" s="1"/>
  <c r="Q907" i="2" a="1"/>
  <c r="Q907" i="2" s="1"/>
  <c r="Q908" i="2" a="1"/>
  <c r="Q908" i="2" s="1"/>
  <c r="Q909" i="2" a="1"/>
  <c r="Q909" i="2" s="1"/>
  <c r="Q910" i="2" a="1"/>
  <c r="Q910" i="2" s="1"/>
  <c r="Q911" i="2" a="1"/>
  <c r="Q911" i="2" s="1"/>
  <c r="Q912" i="2" a="1"/>
  <c r="Q912" i="2" s="1"/>
  <c r="Q913" i="2" a="1"/>
  <c r="Q913" i="2" s="1"/>
  <c r="Q914" i="2" a="1"/>
  <c r="Q914" i="2" s="1"/>
  <c r="Q915" i="2" a="1"/>
  <c r="Q915" i="2" s="1"/>
  <c r="Q916" i="2" a="1"/>
  <c r="Q916" i="2" s="1"/>
  <c r="Q917" i="2" a="1"/>
  <c r="Q917" i="2" s="1"/>
  <c r="Q918" i="2" a="1"/>
  <c r="Q918" i="2" s="1"/>
  <c r="Q919" i="2" a="1"/>
  <c r="Q919" i="2" s="1"/>
  <c r="Q920" i="2" a="1"/>
  <c r="Q920" i="2" s="1"/>
  <c r="Q921" i="2" a="1"/>
  <c r="Q921" i="2" s="1"/>
  <c r="Q922" i="2" a="1"/>
  <c r="Q922" i="2" s="1"/>
  <c r="Q923" i="2" a="1"/>
  <c r="Q923" i="2" s="1"/>
  <c r="Q924" i="2" a="1"/>
  <c r="Q924" i="2" s="1"/>
  <c r="Q925" i="2" a="1"/>
  <c r="Q925" i="2" s="1"/>
  <c r="Q926" i="2" a="1"/>
  <c r="Q926" i="2" s="1"/>
  <c r="Q927" i="2" a="1"/>
  <c r="Q927" i="2" s="1"/>
  <c r="Q928" i="2" a="1"/>
  <c r="Q928" i="2" s="1"/>
  <c r="Q929" i="2" a="1"/>
  <c r="Q929" i="2" s="1"/>
  <c r="Q930" i="2" a="1"/>
  <c r="Q930" i="2" s="1"/>
  <c r="Q931" i="2" a="1"/>
  <c r="Q931" i="2" s="1"/>
  <c r="Q932" i="2" a="1"/>
  <c r="Q932" i="2" s="1"/>
  <c r="Q933" i="2" a="1"/>
  <c r="Q933" i="2" s="1"/>
  <c r="Q934" i="2" a="1"/>
  <c r="Q934" i="2" s="1"/>
  <c r="Q935" i="2" a="1"/>
  <c r="Q935" i="2" s="1"/>
  <c r="Q936" i="2" a="1"/>
  <c r="Q936" i="2" s="1"/>
  <c r="Q937" i="2" a="1"/>
  <c r="Q937" i="2" s="1"/>
  <c r="Q938" i="2" a="1"/>
  <c r="Q938" i="2" s="1"/>
  <c r="Q939" i="2" a="1"/>
  <c r="Q939" i="2" s="1"/>
  <c r="Q940" i="2" a="1"/>
  <c r="Q940" i="2" s="1"/>
  <c r="Q941" i="2" a="1"/>
  <c r="Q941" i="2" s="1"/>
  <c r="Q942" i="2" a="1"/>
  <c r="Q942" i="2" s="1"/>
  <c r="Q943" i="2" a="1"/>
  <c r="Q943" i="2" s="1"/>
  <c r="Q944" i="2" a="1"/>
  <c r="Q944" i="2" s="1"/>
  <c r="Q945" i="2" a="1"/>
  <c r="Q945" i="2" s="1"/>
  <c r="Q946" i="2" a="1"/>
  <c r="Q946" i="2" s="1"/>
  <c r="Q947" i="2" a="1"/>
  <c r="Q947" i="2" s="1"/>
  <c r="Q948" i="2" a="1"/>
  <c r="Q948" i="2" s="1"/>
  <c r="Q949" i="2" a="1"/>
  <c r="Q949" i="2" s="1"/>
  <c r="Q950" i="2" a="1"/>
  <c r="Q950" i="2" s="1"/>
  <c r="Q951" i="2" a="1"/>
  <c r="Q951" i="2" s="1"/>
  <c r="Q952" i="2" a="1"/>
  <c r="Q952" i="2" s="1"/>
  <c r="Q953" i="2" a="1"/>
  <c r="Q953" i="2" s="1"/>
  <c r="Q954" i="2" a="1"/>
  <c r="Q954" i="2" s="1"/>
  <c r="Q955" i="2" a="1"/>
  <c r="Q955" i="2" s="1"/>
  <c r="Q956" i="2" a="1"/>
  <c r="Q956" i="2" s="1"/>
  <c r="Q957" i="2" a="1"/>
  <c r="Q957" i="2" s="1"/>
  <c r="Q958" i="2" a="1"/>
  <c r="Q958" i="2" s="1"/>
  <c r="Q959" i="2" a="1"/>
  <c r="Q959" i="2" s="1"/>
  <c r="Q960" i="2" a="1"/>
  <c r="Q960" i="2" s="1"/>
  <c r="Q961" i="2" a="1"/>
  <c r="Q961" i="2" s="1"/>
  <c r="Q962" i="2" a="1"/>
  <c r="Q962" i="2" s="1"/>
  <c r="Q963" i="2" a="1"/>
  <c r="Q963" i="2" s="1"/>
  <c r="Q964" i="2" a="1"/>
  <c r="Q964" i="2" s="1"/>
  <c r="Q965" i="2" a="1"/>
  <c r="Q965" i="2" s="1"/>
  <c r="Q966" i="2" a="1"/>
  <c r="Q966" i="2" s="1"/>
  <c r="Q967" i="2" a="1"/>
  <c r="Q967" i="2" s="1"/>
  <c r="Q968" i="2" a="1"/>
  <c r="Q968" i="2" s="1"/>
  <c r="Q969" i="2" a="1"/>
  <c r="Q969" i="2" s="1"/>
  <c r="Q970" i="2" a="1"/>
  <c r="Q970" i="2" s="1"/>
  <c r="Q971" i="2" a="1"/>
  <c r="Q971" i="2" s="1"/>
  <c r="Q972" i="2" a="1"/>
  <c r="Q972" i="2" s="1"/>
  <c r="Q973" i="2" a="1"/>
  <c r="Q973" i="2" s="1"/>
  <c r="Q974" i="2" a="1"/>
  <c r="Q974" i="2" s="1"/>
  <c r="Q975" i="2" a="1"/>
  <c r="Q975" i="2" s="1"/>
  <c r="Q976" i="2" a="1"/>
  <c r="Q976" i="2" s="1"/>
  <c r="Q977" i="2" a="1"/>
  <c r="Q977" i="2" s="1"/>
  <c r="Q978" i="2" a="1"/>
  <c r="Q978" i="2" s="1"/>
  <c r="Q979" i="2" a="1"/>
  <c r="Q979" i="2" s="1"/>
  <c r="Q980" i="2" a="1"/>
  <c r="Q980" i="2" s="1"/>
  <c r="Q981" i="2" a="1"/>
  <c r="Q981" i="2" s="1"/>
  <c r="Q982" i="2" a="1"/>
  <c r="Q982" i="2" s="1"/>
  <c r="Q983" i="2" a="1"/>
  <c r="Q983" i="2" s="1"/>
  <c r="Q984" i="2" a="1"/>
  <c r="Q984" i="2" s="1"/>
  <c r="Q985" i="2" a="1"/>
  <c r="Q985" i="2" s="1"/>
  <c r="Q986" i="2" a="1"/>
  <c r="Q986" i="2" s="1"/>
  <c r="Q987" i="2" a="1"/>
  <c r="Q987" i="2" s="1"/>
  <c r="Q988" i="2" a="1"/>
  <c r="Q988" i="2" s="1"/>
  <c r="Q989" i="2" a="1"/>
  <c r="Q989" i="2" s="1"/>
  <c r="Q990" i="2" a="1"/>
  <c r="Q990" i="2" s="1"/>
  <c r="Q991" i="2" a="1"/>
  <c r="Q991" i="2" s="1"/>
  <c r="Q992" i="2" a="1"/>
  <c r="Q992" i="2" s="1"/>
  <c r="Q993" i="2" a="1"/>
  <c r="Q993" i="2" s="1"/>
  <c r="Q994" i="2" a="1"/>
  <c r="Q994" i="2" s="1"/>
  <c r="Q995" i="2" a="1"/>
  <c r="Q995" i="2" s="1"/>
  <c r="Q996" i="2" a="1"/>
  <c r="Q996" i="2" s="1"/>
  <c r="Q997" i="2" a="1"/>
  <c r="Q997" i="2" s="1"/>
  <c r="Q998" i="2" a="1"/>
  <c r="Q998" i="2" s="1"/>
  <c r="Q999" i="2" a="1"/>
  <c r="Q999" i="2" s="1"/>
  <c r="Q1000" i="2" a="1"/>
  <c r="Q1000" i="2" s="1"/>
  <c r="Q1001" i="2" a="1"/>
  <c r="Q1001" i="2" s="1"/>
  <c r="Q1002" i="2" a="1"/>
  <c r="Q1002" i="2" s="1"/>
  <c r="Q1003" i="2" a="1"/>
  <c r="Q1003" i="2" s="1"/>
  <c r="Q1004" i="2" a="1"/>
  <c r="Q1004" i="2" s="1"/>
  <c r="Q1005" i="2" a="1"/>
  <c r="Q1005" i="2" s="1"/>
  <c r="Q1006" i="2" a="1"/>
  <c r="Q1006" i="2" s="1"/>
  <c r="Q1007" i="2" a="1"/>
  <c r="Q1007" i="2" s="1"/>
  <c r="Q1008" i="2" a="1"/>
  <c r="Q1008" i="2" s="1"/>
  <c r="Q1009" i="2" a="1"/>
  <c r="Q1009" i="2" s="1"/>
  <c r="Q1010" i="2" a="1"/>
  <c r="Q1010" i="2" s="1"/>
  <c r="Q1011" i="2" a="1"/>
  <c r="Q1011" i="2" s="1"/>
  <c r="Q1012" i="2" a="1"/>
  <c r="Q1012" i="2" s="1"/>
  <c r="Q1013" i="2" a="1"/>
  <c r="Q1013" i="2" s="1"/>
  <c r="Q1014" i="2" a="1"/>
  <c r="Q1014" i="2" s="1"/>
  <c r="Q1015" i="2" a="1"/>
  <c r="Q1015" i="2" s="1"/>
  <c r="Q1016" i="2" a="1"/>
  <c r="Q1016" i="2" s="1"/>
  <c r="Q1017" i="2" a="1"/>
  <c r="Q1017" i="2" s="1"/>
  <c r="Q1018" i="2" a="1"/>
  <c r="Q1018" i="2" s="1"/>
  <c r="Q1019" i="2" a="1"/>
  <c r="Q1019" i="2" s="1"/>
  <c r="Q1020" i="2" a="1"/>
  <c r="Q1020" i="2" s="1"/>
  <c r="Q1021" i="2" a="1"/>
  <c r="Q1021" i="2" s="1"/>
  <c r="Q1022" i="2" a="1"/>
  <c r="Q1022" i="2" s="1"/>
  <c r="Q1023" i="2" a="1"/>
  <c r="Q1023" i="2" s="1"/>
  <c r="Q1024" i="2" a="1"/>
  <c r="Q1024" i="2" s="1"/>
  <c r="Q1025" i="2" a="1"/>
  <c r="Q1025" i="2" s="1"/>
  <c r="Q1026" i="2" a="1"/>
  <c r="Q1026" i="2" s="1"/>
  <c r="Q1027" i="2" a="1"/>
  <c r="Q1027" i="2" s="1"/>
  <c r="Q1028" i="2" a="1"/>
  <c r="Q1028" i="2" s="1"/>
  <c r="Q1029" i="2" a="1"/>
  <c r="Q1029" i="2" s="1"/>
  <c r="Q1030" i="2" a="1"/>
  <c r="Q1030" i="2" s="1"/>
  <c r="Q1031" i="2" a="1"/>
  <c r="Q1031" i="2" s="1"/>
  <c r="Q1032" i="2" a="1"/>
  <c r="Q1032" i="2" s="1"/>
  <c r="Q1033" i="2" a="1"/>
  <c r="Q1033" i="2" s="1"/>
  <c r="Q1034" i="2" a="1"/>
  <c r="Q1034" i="2" s="1"/>
  <c r="Q1035" i="2" a="1"/>
  <c r="Q1035" i="2" s="1"/>
  <c r="Q1036" i="2" a="1"/>
  <c r="Q1036" i="2" s="1"/>
  <c r="Q1037" i="2" a="1"/>
  <c r="Q1037" i="2" s="1"/>
  <c r="Q1038" i="2" a="1"/>
  <c r="Q1038" i="2" s="1"/>
  <c r="Q1039" i="2" a="1"/>
  <c r="Q1039" i="2" s="1"/>
  <c r="Q1040" i="2" a="1"/>
  <c r="Q1040" i="2" s="1"/>
  <c r="Q1041" i="2" a="1"/>
  <c r="Q1041" i="2" s="1"/>
  <c r="Q1042" i="2" a="1"/>
  <c r="Q1042" i="2" s="1"/>
  <c r="Q1043" i="2" a="1"/>
  <c r="Q1043" i="2" s="1"/>
  <c r="Q1044" i="2" a="1"/>
  <c r="Q1044" i="2" s="1"/>
  <c r="Q1045" i="2" a="1"/>
  <c r="Q1045" i="2" s="1"/>
  <c r="Q1046" i="2" a="1"/>
  <c r="Q1046" i="2" s="1"/>
  <c r="Q1047" i="2" a="1"/>
  <c r="Q1047" i="2" s="1"/>
  <c r="Q1048" i="2" a="1"/>
  <c r="Q1048" i="2" s="1"/>
  <c r="Q1049" i="2" a="1"/>
  <c r="Q1049" i="2" s="1"/>
  <c r="Q1050" i="2" a="1"/>
  <c r="Q1050" i="2" s="1"/>
  <c r="Q1051" i="2" a="1"/>
  <c r="Q1051" i="2" s="1"/>
  <c r="Q1052" i="2" a="1"/>
  <c r="Q1052" i="2" s="1"/>
  <c r="Q1053" i="2" a="1"/>
  <c r="Q1053" i="2" s="1"/>
  <c r="Q1054" i="2" a="1"/>
  <c r="Q1054" i="2" s="1"/>
  <c r="Q1055" i="2" a="1"/>
  <c r="Q1055" i="2" s="1"/>
  <c r="Q1056" i="2" a="1"/>
  <c r="Q1056" i="2" s="1"/>
  <c r="Q1057" i="2" a="1"/>
  <c r="Q1057" i="2" s="1"/>
  <c r="Q1058" i="2" a="1"/>
  <c r="Q1058" i="2" s="1"/>
  <c r="Q1059" i="2" a="1"/>
  <c r="Q1059" i="2" s="1"/>
  <c r="Q1060" i="2" a="1"/>
  <c r="Q1060" i="2" s="1"/>
  <c r="Q1061" i="2" a="1"/>
  <c r="Q1061" i="2" s="1"/>
  <c r="Q1062" i="2" a="1"/>
  <c r="Q1062" i="2" s="1"/>
  <c r="Q1063" i="2" a="1"/>
  <c r="Q1063" i="2" s="1"/>
  <c r="Q1064" i="2" a="1"/>
  <c r="Q1064" i="2" s="1"/>
  <c r="Q1065" i="2" a="1"/>
  <c r="Q1065" i="2" s="1"/>
  <c r="Q1066" i="2" a="1"/>
  <c r="Q1066" i="2" s="1"/>
  <c r="Q1067" i="2" a="1"/>
  <c r="Q1067" i="2" s="1"/>
  <c r="Q1068" i="2" a="1"/>
  <c r="Q1068" i="2" s="1"/>
  <c r="Q1069" i="2" a="1"/>
  <c r="Q1069" i="2" s="1"/>
  <c r="Q1070" i="2" a="1"/>
  <c r="Q1070" i="2" s="1"/>
  <c r="Q1071" i="2" a="1"/>
  <c r="Q1071" i="2" s="1"/>
  <c r="Q1072" i="2" a="1"/>
  <c r="Q1072" i="2" s="1"/>
  <c r="Q1073" i="2" a="1"/>
  <c r="Q1073" i="2" s="1"/>
  <c r="Q1074" i="2" a="1"/>
  <c r="Q1074" i="2" s="1"/>
  <c r="Q1075" i="2" a="1"/>
  <c r="Q1075" i="2" s="1"/>
  <c r="Q1076" i="2" a="1"/>
  <c r="Q1076" i="2" s="1"/>
  <c r="Q1077" i="2" a="1"/>
  <c r="Q1077" i="2" s="1"/>
  <c r="Q1078" i="2" a="1"/>
  <c r="Q1078" i="2" s="1"/>
  <c r="Q1079" i="2" a="1"/>
  <c r="Q1079" i="2" s="1"/>
  <c r="Q1080" i="2" a="1"/>
  <c r="Q1080" i="2" s="1"/>
  <c r="Q1081" i="2" a="1"/>
  <c r="Q1081" i="2" s="1"/>
  <c r="Q1082" i="2" a="1"/>
  <c r="Q1082" i="2" s="1"/>
  <c r="Q4" i="2" a="1"/>
  <c r="Q4" i="2" s="1"/>
  <c r="Q5" i="2" a="1"/>
  <c r="Q5" i="2" s="1"/>
  <c r="Q6" i="2" a="1"/>
  <c r="Q6" i="2" s="1"/>
  <c r="Q7" i="2" a="1"/>
  <c r="Q7" i="2" s="1"/>
  <c r="Q8" i="2" a="1"/>
  <c r="Q8" i="2" s="1"/>
  <c r="K2" i="2" a="1"/>
  <c r="K2" i="2" s="1"/>
  <c r="K3" i="2" a="1"/>
  <c r="K3"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s="1"/>
  <c r="K125" i="2" a="1"/>
  <c r="K125" i="2" s="1"/>
  <c r="K126" i="2" a="1"/>
  <c r="K126" i="2" s="1"/>
  <c r="K127" i="2" a="1"/>
  <c r="K127" i="2" s="1"/>
  <c r="K128" i="2" a="1"/>
  <c r="K128" i="2" s="1"/>
  <c r="K129" i="2" a="1"/>
  <c r="K129" i="2" s="1"/>
  <c r="K130" i="2" a="1"/>
  <c r="K130" i="2" s="1"/>
  <c r="K131" i="2" a="1"/>
  <c r="K131" i="2" s="1"/>
  <c r="K132" i="2" a="1"/>
  <c r="K132" i="2" s="1"/>
  <c r="K133" i="2" a="1"/>
  <c r="K133" i="2" s="1"/>
  <c r="K134" i="2" a="1"/>
  <c r="K134" i="2" s="1"/>
  <c r="K135" i="2" a="1"/>
  <c r="K135" i="2" s="1"/>
  <c r="K136" i="2" a="1"/>
  <c r="K136" i="2" s="1"/>
  <c r="K137" i="2" a="1"/>
  <c r="K137" i="2" s="1"/>
  <c r="K138" i="2" a="1"/>
  <c r="K138" i="2" s="1"/>
  <c r="K139" i="2" a="1"/>
  <c r="K139" i="2" s="1"/>
  <c r="K140" i="2" a="1"/>
  <c r="K140" i="2" s="1"/>
  <c r="K141" i="2" a="1"/>
  <c r="K141" i="2" s="1"/>
  <c r="K142" i="2" a="1"/>
  <c r="K142" i="2" s="1"/>
  <c r="K143" i="2" a="1"/>
  <c r="K143" i="2" s="1"/>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s="1"/>
  <c r="K183" i="2" a="1"/>
  <c r="K183" i="2" s="1"/>
  <c r="K184" i="2" a="1"/>
  <c r="K184" i="2" s="1"/>
  <c r="K185" i="2" a="1"/>
  <c r="K185" i="2" s="1"/>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s="1"/>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s="1"/>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s="1"/>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s="1"/>
  <c r="K568" i="2" a="1"/>
  <c r="K568" i="2" s="1"/>
  <c r="K569" i="2" a="1"/>
  <c r="K569" i="2" s="1"/>
  <c r="K570" i="2" a="1"/>
  <c r="K570" i="2" s="1"/>
  <c r="K571" i="2" a="1"/>
  <c r="K571" i="2" s="1"/>
  <c r="K572" i="2" a="1"/>
  <c r="K572" i="2" s="1"/>
  <c r="K573" i="2" a="1"/>
  <c r="K573" i="2" s="1"/>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s="1"/>
  <c r="K593" i="2" a="1"/>
  <c r="K593" i="2" s="1"/>
  <c r="K594" i="2" a="1"/>
  <c r="K594" i="2" s="1"/>
  <c r="K595" i="2" a="1"/>
  <c r="K595" i="2" s="1"/>
  <c r="K596" i="2" a="1"/>
  <c r="K596" i="2" s="1"/>
  <c r="K597" i="2" a="1"/>
  <c r="K597" i="2" s="1"/>
  <c r="K598" i="2" a="1"/>
  <c r="K598" i="2" s="1"/>
  <c r="K599" i="2" a="1"/>
  <c r="K599" i="2" s="1"/>
  <c r="K600" i="2" a="1"/>
  <c r="K600" i="2" s="1"/>
  <c r="K601" i="2" a="1"/>
  <c r="K601" i="2" s="1"/>
  <c r="K602" i="2" a="1"/>
  <c r="K602" i="2" s="1"/>
  <c r="K603" i="2" a="1"/>
  <c r="K603" i="2" s="1"/>
  <c r="K604" i="2" a="1"/>
  <c r="K604" i="2" s="1"/>
  <c r="K605" i="2" a="1"/>
  <c r="K605" i="2" s="1"/>
  <c r="K606" i="2" a="1"/>
  <c r="K606" i="2" s="1"/>
  <c r="K607" i="2" a="1"/>
  <c r="K607" i="2" s="1"/>
  <c r="K608" i="2" a="1"/>
  <c r="K608" i="2" s="1"/>
  <c r="K609" i="2" a="1"/>
  <c r="K609" i="2" s="1"/>
  <c r="K610" i="2" a="1"/>
  <c r="K610" i="2" s="1"/>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s="1"/>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s="1"/>
  <c r="K665" i="2" a="1"/>
  <c r="K665" i="2" s="1"/>
  <c r="K666" i="2" a="1"/>
  <c r="K666" i="2" s="1"/>
  <c r="K667" i="2" a="1"/>
  <c r="K667" i="2" s="1"/>
  <c r="K668" i="2" a="1"/>
  <c r="K668" i="2" s="1"/>
  <c r="K669" i="2" a="1"/>
  <c r="K669" i="2" s="1"/>
  <c r="K670" i="2" a="1"/>
  <c r="K670" i="2" s="1"/>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s="1"/>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s="1"/>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s="1"/>
  <c r="K754" i="2" a="1"/>
  <c r="K754" i="2" s="1"/>
  <c r="K755" i="2" a="1"/>
  <c r="K755" i="2" s="1"/>
  <c r="K756" i="2" a="1"/>
  <c r="K756" i="2" s="1"/>
  <c r="K757" i="2" a="1"/>
  <c r="K757" i="2" s="1"/>
  <c r="K758" i="2" a="1"/>
  <c r="K758" i="2" s="1"/>
  <c r="K759" i="2" a="1"/>
  <c r="K759" i="2" s="1"/>
  <c r="K760" i="2" a="1"/>
  <c r="K760" i="2" s="1"/>
  <c r="K761" i="2" a="1"/>
  <c r="K761" i="2" s="1"/>
  <c r="K762" i="2" a="1"/>
  <c r="K762" i="2" s="1"/>
  <c r="K763" i="2" a="1"/>
  <c r="K763" i="2" s="1"/>
  <c r="K764" i="2" a="1"/>
  <c r="K764" i="2" s="1"/>
  <c r="K765" i="2" a="1"/>
  <c r="K765" i="2" s="1"/>
  <c r="K766" i="2" a="1"/>
  <c r="K766" i="2" s="1"/>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s="1"/>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s="1"/>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s="1"/>
  <c r="K988" i="2" a="1"/>
  <c r="K988" i="2" s="1"/>
  <c r="K989" i="2" a="1"/>
  <c r="K989" i="2" s="1"/>
  <c r="K990" i="2" a="1"/>
  <c r="K990" i="2" s="1"/>
  <c r="K991" i="2" a="1"/>
  <c r="K991" i="2" s="1"/>
  <c r="K992" i="2" a="1"/>
  <c r="K992" i="2" s="1"/>
  <c r="K993" i="2" a="1"/>
  <c r="K993" i="2" s="1"/>
  <c r="K994" i="2" a="1"/>
  <c r="K994" i="2" s="1"/>
  <c r="K995" i="2" a="1"/>
  <c r="K995" i="2" s="1"/>
  <c r="K996" i="2" a="1"/>
  <c r="K996" i="2" s="1"/>
  <c r="K997" i="2" a="1"/>
  <c r="K997" i="2" s="1"/>
  <c r="K998" i="2" a="1"/>
  <c r="K998" i="2" s="1"/>
  <c r="K999" i="2" a="1"/>
  <c r="K999" i="2" s="1"/>
  <c r="K1000" i="2" a="1"/>
  <c r="K1000" i="2" s="1"/>
  <c r="K1001" i="2" a="1"/>
  <c r="K1001" i="2" s="1"/>
  <c r="K1002" i="2" a="1"/>
  <c r="K1002" i="2" s="1"/>
  <c r="K1003" i="2" a="1"/>
  <c r="K1003" i="2" s="1"/>
  <c r="K1004" i="2" a="1"/>
  <c r="K1004" i="2" s="1"/>
  <c r="K1005" i="2" a="1"/>
  <c r="K1005" i="2" s="1"/>
  <c r="K1006" i="2" a="1"/>
  <c r="K1006" i="2" s="1"/>
  <c r="K1007" i="2" a="1"/>
  <c r="K1007" i="2" s="1"/>
  <c r="K1008" i="2" a="1"/>
  <c r="K1008" i="2" s="1"/>
  <c r="K1009" i="2" a="1"/>
  <c r="K1009" i="2" s="1"/>
  <c r="K1010" i="2" a="1"/>
  <c r="K1010" i="2" s="1"/>
  <c r="K1011" i="2" a="1"/>
  <c r="K1011" i="2" s="1"/>
  <c r="K1012" i="2" a="1"/>
  <c r="K1012" i="2" s="1"/>
  <c r="K1013" i="2" a="1"/>
  <c r="K1013" i="2" s="1"/>
  <c r="K1014" i="2" a="1"/>
  <c r="K1014" i="2" s="1"/>
  <c r="K1015" i="2" a="1"/>
  <c r="K1015" i="2" s="1"/>
  <c r="K1016" i="2" a="1"/>
  <c r="K1016" i="2" s="1"/>
  <c r="K1017" i="2" a="1"/>
  <c r="K1017" i="2" s="1"/>
  <c r="K1018" i="2" a="1"/>
  <c r="K1018" i="2" s="1"/>
  <c r="K1019" i="2" a="1"/>
  <c r="K1019" i="2" s="1"/>
  <c r="K1020" i="2" a="1"/>
  <c r="K1020" i="2" s="1"/>
  <c r="K1021" i="2" a="1"/>
  <c r="K1021" i="2" s="1"/>
  <c r="K1022" i="2" a="1"/>
  <c r="K1022" i="2" s="1"/>
  <c r="K1023" i="2" a="1"/>
  <c r="K1023" i="2" s="1"/>
  <c r="K1024" i="2" a="1"/>
  <c r="K1024" i="2" s="1"/>
  <c r="K1025" i="2" a="1"/>
  <c r="K1025" i="2" s="1"/>
  <c r="K1026" i="2" a="1"/>
  <c r="K1026" i="2" s="1"/>
  <c r="K1027" i="2" a="1"/>
  <c r="K1027" i="2" s="1"/>
  <c r="K1028" i="2" a="1"/>
  <c r="K1028" i="2" s="1"/>
  <c r="K1029" i="2" a="1"/>
  <c r="K1029" i="2" s="1"/>
  <c r="K1030" i="2" a="1"/>
  <c r="K1030" i="2" s="1"/>
  <c r="K1031" i="2" a="1"/>
  <c r="K1031" i="2" s="1"/>
  <c r="K1032" i="2" a="1"/>
  <c r="K1032" i="2" s="1"/>
  <c r="K1033" i="2" a="1"/>
  <c r="K1033" i="2" s="1"/>
  <c r="K1034" i="2" a="1"/>
  <c r="K1034" i="2" s="1"/>
  <c r="K1035" i="2" a="1"/>
  <c r="K1035" i="2" s="1"/>
  <c r="K1036" i="2" a="1"/>
  <c r="K1036" i="2" s="1"/>
  <c r="K1037" i="2" a="1"/>
  <c r="K1037" i="2" s="1"/>
  <c r="K1038" i="2" a="1"/>
  <c r="K1038" i="2" s="1"/>
  <c r="K1039" i="2" a="1"/>
  <c r="K1039" i="2" s="1"/>
  <c r="K1040" i="2" a="1"/>
  <c r="K1040" i="2" s="1"/>
  <c r="K1041" i="2" a="1"/>
  <c r="K1041" i="2" s="1"/>
  <c r="K1042" i="2" a="1"/>
  <c r="K1042" i="2" s="1"/>
  <c r="K1043" i="2" a="1"/>
  <c r="K1043" i="2" s="1"/>
  <c r="K1044" i="2" a="1"/>
  <c r="K1044" i="2" s="1"/>
  <c r="K1045" i="2" a="1"/>
  <c r="K1045" i="2" s="1"/>
  <c r="K1046" i="2" a="1"/>
  <c r="K1046" i="2" s="1"/>
  <c r="K1047" i="2" a="1"/>
  <c r="K1047" i="2" s="1"/>
  <c r="K1048" i="2" a="1"/>
  <c r="K1048" i="2" s="1"/>
  <c r="K1049" i="2" a="1"/>
  <c r="K1049" i="2" s="1"/>
  <c r="K1050" i="2" a="1"/>
  <c r="K1050" i="2" s="1"/>
  <c r="K1051" i="2" a="1"/>
  <c r="K1051" i="2" s="1"/>
  <c r="K1052" i="2" a="1"/>
  <c r="K1052" i="2" s="1"/>
  <c r="K1053" i="2" a="1"/>
  <c r="K1053" i="2" s="1"/>
  <c r="K1054" i="2" a="1"/>
  <c r="K1054" i="2" s="1"/>
  <c r="K1055" i="2" a="1"/>
  <c r="K1055" i="2" s="1"/>
  <c r="K1056" i="2" a="1"/>
  <c r="K1056" i="2" s="1"/>
  <c r="K1057" i="2" a="1"/>
  <c r="K1057" i="2" s="1"/>
  <c r="K1058" i="2" a="1"/>
  <c r="K1058" i="2" s="1"/>
  <c r="K1059" i="2" a="1"/>
  <c r="K1059" i="2" s="1"/>
  <c r="K1060" i="2" a="1"/>
  <c r="K1060" i="2" s="1"/>
  <c r="K1061" i="2" a="1"/>
  <c r="K1061" i="2" s="1"/>
  <c r="K1062" i="2" a="1"/>
  <c r="K1062" i="2" s="1"/>
  <c r="K1063" i="2" a="1"/>
  <c r="K1063" i="2" s="1"/>
  <c r="K1064" i="2" a="1"/>
  <c r="K1064" i="2" s="1"/>
  <c r="K1065" i="2" a="1"/>
  <c r="K1065" i="2" s="1"/>
  <c r="K1066" i="2" a="1"/>
  <c r="K1066" i="2" s="1"/>
  <c r="K1067" i="2" a="1"/>
  <c r="K1067" i="2" s="1"/>
  <c r="K1068" i="2" a="1"/>
  <c r="K1068" i="2" s="1"/>
  <c r="K1069" i="2" a="1"/>
  <c r="K1069" i="2" s="1"/>
  <c r="K1070" i="2" a="1"/>
  <c r="K1070" i="2" s="1"/>
  <c r="K1071" i="2" a="1"/>
  <c r="K1071" i="2" s="1"/>
  <c r="K1072" i="2" a="1"/>
  <c r="K1072" i="2" s="1"/>
  <c r="K1073" i="2" a="1"/>
  <c r="K1073" i="2" s="1"/>
  <c r="K1074" i="2" a="1"/>
  <c r="K1074" i="2" s="1"/>
  <c r="K1075" i="2" a="1"/>
  <c r="K1075" i="2" s="1"/>
  <c r="K1076" i="2" a="1"/>
  <c r="K1076" i="2" s="1"/>
  <c r="K1077" i="2" a="1"/>
  <c r="K1077" i="2" s="1"/>
  <c r="K1078" i="2" a="1"/>
  <c r="K1078" i="2" s="1"/>
  <c r="K1079" i="2" a="1"/>
  <c r="K1079" i="2" s="1"/>
  <c r="K1080" i="2" a="1"/>
  <c r="K1080" i="2" s="1"/>
  <c r="K1081" i="2" a="1"/>
  <c r="K1081" i="2" s="1"/>
  <c r="K1082" i="2" a="1"/>
  <c r="K1082" i="2" s="1"/>
  <c r="C38" i="3" a="1"/>
  <c r="C38" i="3" s="1"/>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E16" i="5"/>
  <c r="C18" i="5"/>
  <c r="E15" i="5"/>
  <c r="C15" i="5"/>
  <c r="C16" i="5"/>
  <c r="C10" i="5"/>
  <c r="C9" i="5"/>
  <c r="C15" i="1"/>
  <c r="E19" i="5"/>
  <c r="B4" i="5"/>
  <c r="E18" i="5"/>
  <c r="AD10" i="1"/>
  <c r="C17" i="5"/>
  <c r="E17" i="5"/>
  <c r="AD9" i="1"/>
  <c r="N5" i="5" l="1"/>
  <c r="F31" i="1"/>
  <c r="H31" i="1" s="1"/>
  <c r="F32" i="1"/>
  <c r="H32" i="1" s="1"/>
  <c r="F39" i="1"/>
  <c r="H39" i="1" s="1"/>
  <c r="F38" i="1"/>
  <c r="H38" i="1" s="1"/>
  <c r="F36" i="1"/>
  <c r="H36" i="1" s="1"/>
  <c r="F34" i="1"/>
  <c r="H34" i="1" s="1"/>
  <c r="F33" i="1"/>
  <c r="H33" i="1" s="1"/>
  <c r="G35" i="1"/>
  <c r="G36" i="1"/>
  <c r="X6" i="1"/>
  <c r="X20" i="1"/>
  <c r="X32" i="1"/>
  <c r="Y7" i="1"/>
  <c r="Y17" i="1"/>
  <c r="Y33" i="1"/>
  <c r="Y10" i="1"/>
  <c r="Y22" i="1"/>
  <c r="Y12" i="1"/>
  <c r="Y24" i="1"/>
  <c r="Y14" i="1"/>
  <c r="Y35" i="1"/>
  <c r="Y16" i="1"/>
  <c r="Y28" i="1"/>
  <c r="X27" i="1"/>
  <c r="Y30" i="1"/>
  <c r="X16" i="1"/>
  <c r="X28" i="1"/>
  <c r="X37" i="1"/>
  <c r="Y8" i="1"/>
  <c r="X5" i="1"/>
  <c r="X17" i="1"/>
  <c r="X29" i="1"/>
  <c r="X38" i="1"/>
  <c r="X8" i="1"/>
  <c r="X18" i="1"/>
  <c r="X30" i="1"/>
  <c r="X7" i="1"/>
  <c r="Z7" i="1" s="1"/>
  <c r="X19" i="1"/>
  <c r="X31" i="1"/>
  <c r="Y36" i="1"/>
  <c r="Y31" i="1"/>
  <c r="Y9" i="1"/>
  <c r="Y21" i="1"/>
  <c r="Y18" i="1"/>
  <c r="X15" i="1"/>
  <c r="Z15" i="1" s="1"/>
  <c r="Y11" i="1"/>
  <c r="Y23" i="1"/>
  <c r="Y13" i="1"/>
  <c r="Y25" i="1"/>
  <c r="Y6" i="1"/>
  <c r="Y37" i="1"/>
  <c r="Y15" i="1"/>
  <c r="Y27" i="1"/>
  <c r="X9" i="1"/>
  <c r="Z9" i="1" s="1"/>
  <c r="X21" i="1"/>
  <c r="Z21" i="1" s="1"/>
  <c r="X33" i="1"/>
  <c r="Z33" i="1" s="1"/>
  <c r="Y32" i="1"/>
  <c r="X10" i="1"/>
  <c r="X22" i="1"/>
  <c r="Y34" i="1"/>
  <c r="X11" i="1"/>
  <c r="X23" i="1"/>
  <c r="X35" i="1"/>
  <c r="X12" i="1"/>
  <c r="X24" i="1"/>
  <c r="X36" i="1"/>
  <c r="Y29" i="1"/>
  <c r="X13" i="1"/>
  <c r="X26" i="1"/>
  <c r="X14" i="1"/>
  <c r="X25" i="1"/>
  <c r="Y38" i="1"/>
  <c r="Y26" i="1"/>
  <c r="Y19" i="1"/>
  <c r="D15" i="5"/>
  <c r="D16" i="5"/>
  <c r="D17" i="5"/>
  <c r="D18" i="5"/>
  <c r="Y20" i="1"/>
  <c r="X34" i="1"/>
  <c r="L6" i="5" l="1"/>
  <c r="N6" i="5" s="1"/>
  <c r="O6" i="5" s="1"/>
  <c r="Q6" i="5" s="1"/>
  <c r="R6" i="5" s="1"/>
  <c r="O5" i="5"/>
  <c r="Q5" i="5" s="1"/>
  <c r="Z29" i="1"/>
  <c r="Z17" i="1"/>
  <c r="Z20" i="1"/>
  <c r="Z19" i="1"/>
  <c r="Z30" i="1"/>
  <c r="Z25" i="1"/>
  <c r="Z12" i="1"/>
  <c r="Z31" i="1"/>
  <c r="Z22" i="1"/>
  <c r="Z14" i="1"/>
  <c r="Z32" i="1"/>
  <c r="Z6" i="1"/>
  <c r="Z10" i="1"/>
  <c r="Z24" i="1"/>
  <c r="Z8" i="1"/>
  <c r="Z35" i="1"/>
  <c r="Z37" i="1"/>
  <c r="Z38" i="1"/>
  <c r="Z13" i="1"/>
  <c r="Z23" i="1"/>
  <c r="Z11" i="1"/>
  <c r="Z16" i="1"/>
  <c r="Z28" i="1"/>
  <c r="Z27" i="1"/>
  <c r="Z18" i="1"/>
  <c r="Z36" i="1"/>
  <c r="Z34" i="1"/>
  <c r="Z26" i="1"/>
  <c r="L7" i="5" l="1"/>
  <c r="N7" i="5" s="1"/>
  <c r="L8" i="5" s="1"/>
  <c r="N8" i="5" s="1"/>
  <c r="P6" i="5"/>
  <c r="P8" i="5" l="1"/>
  <c r="O8" i="5"/>
  <c r="Q8" i="5" s="1"/>
  <c r="P7" i="5"/>
  <c r="O7" i="5"/>
  <c r="Q7" i="5" s="1"/>
  <c r="R7" i="5" s="1"/>
  <c r="L9" i="5"/>
  <c r="N9" i="5" s="1"/>
  <c r="P9" i="5" l="1"/>
  <c r="O9" i="5"/>
  <c r="Q9" i="5" s="1"/>
  <c r="R9" i="5" s="1"/>
  <c r="R8" i="5"/>
  <c r="L10" i="5"/>
  <c r="N10" i="5" s="1"/>
  <c r="P10" i="5" l="1"/>
  <c r="O10" i="5"/>
  <c r="Q10" i="5" s="1"/>
  <c r="R10" i="5" s="1"/>
  <c r="L11" i="5"/>
  <c r="N11" i="5" s="1"/>
  <c r="P11" i="5" l="1"/>
  <c r="O11" i="5"/>
  <c r="Q11" i="5" s="1"/>
  <c r="R11" i="5" s="1"/>
  <c r="L12" i="5"/>
  <c r="N12" i="5" s="1"/>
  <c r="P12" i="5" l="1"/>
  <c r="O12" i="5"/>
  <c r="Q12" i="5" s="1"/>
  <c r="R12" i="5" s="1"/>
  <c r="L13" i="5"/>
  <c r="N13" i="5" s="1"/>
  <c r="P13" i="5" l="1"/>
  <c r="O13" i="5"/>
  <c r="Q13" i="5" s="1"/>
  <c r="R13"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<sst xmlns="http://schemas.openxmlformats.org/spreadsheetml/2006/main" count="5613" uniqueCount="1197">
  <si>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</si>
  <si>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</si>
  <si>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</si>
  <si>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</si>
  <si>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</si>
  <si>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</si>
  <si>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</si>
  <si>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</si>
  <si>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</si>
  <si>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</si>
  <si>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</si>
  <si>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</si>
  <si>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</si>
  <si>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</si>
  <si>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</si>
  <si>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</si>
  <si>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</si>
  <si>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</si>
  <si>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</si>
  <si>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</si>
  <si>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</si>
  <si>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</si>
  <si>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</si>
  <si>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</si>
  <si>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</si>
  <si>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</si>
  <si>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</si>
  <si>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</si>
  <si>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</si>
  <si>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</si>
  <si>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</si>
  <si>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</si>
  <si>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</si>
  <si>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</si>
  <si>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</si>
  <si>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</si>
  <si>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</si>
  <si>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</si>
  <si>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</si>
  <si>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</si>
  <si>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</si>
  <si>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</si>
  <si>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</si>
  <si>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</si>
  <si>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</si>
  <si>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</si>
  <si>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</si>
  <si>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</si>
  <si>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</si>
  <si>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</si>
  <si>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</si>
  <si>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</si>
  <si>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</si>
  <si>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</si>
  <si>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</si>
  <si>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</si>
  <si>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</si>
  <si>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</si>
  <si>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</si>
  <si>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</si>
  <si>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</si>
  <si>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</si>
  <si>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</si>
  <si>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</si>
  <si>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</si>
  <si>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</si>
  <si>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</si>
  <si>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</si>
  <si>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</si>
  <si>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</si>
  <si>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</si>
  <si>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</si>
  <si>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</si>
  <si>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</si>
  <si>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</si>
  <si>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</si>
  <si>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</si>
  <si>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</si>
  <si>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</si>
  <si>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</si>
  <si>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</si>
  <si>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</si>
  <si>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</si>
  <si>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</si>
  <si>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</si>
  <si>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</si>
  <si>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</si>
  <si>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</si>
  <si>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</si>
  <si>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</si>
  <si>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</si>
  <si>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</si>
  <si>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</si>
  <si>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</si>
  <si>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</si>
  <si>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</si>
  <si>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</si>
  <si>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</si>
  <si>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</si>
  <si>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</si>
  <si>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</si>
  <si>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</si>
  <si>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</si>
  <si>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</si>
  <si>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</si>
  <si>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</si>
  <si>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</si>
  <si>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</si>
  <si>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</si>
  <si>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</si>
  <si>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</si>
  <si>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</si>
  <si>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</si>
  <si>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</si>
  <si>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</si>
  <si>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</si>
  <si>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</si>
  <si>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</si>
  <si>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</si>
  <si>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</si>
  <si>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</si>
  <si>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</si>
  <si>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</si>
  <si>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</si>
  <si>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</si>
  <si>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</si>
  <si>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</si>
  <si>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</si>
  <si>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</si>
  <si>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</si>
  <si>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</si>
  <si>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</si>
  <si>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</si>
  <si>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</si>
  <si>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</si>
  <si>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</si>
  <si>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</si>
  <si>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</si>
  <si>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</si>
  <si>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</si>
  <si>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</si>
  <si>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</si>
  <si>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</si>
  <si>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</si>
  <si>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</si>
  <si>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</si>
  <si>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</si>
  <si>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</si>
  <si>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</si>
  <si>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</si>
  <si>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</si>
  <si>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</si>
  <si>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</si>
  <si>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</si>
  <si>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</si>
  <si>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</si>
  <si>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</si>
  <si>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</si>
  <si>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</si>
  <si>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</si>
  <si>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</si>
  <si>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</si>
  <si>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</si>
  <si>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</si>
  <si>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</si>
  <si>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</si>
  <si>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</si>
  <si>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</si>
  <si>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</si>
  <si>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</si>
  <si>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</si>
  <si>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</si>
  <si>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</si>
  <si>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</si>
  <si>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</si>
  <si>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</si>
  <si>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</si>
  <si>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</si>
  <si>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</si>
  <si>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</si>
  <si>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</si>
  <si>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</si>
  <si>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</si>
  <si>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</si>
  <si>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</si>
  <si>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</si>
  <si>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</si>
  <si>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</si>
  <si>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</si>
  <si>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</si>
  <si>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</si>
  <si>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</si>
  <si>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</si>
  <si>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</si>
  <si>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</si>
  <si>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</si>
  <si>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</si>
  <si>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</si>
  <si>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</si>
  <si>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</si>
  <si>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</si>
  <si>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</si>
  <si>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</si>
  <si>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</si>
  <si>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</si>
  <si>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</si>
  <si>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</si>
  <si>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</si>
  <si>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</si>
  <si>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</si>
  <si>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</si>
  <si>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</si>
  <si>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</si>
  <si>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</si>
  <si>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</si>
  <si>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</si>
  <si>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</si>
  <si>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</si>
  <si>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</si>
  <si>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</si>
  <si>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</si>
  <si>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</si>
  <si>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</si>
  <si>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</si>
  <si>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</si>
  <si>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</si>
  <si>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</si>
  <si>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</si>
  <si>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</si>
  <si>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</si>
  <si>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</si>
  <si>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</si>
  <si>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</si>
  <si>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</si>
  <si>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</si>
  <si>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</si>
  <si>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</si>
  <si>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</si>
  <si>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</si>
  <si>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</si>
  <si>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</si>
  <si>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</si>
  <si>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</si>
  <si>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</si>
  <si>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</si>
  <si>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</si>
  <si>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</si>
  <si>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</si>
  <si>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</si>
  <si>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</si>
  <si>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</si>
  <si>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</si>
  <si>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</si>
  <si>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</si>
  <si>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</si>
  <si>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</si>
  <si>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</si>
  <si>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</si>
  <si>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</si>
  <si>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</si>
  <si>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</si>
  <si>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</si>
  <si>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</si>
  <si>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</si>
  <si>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</si>
  <si>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</si>
  <si>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</si>
  <si>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</si>
  <si>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</si>
  <si>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</si>
  <si>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</si>
  <si>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</si>
  <si>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</si>
  <si>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</si>
  <si>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</si>
  <si>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</si>
  <si>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</si>
  <si>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</si>
  <si>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</si>
  <si>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</si>
  <si>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</si>
  <si>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</si>
  <si>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</si>
  <si>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</si>
  <si>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</si>
  <si>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</si>
  <si>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</si>
  <si>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</si>
  <si>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</si>
  <si>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</si>
  <si>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</si>
  <si>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</si>
  <si>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</si>
  <si>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</si>
  <si>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</si>
  <si>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</si>
  <si>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</si>
  <si>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</si>
  <si>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</si>
  <si>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</si>
  <si>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</si>
  <si>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</si>
  <si>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</si>
  <si>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</si>
  <si>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</si>
  <si>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</si>
  <si>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</si>
  <si>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</si>
  <si>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</si>
  <si>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</si>
  <si>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</si>
  <si>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</si>
  <si>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</si>
  <si>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</si>
  <si>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</si>
  <si>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</si>
  <si>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</si>
  <si>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</si>
  <si>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</si>
  <si>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</si>
  <si>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</si>
  <si>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</si>
  <si>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</si>
  <si>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</si>
  <si>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</si>
  <si>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</si>
  <si>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</si>
  <si>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</si>
  <si>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</si>
  <si>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</si>
  <si>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</si>
  <si>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</si>
  <si>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</si>
  <si>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</si>
  <si>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</si>
  <si>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</si>
  <si>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</si>
  <si>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</si>
  <si>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</si>
  <si>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</si>
  <si>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</si>
  <si>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</si>
  <si>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</si>
  <si>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</si>
  <si>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</si>
  <si>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</si>
  <si>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</si>
  <si>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</si>
  <si>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</si>
  <si>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</si>
  <si>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</si>
  <si>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</si>
  <si>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</si>
  <si>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</si>
  <si>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</si>
  <si>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</si>
  <si>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</si>
  <si>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</si>
  <si>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</si>
  <si>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</si>
  <si>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</si>
  <si>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</si>
  <si>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</si>
  <si>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</si>
  <si>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</si>
  <si>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</si>
  <si>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</si>
  <si>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</si>
  <si>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</si>
  <si>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</si>
  <si>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</si>
  <si>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</si>
  <si>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</si>
  <si>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</si>
  <si>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</si>
  <si>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</si>
  <si>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</si>
  <si>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</si>
  <si>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</si>
  <si>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</si>
  <si>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</si>
  <si>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</si>
  <si>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</si>
  <si>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</si>
  <si>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</si>
  <si>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</si>
  <si>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</si>
  <si>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</si>
  <si>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</si>
  <si>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</si>
  <si>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</si>
  <si>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</si>
  <si>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</si>
  <si>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</si>
  <si>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</si>
  <si>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</si>
  <si>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</si>
  <si>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</si>
  <si>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</si>
  <si>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</si>
  <si>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</si>
  <si>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</si>
  <si>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</si>
  <si>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</si>
  <si>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</si>
  <si>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</si>
  <si>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</si>
  <si>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</si>
  <si>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</si>
  <si>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</si>
  <si>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</si>
  <si>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</si>
  <si>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</si>
  <si>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</si>
  <si>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</si>
  <si>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</si>
  <si>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</si>
  <si>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</si>
  <si>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</si>
  <si>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</si>
  <si>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</si>
  <si>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</si>
  <si>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</si>
  <si>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</si>
  <si>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</si>
  <si>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</si>
  <si>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</si>
  <si>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</si>
  <si>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</si>
  <si>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</si>
  <si>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</si>
  <si>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</si>
  <si>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</si>
  <si>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</si>
  <si>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</si>
  <si>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</si>
  <si>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</si>
  <si>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</si>
  <si>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</si>
  <si>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</si>
  <si>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</si>
  <si>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</si>
  <si>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</si>
  <si>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</si>
  <si>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</si>
  <si>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</si>
  <si>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</si>
  <si>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</si>
  <si>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</si>
  <si>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</si>
  <si>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</si>
  <si>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</si>
  <si>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</si>
  <si>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</si>
  <si>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</si>
  <si>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</si>
  <si>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</si>
  <si>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</si>
  <si>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</si>
  <si>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</si>
  <si>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</si>
  <si>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</si>
  <si>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</si>
  <si>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</si>
  <si>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</si>
  <si>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</si>
  <si>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</si>
  <si>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</si>
  <si>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</si>
  <si>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</si>
  <si>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</si>
  <si>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</si>
  <si>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</si>
  <si>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</si>
  <si>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</si>
  <si>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</si>
  <si>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</si>
  <si>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</si>
  <si>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</si>
  <si>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</si>
  <si>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</si>
  <si>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</si>
  <si>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</si>
  <si>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</si>
  <si>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</si>
  <si>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</si>
  <si>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</si>
  <si>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</si>
  <si>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</si>
  <si>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</si>
  <si>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</si>
  <si>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</si>
  <si>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</si>
  <si>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</si>
  <si>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</si>
  <si>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</si>
  <si>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</si>
  <si>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</si>
  <si>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</si>
  <si>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</si>
  <si>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</si>
  <si>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</si>
  <si>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</si>
  <si>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</si>
  <si>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</si>
  <si>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</si>
  <si>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</si>
  <si>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</si>
  <si>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</si>
  <si>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</si>
  <si>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</si>
  <si>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</si>
  <si>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</si>
  <si>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</si>
  <si>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</si>
  <si>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</si>
  <si>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</si>
  <si>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</si>
  <si>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</si>
  <si>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</si>
  <si>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</si>
  <si>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</si>
  <si>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</si>
  <si>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</si>
  <si>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</si>
  <si>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</si>
  <si>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</si>
  <si>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</si>
  <si>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</si>
  <si>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</si>
  <si>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</si>
  <si>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</si>
  <si>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</si>
  <si>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</si>
  <si>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</si>
  <si>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</si>
  <si>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</si>
  <si>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</si>
  <si>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</si>
  <si>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</si>
  <si>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</si>
  <si>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</si>
  <si>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</si>
  <si>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</si>
  <si>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</si>
  <si>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</si>
  <si>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</si>
  <si>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</si>
  <si>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</si>
  <si>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</si>
  <si>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</si>
  <si>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</si>
  <si>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</si>
  <si>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</si>
  <si>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</si>
  <si>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</si>
  <si>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</si>
  <si>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</si>
  <si>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</si>
  <si>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</si>
  <si>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</si>
  <si>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</si>
  <si>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</si>
  <si>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</si>
  <si>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</si>
  <si>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</si>
  <si>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</si>
  <si>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</si>
  <si>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</si>
  <si>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</si>
  <si>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</si>
  <si>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</si>
  <si>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</si>
  <si>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</si>
  <si>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</si>
  <si>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</si>
  <si>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</si>
  <si>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</si>
  <si>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</si>
  <si>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</si>
  <si>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</si>
  <si>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</si>
  <si>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</si>
  <si>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</si>
  <si>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</si>
  <si>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</si>
  <si>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</si>
  <si>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</si>
  <si>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</si>
  <si>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</si>
  <si>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</si>
  <si>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</si>
  <si>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</si>
  <si>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</si>
  <si>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</si>
  <si>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</si>
  <si>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</si>
  <si>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</si>
  <si>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</si>
  <si>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</si>
  <si>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</si>
  <si>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</si>
  <si>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</si>
  <si>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</si>
  <si>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</si>
  <si>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</si>
  <si>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</si>
  <si>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</si>
  <si>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</si>
  <si>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</si>
  <si>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</si>
  <si>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</si>
  <si>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</si>
  <si>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</si>
  <si>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</si>
  <si>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</si>
  <si>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</si>
  <si>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</si>
  <si>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</si>
  <si>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</si>
  <si>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</si>
  <si>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</si>
  <si>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</si>
  <si>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</si>
  <si>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</si>
  <si>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</si>
  <si>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</si>
  <si>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</si>
  <si>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</si>
  <si>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</si>
  <si>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</si>
  <si>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</si>
  <si>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</si>
  <si>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</si>
  <si>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</si>
  <si>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</si>
  <si>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</si>
  <si>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</si>
  <si>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</si>
  <si>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</si>
  <si>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</si>
  <si>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</si>
  <si>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</si>
  <si>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</si>
  <si>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</si>
  <si>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</si>
  <si>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</si>
  <si>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</si>
  <si>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</si>
  <si>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</si>
  <si>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</si>
  <si>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</si>
  <si>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</si>
  <si>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</si>
  <si>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</si>
  <si>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</si>
  <si>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</si>
  <si>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</si>
  <si>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</si>
  <si>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</si>
  <si>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</si>
  <si>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</si>
  <si>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</si>
  <si>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</si>
  <si>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</si>
  <si>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</si>
  <si>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</si>
  <si>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</si>
  <si>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</si>
  <si>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</si>
  <si>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</si>
  <si>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</si>
  <si>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</si>
  <si>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</si>
  <si>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</si>
  <si>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</si>
  <si>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</si>
  <si>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</si>
  <si>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</si>
  <si>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</si>
  <si>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</si>
  <si>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</si>
  <si>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</si>
  <si>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</si>
  <si>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</si>
  <si>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</si>
  <si>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</si>
  <si>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</si>
  <si>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</si>
  <si>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</si>
  <si>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</si>
  <si>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</si>
  <si>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</si>
  <si>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</si>
  <si>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</si>
  <si>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</si>
  <si>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</si>
  <si>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</si>
  <si>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</si>
  <si>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</si>
  <si>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</si>
  <si>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</si>
  <si>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</si>
  <si>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</si>
  <si>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</si>
  <si>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</si>
  <si>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</si>
  <si>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</si>
  <si>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</si>
  <si>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</si>
  <si>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</si>
  <si>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</si>
  <si>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</si>
  <si>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</si>
  <si>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</si>
  <si>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</si>
  <si>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</si>
  <si>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</si>
  <si>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</si>
  <si>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</si>
  <si>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</si>
  <si>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</si>
  <si>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</si>
  <si>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</si>
  <si>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</si>
  <si>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</si>
  <si>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</si>
  <si>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</si>
  <si>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</si>
  <si>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</si>
  <si>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</si>
  <si>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</si>
  <si>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</si>
  <si>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</si>
  <si>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</si>
  <si>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</si>
  <si>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</si>
  <si>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</si>
  <si>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</si>
  <si>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</si>
  <si>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</si>
  <si>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</si>
  <si>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</si>
  <si>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</si>
  <si>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</si>
  <si>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</si>
  <si>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</si>
  <si>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</si>
  <si>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</si>
  <si>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</si>
  <si>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</si>
  <si>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</si>
  <si>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</si>
  <si>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</si>
  <si>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</si>
  <si>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</si>
  <si>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</si>
  <si>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</si>
  <si>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</si>
  <si>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</si>
  <si>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</si>
  <si>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</si>
  <si>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</si>
  <si>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</si>
  <si>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</si>
  <si>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</si>
  <si>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</si>
  <si>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</si>
  <si>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</si>
  <si>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</si>
  <si>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</si>
  <si>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</si>
  <si>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</si>
  <si>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</si>
  <si>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</si>
  <si>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</si>
  <si>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</si>
  <si>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</si>
  <si>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</si>
  <si>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</si>
  <si>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</si>
  <si>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</si>
  <si>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</si>
  <si>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</si>
  <si>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</si>
  <si>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</si>
  <si>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</si>
  <si>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</si>
  <si>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</si>
  <si>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</si>
  <si>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</si>
  <si>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</si>
  <si>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</si>
  <si>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</si>
  <si>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</si>
  <si>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</si>
  <si>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</si>
  <si>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</si>
  <si>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</si>
  <si>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</si>
  <si>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</si>
  <si>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</si>
  <si>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</si>
  <si>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</si>
  <si>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</si>
  <si>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</si>
  <si>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</si>
  <si>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</si>
  <si>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</si>
  <si>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</si>
  <si>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</si>
  <si>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</si>
  <si>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</si>
  <si>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</si>
  <si>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</si>
  <si>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</si>
  <si>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</si>
  <si>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</si>
  <si>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</si>
  <si>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</si>
  <si>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</si>
  <si>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</si>
  <si>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</si>
  <si>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</si>
  <si>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</si>
  <si>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</si>
  <si>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</si>
  <si>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</si>
  <si>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</si>
  <si>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</si>
  <si>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</si>
  <si>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</si>
  <si>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</si>
  <si>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</si>
  <si>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</si>
  <si>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</si>
  <si>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</si>
  <si>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</si>
  <si>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</si>
  <si>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</si>
  <si>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</si>
  <si>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</si>
  <si>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</si>
  <si>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</si>
  <si>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</si>
  <si>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</si>
  <si>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</si>
  <si>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</si>
  <si>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</si>
  <si>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</si>
  <si>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</si>
  <si>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</si>
  <si>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</si>
  <si>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</si>
  <si>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</si>
  <si>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</si>
  <si>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</si>
  <si>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</si>
  <si>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</si>
  <si>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</si>
  <si>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</si>
  <si>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</si>
  <si>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</si>
  <si>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</si>
  <si>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</si>
  <si>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</si>
  <si>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</si>
  <si>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</si>
  <si>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</si>
  <si>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</si>
  <si>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</si>
  <si>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</si>
  <si>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</si>
  <si>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</si>
  <si>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</si>
  <si>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</si>
  <si>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</si>
  <si>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</si>
  <si>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</si>
  <si>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</si>
  <si>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</si>
  <si>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</si>
  <si>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</si>
  <si>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</si>
  <si>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</si>
  <si>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</si>
  <si>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</si>
  <si>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</si>
  <si>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</si>
  <si>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</si>
  <si>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</si>
  <si>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</si>
  <si>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</si>
  <si>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</si>
  <si>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</si>
  <si>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</si>
  <si>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</si>
  <si>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</si>
  <si>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</si>
  <si>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</si>
  <si>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</si>
  <si>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</si>
  <si>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</si>
  <si>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</si>
  <si>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</si>
  <si>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</si>
  <si>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</si>
  <si>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</si>
  <si>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</si>
  <si>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</si>
  <si>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</si>
  <si>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</si>
  <si>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</si>
  <si>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</si>
  <si>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</si>
  <si>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</si>
  <si>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</si>
  <si>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</si>
  <si>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</si>
  <si>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</si>
  <si>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</si>
  <si>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</si>
  <si>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</si>
  <si>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</si>
  <si>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</si>
  <si>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</si>
  <si>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</si>
  <si>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</si>
  <si>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</si>
  <si>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</si>
  <si>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</si>
  <si>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</si>
  <si>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</si>
  <si>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</si>
  <si>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</si>
  <si>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</si>
  <si>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</si>
  <si>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</si>
  <si>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</si>
  <si>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</si>
  <si>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</si>
  <si>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</si>
  <si>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</si>
  <si>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</si>
  <si>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</si>
  <si>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</si>
  <si>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</si>
  <si>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</si>
  <si>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</si>
  <si>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</si>
  <si>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</si>
  <si>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</si>
  <si>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</si>
  <si>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</si>
  <si>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</si>
  <si>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</si>
  <si>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</si>
  <si>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</si>
  <si>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</si>
  <si>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</si>
  <si>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</si>
  <si>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</si>
  <si>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</si>
  <si>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</si>
  <si>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</si>
  <si>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</si>
  <si>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</si>
  <si>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</si>
  <si>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</si>
  <si>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</si>
  <si>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</si>
  <si>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</si>
  <si>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</si>
  <si>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</si>
  <si>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</si>
  <si>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</si>
  <si>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</si>
  <si>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</si>
  <si>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</si>
  <si>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</si>
  <si>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</si>
  <si>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</si>
  <si>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</si>
  <si>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</si>
  <si>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</si>
  <si>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</si>
  <si>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</si>
  <si>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</si>
  <si>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</si>
  <si>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</si>
  <si>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</si>
  <si>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</si>
  <si>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</si>
  <si>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</si>
  <si>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</si>
  <si>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</si>
  <si>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</si>
  <si>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</si>
  <si>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</si>
  <si>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</si>
  <si>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</si>
  <si>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</si>
  <si>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</si>
  <si>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</si>
  <si>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</si>
  <si>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</si>
  <si>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</si>
  <si>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</si>
  <si>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</si>
  <si>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</si>
  <si>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</si>
  <si>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</si>
  <si>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</si>
  <si>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</si>
  <si>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</si>
  <si>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</si>
  <si>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</si>
  <si>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</si>
  <si>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</si>
  <si>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</si>
  <si>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</si>
  <si>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</si>
  <si>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</si>
  <si>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</si>
  <si>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</si>
  <si>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</si>
  <si>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</si>
  <si>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</si>
  <si>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</si>
  <si>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</si>
  <si>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</si>
  <si>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</si>
  <si>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</si>
  <si>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</si>
  <si>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</si>
  <si>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</si>
  <si>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</si>
  <si>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</si>
  <si>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</si>
  <si>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</si>
  <si>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</si>
  <si>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</si>
  <si>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</si>
  <si>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</si>
  <si>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</si>
  <si>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</si>
  <si>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</si>
  <si>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</si>
  <si>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</si>
  <si>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</si>
  <si>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</si>
  <si>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</si>
  <si>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</si>
  <si>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</si>
  <si>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</si>
  <si>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</si>
  <si>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</si>
  <si>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</si>
  <si>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</si>
  <si>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</si>
  <si>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</si>
  <si>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</si>
  <si>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</si>
  <si>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</si>
  <si>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</si>
  <si>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</si>
  <si>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</si>
  <si>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</si>
  <si>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</si>
  <si>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</si>
  <si>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</si>
  <si>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</si>
  <si>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</si>
  <si>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</si>
  <si>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</si>
  <si>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</si>
  <si>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</si>
  <si>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</si>
  <si>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</si>
  <si>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</si>
  <si>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</si>
  <si>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</si>
  <si>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</si>
  <si>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</si>
  <si>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</si>
  <si>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</si>
  <si>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</si>
  <si>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</si>
  <si>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</si>
  <si>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</si>
  <si>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</si>
  <si>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</si>
  <si>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</si>
  <si>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</si>
  <si>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</si>
  <si>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</si>
  <si>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</si>
  <si>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</si>
  <si>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</si>
  <si>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Grand Total</t>
  </si>
  <si>
    <t>Count of Employee</t>
  </si>
  <si>
    <t>Turnover Rate:</t>
  </si>
  <si>
    <t>TOTAL HEADCOUNT (2018 - 2025)</t>
  </si>
  <si>
    <t>TURNOVER RATE (Exited vs. Total Headcount)</t>
  </si>
  <si>
    <t>TOTAL HEADCOUNT KPI CARD</t>
  </si>
  <si>
    <t>STATUS KPI CARD</t>
  </si>
  <si>
    <t>Carlos Rivera</t>
  </si>
  <si>
    <t>TURNOVER PER DEPARTMENT</t>
  </si>
  <si>
    <t>Count of Exits per</t>
  </si>
  <si>
    <t>Employee Count</t>
  </si>
  <si>
    <t>EXIT REASON BREAKDOWN</t>
  </si>
  <si>
    <t>Reason</t>
  </si>
  <si>
    <t>Exit Count</t>
  </si>
  <si>
    <t>NEW HIRES VS. EXITS OVER TIME</t>
  </si>
  <si>
    <t>TENURE BEFORE EXIT</t>
  </si>
  <si>
    <t>Tenure (days)</t>
  </si>
  <si>
    <t>Tenure (yrs. mos. days)</t>
  </si>
  <si>
    <t>Age bracket</t>
  </si>
  <si>
    <t>Tenure (years)</t>
  </si>
  <si>
    <t>Average Tenure (Active)</t>
  </si>
  <si>
    <t>Average Tenure (days)</t>
  </si>
  <si>
    <t>Average Tenure (Exited)</t>
  </si>
  <si>
    <t>Exited Tenure</t>
  </si>
  <si>
    <t>Active Tenure</t>
  </si>
  <si>
    <t>2018</t>
  </si>
  <si>
    <t>2019</t>
  </si>
  <si>
    <t>2020</t>
  </si>
  <si>
    <t>2021</t>
  </si>
  <si>
    <t>2022</t>
  </si>
  <si>
    <t>2023</t>
  </si>
  <si>
    <t>2024</t>
  </si>
  <si>
    <t>2025</t>
  </si>
  <si>
    <t>Qtr1</t>
  </si>
  <si>
    <t>Qtr2</t>
  </si>
  <si>
    <t>Qtr3</t>
  </si>
  <si>
    <t>Qtr4</t>
  </si>
  <si>
    <t>New Hires vs. Exits Trend</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</si>
  <si>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</si>
  <si>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</si>
  <si>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</si>
  <si>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</si>
  <si>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</si>
  <si>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</si>
  <si>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</si>
  <si>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</si>
  <si>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</si>
  <si>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</si>
  <si>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</si>
  <si>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</si>
  <si>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</si>
  <si>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</si>
  <si>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</si>
  <si>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</si>
  <si>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</si>
  <si>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</si>
  <si>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</si>
  <si>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</si>
  <si>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</si>
  <si>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</si>
  <si>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</si>
  <si>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</si>
  <si>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</si>
  <si>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</si>
  <si>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</si>
  <si>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</si>
  <si>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</si>
  <si>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</si>
  <si>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</si>
  <si>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</si>
  <si>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Cumulative Headcount-as-of-Quarter End</t>
  </si>
  <si>
    <t>Q1 2026</t>
  </si>
  <si>
    <t>Q2 2026</t>
  </si>
  <si>
    <t>🚩</t>
  </si>
  <si>
    <t>Exits per Quarter</t>
  </si>
  <si>
    <t>Average Headcount</t>
  </si>
  <si>
    <t>Turnover Rate %</t>
  </si>
  <si>
    <t>COMPANY TURNOVER RATE OVER TIME</t>
  </si>
  <si>
    <t>ACTIVE &amp; EXIT BY AGE BRACKET</t>
  </si>
  <si>
    <t>20s</t>
  </si>
  <si>
    <t>30s</t>
  </si>
  <si>
    <t>40s</t>
  </si>
  <si>
    <t>50s</t>
  </si>
  <si>
    <t>60s</t>
  </si>
  <si>
    <t>Age Bracket</t>
  </si>
  <si>
    <t>Active vs. Exited</t>
  </si>
  <si>
    <t>ACTIVE VS. EXITED COMPARISON CHART BY AGE BRACKET</t>
  </si>
  <si>
    <t>Quarter</t>
  </si>
  <si>
    <t>End Date</t>
  </si>
  <si>
    <t>Start Date</t>
  </si>
  <si>
    <t>EMPLOYEE HEADCOUNT YoY</t>
  </si>
  <si>
    <t>Year</t>
  </si>
  <si>
    <t>Total Exits</t>
  </si>
  <si>
    <t>Total Headcount</t>
  </si>
  <si>
    <t>Headcount YoY</t>
  </si>
  <si>
    <t>Headcount</t>
  </si>
  <si>
    <t>Turnover Rate</t>
  </si>
  <si>
    <t>Ave. Headcount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</si>
</sst>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yyyy"/>
    <numFmt numFmtId="165" formatCode="0.0%"/>
  </numFmts>
  <fonts count="4" x14ac:knownFonts="1">
    <font>
      <sz val="11"/>
      <color theme="1"/>
      <name val="Calibri"/>
      <family val="2"/>
      <scheme val="minor"/>
    </font>
    <font>
      <b/>
      <sz val="11"/>
      <color theme="1"/>
      <name val="Calibri"/>
      <family val="2"/>
      <scheme val="minor"/>
    </font>
    <font>
      <sz val="11"/>
      <color theme="0"/>
      <name val="Calibri"/>
      <family val="2"/>
      <scheme val="minor"/>
    </font>
    <font>
      <b/>
      <sz val="11"/>
      <color rgb="FF76549A"/>
      <name val="Calibri"/>
      <family val="2"/>
      <scheme val="minor"/>
    </font>
  </fonts>
  <fills count="9">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rgb="FFC0000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87">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1" xfId="0" applyBorder="1"/>
    <xf numFmtId="0" fontId="1" fillId="0" borderId="0" xfId="0" applyFont="1"/>
    <xf numFmtId="0" fontId="0" fillId="0" borderId="2" xfId="0" applyBorder="1"/>
    <xf numFmtId="3" fontId="0" fillId="0" borderId="0" xfId="0" applyNumberFormat="1"/>
    <xf numFmtId="0" fontId="0" fillId="0" borderId="3" xfId="0" pivotButton="1" applyBorder="1"/>
    <xf numFmtId="0" fontId="0" fillId="0" borderId="5" xfId="0" applyBorder="1" applyAlignment="1">
      <alignment horizontal="left"/>
    </xf>
    <xf numFmtId="0" fontId="0" fillId="0" borderId="6" xfId="0" applyBorder="1" applyAlignment="1">
      <alignment horizontal="left"/>
    </xf>
    <xf numFmtId="0" fontId="1" fillId="6" borderId="10" xfId="0" applyFont="1" applyFill="1" applyBorder="1" applyAlignment="1">
      <alignment horizontal="left"/>
    </xf>
    <xf numFmtId="10" fontId="1" fillId="0" borderId="11" xfId="0" applyNumberFormat="1" applyFont="1" applyBorder="1"/>
    <xf numFmtId="0" fontId="0" fillId="0" borderId="1" xfId="0" pivotButton="1" applyBorder="1"/>
    <xf numFmtId="0" fontId="0" fillId="0" borderId="8" xfId="0" applyBorder="1" applyAlignment="1">
      <alignment horizontal="left"/>
    </xf>
    <xf numFmtId="0" fontId="0" fillId="0" borderId="9"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0" fillId="0" borderId="4" xfId="0" pivotButton="1" applyBorder="1"/>
    <xf numFmtId="0" fontId="0" fillId="0" borderId="5" xfId="0" pivotButton="1" applyBorder="1"/>
    <xf numFmtId="0" fontId="0" fillId="6" borderId="3" xfId="0" applyFill="1" applyBorder="1" applyAlignment="1">
      <alignment horizontal="left"/>
    </xf>
    <xf numFmtId="0" fontId="1" fillId="6" borderId="6" xfId="0" applyFont="1" applyFill="1" applyBorder="1" applyAlignment="1">
      <alignment horizontal="left"/>
    </xf>
    <xf numFmtId="0" fontId="0" fillId="0" borderId="8" xfId="0" applyBorder="1" applyAlignment="1">
      <alignment horizontal="right"/>
    </xf>
    <xf numFmtId="0" fontId="1" fillId="0" borderId="9" xfId="0" applyFont="1" applyBorder="1" applyAlignment="1">
      <alignment horizontal="right"/>
    </xf>
    <xf numFmtId="0" fontId="0" fillId="0" borderId="2" xfId="0" applyBorder="1" applyAlignment="1">
      <alignment horizontal="center" vertical="top"/>
    </xf>
    <xf numFmtId="0" fontId="0" fillId="0" borderId="4" xfId="0" applyBorder="1"/>
    <xf numFmtId="0" fontId="0" fillId="0" borderId="12" xfId="0" applyBorder="1"/>
    <xf numFmtId="0" fontId="0" fillId="0" borderId="14" xfId="0" applyBorder="1"/>
    <xf numFmtId="0" fontId="0" fillId="0" borderId="5" xfId="0" applyBorder="1" applyAlignment="1">
      <alignment horizontal="left" indent="1"/>
    </xf>
    <xf numFmtId="0" fontId="0" fillId="0" borderId="0" xfId="0" applyAlignment="1">
      <alignment horizontal="right"/>
    </xf>
    <xf numFmtId="0" fontId="0" fillId="0" borderId="5" xfId="0" applyBorder="1"/>
    <xf numFmtId="14" fontId="0" fillId="0" borderId="0" xfId="0" applyNumberFormat="1"/>
    <xf numFmtId="165" fontId="0" fillId="0" borderId="2" xfId="0" applyNumberFormat="1" applyBorder="1"/>
    <xf numFmtId="0" fontId="0" fillId="0" borderId="6" xfId="0" applyBorder="1"/>
    <xf numFmtId="14" fontId="0" fillId="0" borderId="14" xfId="0" applyNumberFormat="1" applyBorder="1"/>
    <xf numFmtId="165" fontId="0" fillId="0" borderId="7" xfId="0" applyNumberFormat="1" applyBorder="1"/>
    <xf numFmtId="0" fontId="0" fillId="0" borderId="0" xfId="0" applyAlignment="1">
      <alignment wrapText="1"/>
    </xf>
    <xf numFmtId="0" fontId="0" fillId="0" borderId="0" xfId="0" applyAlignment="1">
      <alignment horizontal="right" wrapText="1"/>
    </xf>
    <xf numFmtId="0" fontId="0" fillId="0" borderId="14" xfId="0" applyBorder="1" applyAlignment="1">
      <alignment wrapText="1"/>
    </xf>
    <xf numFmtId="0" fontId="1" fillId="6" borderId="13" xfId="0" applyFont="1" applyFill="1" applyBorder="1" applyAlignment="1">
      <alignment vertical="center"/>
    </xf>
    <xf numFmtId="0" fontId="1" fillId="6" borderId="13" xfId="0" applyFont="1" applyFill="1" applyBorder="1" applyAlignment="1">
      <alignment horizontal="right" vertical="center" wrapText="1"/>
    </xf>
    <xf numFmtId="0" fontId="1" fillId="6" borderId="4" xfId="0" applyFont="1" applyFill="1" applyBorder="1" applyAlignment="1">
      <alignment vertical="center"/>
    </xf>
    <xf numFmtId="0" fontId="0" fillId="0" borderId="8" xfId="0" applyBorder="1" applyAlignment="1">
      <alignment vertical="center"/>
    </xf>
    <xf numFmtId="0" fontId="0" fillId="0" borderId="0" xfId="0" applyAlignment="1">
      <alignment vertical="center"/>
    </xf>
    <xf numFmtId="0" fontId="0" fillId="0" borderId="1" xfId="0" pivotButton="1" applyBorder="1" applyAlignment="1">
      <alignment vertical="center"/>
    </xf>
    <xf numFmtId="0" fontId="0" fillId="0" borderId="1" xfId="0" applyBorder="1" applyAlignment="1">
      <alignment vertical="center"/>
    </xf>
    <xf numFmtId="0" fontId="0" fillId="0" borderId="3" xfId="0" pivotButton="1" applyBorder="1" applyAlignment="1">
      <alignment vertical="center"/>
    </xf>
    <xf numFmtId="0" fontId="0" fillId="0" borderId="13" xfId="0" pivotButton="1" applyBorder="1" applyAlignment="1">
      <alignment vertical="center"/>
    </xf>
    <xf numFmtId="0" fontId="0" fillId="0" borderId="4" xfId="0" applyBorder="1" applyAlignment="1">
      <alignment vertical="center"/>
    </xf>
    <xf numFmtId="0" fontId="1" fillId="6" borderId="3" xfId="0" applyFont="1" applyFill="1" applyBorder="1" applyAlignment="1">
      <alignment vertical="center"/>
    </xf>
    <xf numFmtId="0" fontId="0" fillId="0" borderId="10" xfId="0" applyBorder="1"/>
    <xf numFmtId="0" fontId="0" fillId="0" borderId="11" xfId="0" applyBorder="1"/>
    <xf numFmtId="0" fontId="0" fillId="0" borderId="2" xfId="0" applyBorder="1" applyAlignment="1">
      <alignment vertical="center"/>
    </xf>
    <xf numFmtId="0" fontId="0" fillId="0" borderId="2" xfId="0" pivotButton="1" applyBorder="1"/>
    <xf numFmtId="0" fontId="0" fillId="0" borderId="0" xfId="0" applyNumberFormat="1"/>
    <xf numFmtId="0" fontId="1" fillId="0" borderId="1" xfId="0" applyNumberFormat="1" applyFont="1" applyBorder="1"/>
    <xf numFmtId="0" fontId="0" fillId="0" borderId="2" xfId="0" applyNumberFormat="1" applyBorder="1"/>
    <xf numFmtId="0" fontId="0" fillId="0" borderId="7" xfId="0" applyNumberFormat="1" applyBorder="1"/>
    <xf numFmtId="0" fontId="0" fillId="0" borderId="8" xfId="0" applyNumberFormat="1" applyBorder="1"/>
    <xf numFmtId="0" fontId="0" fillId="0" borderId="12" xfId="0" applyNumberFormat="1" applyBorder="1"/>
    <xf numFmtId="0" fontId="0" fillId="0" borderId="9" xfId="0" applyNumberFormat="1" applyBorder="1"/>
    <xf numFmtId="0" fontId="0" fillId="0" borderId="0" xfId="0" applyNumberFormat="1" applyBorder="1"/>
    <xf numFmtId="0" fontId="0" fillId="0" borderId="4" xfId="0" applyNumberFormat="1" applyBorder="1"/>
    <xf numFmtId="0" fontId="0" fillId="0" borderId="0" xfId="0" applyBorder="1"/>
    <xf numFmtId="0" fontId="0" fillId="0" borderId="14" xfId="0" applyNumberFormat="1" applyBorder="1"/>
    <xf numFmtId="0" fontId="0" fillId="0" borderId="3" xfId="0" applyNumberFormat="1" applyBorder="1"/>
    <xf numFmtId="0" fontId="0" fillId="0" borderId="5" xfId="0" applyNumberFormat="1" applyBorder="1"/>
    <xf numFmtId="0" fontId="0" fillId="0" borderId="6" xfId="0" applyNumberFormat="1" applyBorder="1"/>
    <xf numFmtId="0" fontId="0" fillId="7" borderId="0" xfId="0" applyFill="1"/>
    <xf numFmtId="0" fontId="3" fillId="5" borderId="0" xfId="0" applyFont="1" applyFill="1" applyAlignment="1">
      <alignment horizontal="center" vertical="center"/>
    </xf>
    <xf numFmtId="0" fontId="1" fillId="0" borderId="0" xfId="0" applyFont="1" applyFill="1" applyBorder="1" applyAlignment="1">
      <alignment horizontal="left"/>
    </xf>
    <xf numFmtId="0" fontId="1" fillId="8" borderId="0" xfId="0" applyFont="1" applyFill="1"/>
    <xf numFmtId="10" fontId="1" fillId="0" borderId="0" xfId="0" applyNumberFormat="1" applyFont="1" applyBorder="1"/>
    <xf numFmtId="0" fontId="0" fillId="0" borderId="0" xfId="0" pivotButton="1" applyBorder="1"/>
    <xf numFmtId="0" fontId="1" fillId="6" borderId="15" xfId="0" applyFont="1" applyFill="1" applyBorder="1"/>
    <xf numFmtId="0" fontId="1" fillId="6" borderId="11" xfId="0" applyFont="1" applyFill="1" applyBorder="1"/>
    <xf numFmtId="0" fontId="1" fillId="6" borderId="1" xfId="0" applyFont="1" applyFill="1" applyBorder="1"/>
    <xf numFmtId="0" fontId="0" fillId="0" borderId="0" xfId="0" applyFill="1" applyBorder="1"/>
    <xf numFmtId="0" fontId="0" fillId="0" borderId="9" xfId="0" applyFill="1" applyBorder="1"/>
    <xf numFmtId="165" fontId="0" fillId="0" borderId="0" xfId="0" applyNumberFormat="1"/>
    <xf numFmtId="165" fontId="0" fillId="0" borderId="0" xfId="0" applyNumberFormat="1" applyBorder="1"/>
    <xf numFmtId="165" fontId="0" fillId="0" borderId="14" xfId="0" applyNumberFormat="1" applyBorder="1"/>
    <xf numFmtId="0" fontId="2" fillId="0" borderId="0" xfId="0" applyFont="1"/>
    <xf numFmtId="165" fontId="2" fillId="0" borderId="0" xfId="0" applyNumberFormat="1" applyFont="1"/>
  </cellXfs>
  <cellStyles count="1">
    <cellStyle name="Normal" xfId="0" builtinId="0"/>
  </cellStyles>
  <dxfs count="72">
    <dxf>
      <font>
        <color rgb="FFFF0000"/>
      </font>
      <fill>
        <patternFill patternType="none">
          <bgColor auto="1"/>
        </patternFill>
      </fill>
    </dxf>
    <dxf>
      <font>
        <color theme="9"/>
      </font>
      <fill>
        <patternFill patternType="none">
          <bgColor auto="1"/>
        </patternFill>
      </fill>
    </dxf>
    <dxf>
      <font>
        <color rgb="FFFF0101"/>
      </font>
    </dxf>
    <dxf>
      <font>
        <color theme="9"/>
      </font>
    </dxf>
    <dxf>
      <font>
        <color rgb="FFFF0000"/>
      </font>
      <fill>
        <patternFill patternType="none">
          <bgColor auto="1"/>
        </patternFill>
      </fill>
    </dxf>
    <dxf>
      <font>
        <color theme="9"/>
      </font>
      <fill>
        <patternFill patternType="none">
          <bgColor auto="1"/>
        </patternFill>
      </fill>
    </dxf>
    <dxf>
      <fill>
        <patternFill>
          <bgColor rgb="FFFF7171"/>
        </patternFill>
      </fill>
    </dxf>
    <dxf>
      <fill>
        <patternFill>
          <bgColor theme="9" tint="0.79998168889431442"/>
        </patternFill>
      </fill>
    </dxf>
    <dxf>
      <fill>
        <patternFill>
          <bgColor theme="9" tint="0.79998168889431442"/>
        </patternFill>
      </fill>
    </dxf>
    <dxf>
      <font>
        <b/>
        <i val="0"/>
        <sz val="12"/>
        <color theme="0"/>
      </font>
      <fill>
        <patternFill>
          <bgColor rgb="FF76549A"/>
        </patternFill>
      </fill>
      <border diagonalUp="0" diagonalDown="0">
        <left/>
        <right/>
        <top/>
        <bottom/>
        <vertical/>
        <horizontal/>
      </border>
    </dxf>
    <dxf>
      <numFmt numFmtId="0" formatCode="General"/>
    </dxf>
    <dxf>
      <numFmt numFmtId="0" formatCode="General"/>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numFmt numFmtId="0" formatCode="General"/>
    </dxf>
    <dxf>
      <border>
        <right style="thin">
          <color indexed="64"/>
        </right>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border>
    </dxf>
    <dxf>
      <alignment vertical="center"/>
    </dxf>
    <dxf>
      <font>
        <b/>
      </font>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vertical="top"/>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rder>
    </dxf>
    <dxf>
      <border>
        <right style="thin">
          <color indexed="64"/>
        </right>
      </border>
    </dxf>
    <dxf>
      <border>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s>
  <tableStyles count="1" defaultTableStyle="TableStyleMedium2" defaultPivotStyle="PivotStyleLight16">
    <tableStyle name="department-slicer" pivot="0" table="0" count="4" xr9:uid="{02DBE0D6-721C-46B6-88C9-5ACFBE495BA1}">
      <tableStyleElement type="wholeTable" dxfId="9"/>
    </tableStyle>
  </tableStyles>
  <colors>
    <mruColors>
      <color rgb="FFFF7171"/>
      <color rgb="FFFFFFFF"/>
      <color rgb="FF76549A"/>
      <color rgb="FFA2CB8B"/>
      <color rgb="FF5B7E3C"/>
      <color rgb="FFC44545"/>
      <color rgb="FFD45079"/>
      <color rgb="FFFF1F5A"/>
      <color rgb="FFFBA834"/>
      <color rgb="FFFFA87B"/>
    </mruColors>
  </colors>
  <extLst>
    <ext xmlns:x14="http://schemas.microsoft.com/office/spreadsheetml/2009/9/main" uri="{46F421CA-312F-682f-3DD2-61675219B42D}">
      <x14:dxfs count="3">
        <dxf>
          <font>
            <b/>
            <i val="0"/>
            <sz val="12"/>
            <color theme="0"/>
          </font>
          <fill>
            <patternFill>
              <bgColor rgb="FF76549A"/>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TABLES!DepartmentTurnover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Exits</a:t>
            </a:r>
            <a:r>
              <a:rPr lang="en-US" baseline="0"/>
              <a:t> per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6549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65921224132699"/>
          <c:y val="0.23504435994930292"/>
          <c:w val="0.75983738639812892"/>
          <c:h val="0.69524714828897338"/>
        </c:manualLayout>
      </c:layout>
      <c:barChart>
        <c:barDir val="bar"/>
        <c:grouping val="clustered"/>
        <c:varyColors val="0"/>
        <c:ser>
          <c:idx val="0"/>
          <c:order val="0"/>
          <c:tx>
            <c:strRef>
              <c:f>'PIVOT TABLES'!$C$19:$C$20</c:f>
              <c:strCache>
                <c:ptCount val="1"/>
                <c:pt idx="0">
                  <c:v>Exited</c:v>
                </c:pt>
              </c:strCache>
            </c:strRef>
          </c:tx>
          <c:spPr>
            <a:solidFill>
              <a:srgbClr val="7654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TABLES'!$B$21:$B$26</c:f>
              <c:strCache>
                <c:ptCount val="6"/>
                <c:pt idx="0">
                  <c:v>Customer Support</c:v>
                </c:pt>
                <c:pt idx="1">
                  <c:v>IT</c:v>
                </c:pt>
                <c:pt idx="2">
                  <c:v>Marketing</c:v>
                </c:pt>
                <c:pt idx="3">
                  <c:v>HR</c:v>
                </c:pt>
                <c:pt idx="4">
                  <c:v>Sales</c:v>
                </c:pt>
                <c:pt idx="5">
                  <c:v>Finance</c:v>
                </c:pt>
              </c:strCache>
            </c:strRef>
          </c:cat>
          <c:val>
            <c:numRef>
              <c:f>'PIVOT TABLES'!$C$21:$C$26</c:f>
              <c:numCache>
                <c:formatCode>General</c:formatCode>
                <c:ptCount val="6"/>
                <c:pt idx="0">
                  <c:v>100</c:v>
                </c:pt>
                <c:pt idx="1">
                  <c:v>96</c:v>
                </c:pt>
                <c:pt idx="2">
                  <c:v>71</c:v>
                </c:pt>
                <c:pt idx="3">
                  <c:v>58</c:v>
                </c:pt>
                <c:pt idx="4">
                  <c:v>46</c:v>
                </c:pt>
                <c:pt idx="5">
                  <c:v>43</c:v>
                </c:pt>
              </c:numCache>
            </c:numRef>
          </c:val>
          <c:extLst>
            <c:ext xmlns:c16="http://schemas.microsoft.com/office/drawing/2014/chart" uri="{C3380CC4-5D6E-409C-BE32-E72D297353CC}">
              <c16:uniqueId val="{00000000-558E-445E-B23F-0736DD95A839}"/>
            </c:ext>
          </c:extLst>
        </c:ser>
        <c:dLbls>
          <c:showLegendKey val="0"/>
          <c:showVal val="0"/>
          <c:showCatName val="0"/>
          <c:showSerName val="0"/>
          <c:showPercent val="0"/>
          <c:showBubbleSize val="0"/>
        </c:dLbls>
        <c:gapWidth val="70"/>
        <c:axId val="1720040848"/>
        <c:axId val="1720045168"/>
      </c:barChart>
      <c:catAx>
        <c:axId val="172004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045168"/>
        <c:crosses val="autoZero"/>
        <c:auto val="1"/>
        <c:lblAlgn val="ctr"/>
        <c:lblOffset val="100"/>
        <c:noMultiLvlLbl val="0"/>
      </c:catAx>
      <c:valAx>
        <c:axId val="1720045168"/>
        <c:scaling>
          <c:orientation val="minMax"/>
        </c:scaling>
        <c:delete val="1"/>
        <c:axPos val="t"/>
        <c:numFmt formatCode="General" sourceLinked="1"/>
        <c:majorTickMark val="none"/>
        <c:minorTickMark val="none"/>
        <c:tickLblPos val="nextTo"/>
        <c:crossAx val="172004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TABLES!ExitBreakdown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 Reason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60000"/>
            </a:schemeClr>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60000"/>
            </a:schemeClr>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76549A"/>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76549A"/>
          </a:solidFill>
          <a:ln w="19050">
            <a:solidFill>
              <a:schemeClr val="lt1"/>
            </a:solidFill>
          </a:ln>
          <a:effectLst/>
        </c:spPr>
      </c:pivotFmt>
      <c:pivotFmt>
        <c:idx val="20"/>
        <c:spPr>
          <a:solidFill>
            <a:srgbClr val="76549A"/>
          </a:solidFill>
          <a:ln w="19050">
            <a:solidFill>
              <a:schemeClr val="lt1"/>
            </a:solidFill>
          </a:ln>
          <a:effectLst/>
        </c:spPr>
      </c:pivotFmt>
      <c:pivotFmt>
        <c:idx val="21"/>
        <c:spPr>
          <a:solidFill>
            <a:srgbClr val="76549A"/>
          </a:solidFill>
          <a:ln w="19050">
            <a:solidFill>
              <a:schemeClr val="lt1"/>
            </a:solidFill>
          </a:ln>
          <a:effectLst/>
        </c:spPr>
      </c:pivotFmt>
      <c:pivotFmt>
        <c:idx val="22"/>
        <c:spPr>
          <a:solidFill>
            <a:srgbClr val="76549A"/>
          </a:solidFill>
          <a:ln w="19050">
            <a:solidFill>
              <a:schemeClr val="lt1"/>
            </a:solidFill>
          </a:ln>
          <a:effectLst/>
        </c:spPr>
      </c:pivotFmt>
      <c:pivotFmt>
        <c:idx val="23"/>
        <c:spPr>
          <a:solidFill>
            <a:srgbClr val="76549A"/>
          </a:solidFill>
          <a:ln w="19050">
            <a:solidFill>
              <a:schemeClr val="lt1"/>
            </a:solidFill>
          </a:ln>
          <a:effectLst/>
        </c:spPr>
      </c:pivotFmt>
      <c:pivotFmt>
        <c:idx val="24"/>
        <c:spPr>
          <a:solidFill>
            <a:srgbClr val="76549A"/>
          </a:solidFill>
          <a:ln w="19050">
            <a:solidFill>
              <a:schemeClr val="lt1"/>
            </a:solidFill>
          </a:ln>
          <a:effectLst/>
        </c:spPr>
      </c:pivotFmt>
      <c:pivotFmt>
        <c:idx val="25"/>
        <c:spPr>
          <a:solidFill>
            <a:srgbClr val="76549A"/>
          </a:solidFill>
          <a:ln w="19050">
            <a:solidFill>
              <a:schemeClr val="lt1"/>
            </a:solidFill>
          </a:ln>
          <a:effectLst/>
        </c:spPr>
      </c:pivotFmt>
      <c:pivotFmt>
        <c:idx val="26"/>
        <c:spPr>
          <a:solidFill>
            <a:srgbClr val="76549A"/>
          </a:solidFill>
          <a:ln w="19050">
            <a:solidFill>
              <a:schemeClr val="lt1"/>
            </a:solidFill>
          </a:ln>
          <a:effectLst/>
        </c:spPr>
      </c:pivotFmt>
    </c:pivotFmts>
    <c:plotArea>
      <c:layout>
        <c:manualLayout>
          <c:layoutTarget val="inner"/>
          <c:xMode val="edge"/>
          <c:yMode val="edge"/>
          <c:x val="0.27511056507292625"/>
          <c:y val="0.23410993415203032"/>
          <c:w val="0.70867679867071698"/>
          <c:h val="0.69645870225475492"/>
        </c:manualLayout>
      </c:layout>
      <c:barChart>
        <c:barDir val="bar"/>
        <c:grouping val="clustered"/>
        <c:varyColors val="0"/>
        <c:ser>
          <c:idx val="0"/>
          <c:order val="0"/>
          <c:tx>
            <c:strRef>
              <c:f>'PIVOT TABLES'!$L$4</c:f>
              <c:strCache>
                <c:ptCount val="1"/>
                <c:pt idx="0">
                  <c:v>Total</c:v>
                </c:pt>
              </c:strCache>
            </c:strRef>
          </c:tx>
          <c:spPr>
            <a:solidFill>
              <a:srgbClr val="76549A"/>
            </a:solidFill>
            <a:ln w="19050">
              <a:solidFill>
                <a:schemeClr val="lt1"/>
              </a:solidFill>
            </a:ln>
            <a:effectLst/>
          </c:spPr>
          <c:invertIfNegative val="0"/>
          <c:dPt>
            <c:idx val="0"/>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1-4BCB-4D04-8DD2-8B3E3DD3D9E9}"/>
              </c:ext>
            </c:extLst>
          </c:dPt>
          <c:dPt>
            <c:idx val="1"/>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3-4BCB-4D04-8DD2-8B3E3DD3D9E9}"/>
              </c:ext>
            </c:extLst>
          </c:dPt>
          <c:dPt>
            <c:idx val="2"/>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5-4BCB-4D04-8DD2-8B3E3DD3D9E9}"/>
              </c:ext>
            </c:extLst>
          </c:dPt>
          <c:dPt>
            <c:idx val="3"/>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7-4BCB-4D04-8DD2-8B3E3DD3D9E9}"/>
              </c:ext>
            </c:extLst>
          </c:dPt>
          <c:dPt>
            <c:idx val="4"/>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9-4BCB-4D04-8DD2-8B3E3DD3D9E9}"/>
              </c:ext>
            </c:extLst>
          </c:dPt>
          <c:dPt>
            <c:idx val="5"/>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B-4BCB-4D04-8DD2-8B3E3DD3D9E9}"/>
              </c:ext>
            </c:extLst>
          </c:dPt>
          <c:dPt>
            <c:idx val="6"/>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D-4BCB-4D04-8DD2-8B3E3DD3D9E9}"/>
              </c:ext>
            </c:extLst>
          </c:dPt>
          <c:dPt>
            <c:idx val="7"/>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F-4BCB-4D04-8DD2-8B3E3DD3D9E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TABLES'!$K$5:$K$13</c:f>
              <c:strCache>
                <c:ptCount val="8"/>
                <c:pt idx="0">
                  <c:v>Better Opportunity</c:v>
                </c:pt>
                <c:pt idx="1">
                  <c:v>Termination</c:v>
                </c:pt>
                <c:pt idx="2">
                  <c:v>Resignation</c:v>
                </c:pt>
                <c:pt idx="3">
                  <c:v>Personal Reasons</c:v>
                </c:pt>
                <c:pt idx="4">
                  <c:v>Retirement</c:v>
                </c:pt>
                <c:pt idx="5">
                  <c:v>Health Issues</c:v>
                </c:pt>
                <c:pt idx="6">
                  <c:v>Contract End</c:v>
                </c:pt>
                <c:pt idx="7">
                  <c:v>Relocation</c:v>
                </c:pt>
              </c:strCache>
            </c:strRef>
          </c:cat>
          <c:val>
            <c:numRef>
              <c:f>'PIVOT TABLES'!$L$5:$L$13</c:f>
              <c:numCache>
                <c:formatCode>General</c:formatCode>
                <c:ptCount val="8"/>
                <c:pt idx="0">
                  <c:v>81</c:v>
                </c:pt>
                <c:pt idx="1">
                  <c:v>68</c:v>
                </c:pt>
                <c:pt idx="2">
                  <c:v>64</c:v>
                </c:pt>
                <c:pt idx="3">
                  <c:v>46</c:v>
                </c:pt>
                <c:pt idx="4">
                  <c:v>44</c:v>
                </c:pt>
                <c:pt idx="5">
                  <c:v>39</c:v>
                </c:pt>
                <c:pt idx="6">
                  <c:v>36</c:v>
                </c:pt>
                <c:pt idx="7">
                  <c:v>36</c:v>
                </c:pt>
              </c:numCache>
            </c:numRef>
          </c:val>
          <c:extLst>
            <c:ext xmlns:c16="http://schemas.microsoft.com/office/drawing/2014/chart" uri="{C3380CC4-5D6E-409C-BE32-E72D297353CC}">
              <c16:uniqueId val="{00000010-4BCB-4D04-8DD2-8B3E3DD3D9E9}"/>
            </c:ext>
          </c:extLst>
        </c:ser>
        <c:dLbls>
          <c:showLegendKey val="0"/>
          <c:showVal val="0"/>
          <c:showCatName val="0"/>
          <c:showSerName val="0"/>
          <c:showPercent val="0"/>
          <c:showBubbleSize val="0"/>
        </c:dLbls>
        <c:gapWidth val="60"/>
        <c:axId val="1607039583"/>
        <c:axId val="1607035743"/>
      </c:barChart>
      <c:valAx>
        <c:axId val="1607035743"/>
        <c:scaling>
          <c:orientation val="minMax"/>
        </c:scaling>
        <c:delete val="1"/>
        <c:axPos val="t"/>
        <c:numFmt formatCode="General" sourceLinked="1"/>
        <c:majorTickMark val="out"/>
        <c:minorTickMark val="none"/>
        <c:tickLblPos val="nextTo"/>
        <c:crossAx val="1607039583"/>
        <c:crosses val="autoZero"/>
        <c:crossBetween val="between"/>
      </c:valAx>
      <c:catAx>
        <c:axId val="160703958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03574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TABLES!ExitedByTenure</c:name>
    <c:fmtId val="3"/>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578146611341634E-2"/>
          <c:y val="9.3896713615023469E-2"/>
          <c:w val="0.93084370677731676"/>
          <c:h val="0.63382314886695501"/>
        </c:manualLayout>
      </c:layout>
      <c:barChart>
        <c:barDir val="col"/>
        <c:grouping val="clustered"/>
        <c:varyColors val="0"/>
        <c:ser>
          <c:idx val="0"/>
          <c:order val="0"/>
          <c:tx>
            <c:strRef>
              <c:f>'PIVOT TABLES'!$AD$12:$AD$13</c:f>
              <c:strCache>
                <c:ptCount val="1"/>
                <c:pt idx="0">
                  <c:v>Exited</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TABLES'!$AC$14:$AC$20</c:f>
              <c:strCache>
                <c:ptCount val="6"/>
                <c:pt idx="0">
                  <c:v>0</c:v>
                </c:pt>
                <c:pt idx="1">
                  <c:v>1</c:v>
                </c:pt>
                <c:pt idx="2">
                  <c:v>2</c:v>
                </c:pt>
                <c:pt idx="3">
                  <c:v>3</c:v>
                </c:pt>
                <c:pt idx="4">
                  <c:v>4</c:v>
                </c:pt>
                <c:pt idx="5">
                  <c:v>5</c:v>
                </c:pt>
              </c:strCache>
            </c:strRef>
          </c:cat>
          <c:val>
            <c:numRef>
              <c:f>'PIVOT TABLES'!$AD$14:$AD$20</c:f>
              <c:numCache>
                <c:formatCode>General</c:formatCode>
                <c:ptCount val="6"/>
                <c:pt idx="0">
                  <c:v>121</c:v>
                </c:pt>
                <c:pt idx="1">
                  <c:v>100</c:v>
                </c:pt>
                <c:pt idx="2">
                  <c:v>76</c:v>
                </c:pt>
                <c:pt idx="3">
                  <c:v>46</c:v>
                </c:pt>
                <c:pt idx="4">
                  <c:v>50</c:v>
                </c:pt>
                <c:pt idx="5">
                  <c:v>21</c:v>
                </c:pt>
              </c:numCache>
            </c:numRef>
          </c:val>
          <c:extLst>
            <c:ext xmlns:c16="http://schemas.microsoft.com/office/drawing/2014/chart" uri="{C3380CC4-5D6E-409C-BE32-E72D297353CC}">
              <c16:uniqueId val="{00000002-4252-4CE4-B6E4-115892AB3B42}"/>
            </c:ext>
          </c:extLst>
        </c:ser>
        <c:dLbls>
          <c:showLegendKey val="0"/>
          <c:showVal val="0"/>
          <c:showCatName val="0"/>
          <c:showSerName val="0"/>
          <c:showPercent val="0"/>
          <c:showBubbleSize val="0"/>
        </c:dLbls>
        <c:gapWidth val="6"/>
        <c:overlap val="-27"/>
        <c:axId val="805052528"/>
        <c:axId val="805042928"/>
      </c:barChart>
      <c:catAx>
        <c:axId val="80505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042928"/>
        <c:crosses val="autoZero"/>
        <c:auto val="1"/>
        <c:lblAlgn val="ctr"/>
        <c:lblOffset val="100"/>
        <c:noMultiLvlLbl val="0"/>
      </c:catAx>
      <c:valAx>
        <c:axId val="805042928"/>
        <c:scaling>
          <c:orientation val="minMax"/>
        </c:scaling>
        <c:delete val="1"/>
        <c:axPos val="l"/>
        <c:numFmt formatCode="General" sourceLinked="1"/>
        <c:majorTickMark val="none"/>
        <c:minorTickMark val="none"/>
        <c:tickLblPos val="nextTo"/>
        <c:crossAx val="805052528"/>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TABLES!ActiveByTenure</c:name>
    <c:fmtId val="3"/>
  </c:pivotSource>
  <c:chart>
    <c:autoTitleDeleted val="1"/>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010973936899862E-2"/>
          <c:y val="5.7870370370370371E-2"/>
          <c:w val="0.90397805212620042"/>
          <c:h val="0.67363116068824724"/>
        </c:manualLayout>
      </c:layout>
      <c:barChart>
        <c:barDir val="col"/>
        <c:grouping val="clustered"/>
        <c:varyColors val="0"/>
        <c:ser>
          <c:idx val="0"/>
          <c:order val="0"/>
          <c:tx>
            <c:strRef>
              <c:f>'PIVOT TABLES'!$AG$12:$AG$13</c:f>
              <c:strCache>
                <c:ptCount val="1"/>
                <c:pt idx="0">
                  <c:v>Active</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TABLES'!$AF$14:$AF$23</c:f>
              <c:strCache>
                <c:ptCount val="9"/>
                <c:pt idx="0">
                  <c:v>0</c:v>
                </c:pt>
                <c:pt idx="1">
                  <c:v>1</c:v>
                </c:pt>
                <c:pt idx="2">
                  <c:v>2</c:v>
                </c:pt>
                <c:pt idx="3">
                  <c:v>3</c:v>
                </c:pt>
                <c:pt idx="4">
                  <c:v>4</c:v>
                </c:pt>
                <c:pt idx="5">
                  <c:v>5</c:v>
                </c:pt>
                <c:pt idx="6">
                  <c:v>6</c:v>
                </c:pt>
                <c:pt idx="7">
                  <c:v>7</c:v>
                </c:pt>
                <c:pt idx="8">
                  <c:v>8</c:v>
                </c:pt>
              </c:strCache>
            </c:strRef>
          </c:cat>
          <c:val>
            <c:numRef>
              <c:f>'PIVOT TABLES'!$AG$14:$AG$23</c:f>
              <c:numCache>
                <c:formatCode>General</c:formatCode>
                <c:ptCount val="9"/>
                <c:pt idx="0">
                  <c:v>42</c:v>
                </c:pt>
                <c:pt idx="1">
                  <c:v>79</c:v>
                </c:pt>
                <c:pt idx="2">
                  <c:v>80</c:v>
                </c:pt>
                <c:pt idx="3">
                  <c:v>80</c:v>
                </c:pt>
                <c:pt idx="4">
                  <c:v>82</c:v>
                </c:pt>
                <c:pt idx="5">
                  <c:v>83</c:v>
                </c:pt>
                <c:pt idx="6">
                  <c:v>96</c:v>
                </c:pt>
                <c:pt idx="7">
                  <c:v>91</c:v>
                </c:pt>
                <c:pt idx="8">
                  <c:v>34</c:v>
                </c:pt>
              </c:numCache>
            </c:numRef>
          </c:val>
          <c:extLst>
            <c:ext xmlns:c16="http://schemas.microsoft.com/office/drawing/2014/chart" uri="{C3380CC4-5D6E-409C-BE32-E72D297353CC}">
              <c16:uniqueId val="{00000000-8D30-4080-98B8-D6B3D1123B9B}"/>
            </c:ext>
          </c:extLst>
        </c:ser>
        <c:dLbls>
          <c:showLegendKey val="0"/>
          <c:showVal val="0"/>
          <c:showCatName val="0"/>
          <c:showSerName val="0"/>
          <c:showPercent val="0"/>
          <c:showBubbleSize val="0"/>
        </c:dLbls>
        <c:gapWidth val="6"/>
        <c:overlap val="-27"/>
        <c:axId val="804961808"/>
        <c:axId val="804960848"/>
      </c:barChart>
      <c:catAx>
        <c:axId val="804961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960848"/>
        <c:crosses val="autoZero"/>
        <c:auto val="1"/>
        <c:lblAlgn val="ctr"/>
        <c:lblOffset val="100"/>
        <c:noMultiLvlLbl val="0"/>
      </c:catAx>
      <c:valAx>
        <c:axId val="804960848"/>
        <c:scaling>
          <c:orientation val="minMax"/>
        </c:scaling>
        <c:delete val="1"/>
        <c:axPos val="l"/>
        <c:numFmt formatCode="General" sourceLinked="1"/>
        <c:majorTickMark val="none"/>
        <c:minorTickMark val="none"/>
        <c:tickLblPos val="nextTo"/>
        <c:crossAx val="8049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TABLES!NewHiresVsExits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solidFill>
                  <a:srgbClr val="00B050"/>
                </a:solidFill>
              </a:rPr>
              <a:t>New</a:t>
            </a:r>
            <a:r>
              <a:rPr lang="en-PH" baseline="0">
                <a:solidFill>
                  <a:srgbClr val="00B050"/>
                </a:solidFill>
              </a:rPr>
              <a:t> Hires </a:t>
            </a:r>
            <a:r>
              <a:rPr lang="en-PH" baseline="0"/>
              <a:t>vs. </a:t>
            </a:r>
            <a:r>
              <a:rPr lang="en-PH" baseline="0">
                <a:solidFill>
                  <a:srgbClr val="C00000"/>
                </a:solidFill>
              </a:rPr>
              <a:t>Exits</a:t>
            </a:r>
            <a:r>
              <a:rPr lang="en-PH" baseline="0"/>
              <a:t> Over Time</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TABLES'!$P$4:$P$5</c:f>
              <c:strCache>
                <c:ptCount val="1"/>
                <c:pt idx="0">
                  <c:v>Active</c:v>
                </c:pt>
              </c:strCache>
            </c:strRef>
          </c:tx>
          <c:spPr>
            <a:ln w="28575" cap="rnd">
              <a:solidFill>
                <a:srgbClr val="00B050"/>
              </a:solidFill>
              <a:round/>
            </a:ln>
            <a:effectLst/>
          </c:spPr>
          <c:marker>
            <c:symbol val="none"/>
          </c:marker>
          <c:cat>
            <c:multiLvlStrRef>
              <c:f>'PIVOT TABLES'!$O$6:$O$46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TABLES'!$P$6:$P$46</c:f>
              <c:numCache>
                <c:formatCode>General</c:formatCode>
                <c:ptCount val="32"/>
                <c:pt idx="0">
                  <c:v>18</c:v>
                </c:pt>
                <c:pt idx="1">
                  <c:v>21</c:v>
                </c:pt>
                <c:pt idx="2">
                  <c:v>19</c:v>
                </c:pt>
                <c:pt idx="3">
                  <c:v>24</c:v>
                </c:pt>
                <c:pt idx="4">
                  <c:v>30</c:v>
                </c:pt>
                <c:pt idx="5">
                  <c:v>14</c:v>
                </c:pt>
                <c:pt idx="6">
                  <c:v>25</c:v>
                </c:pt>
                <c:pt idx="7">
                  <c:v>27</c:v>
                </c:pt>
                <c:pt idx="8">
                  <c:v>21</c:v>
                </c:pt>
                <c:pt idx="9">
                  <c:v>24</c:v>
                </c:pt>
                <c:pt idx="10">
                  <c:v>22</c:v>
                </c:pt>
                <c:pt idx="11">
                  <c:v>13</c:v>
                </c:pt>
                <c:pt idx="12">
                  <c:v>24</c:v>
                </c:pt>
                <c:pt idx="13">
                  <c:v>27</c:v>
                </c:pt>
                <c:pt idx="14">
                  <c:v>17</c:v>
                </c:pt>
                <c:pt idx="15">
                  <c:v>19</c:v>
                </c:pt>
                <c:pt idx="16">
                  <c:v>26</c:v>
                </c:pt>
                <c:pt idx="17">
                  <c:v>16</c:v>
                </c:pt>
                <c:pt idx="18">
                  <c:v>18</c:v>
                </c:pt>
                <c:pt idx="19">
                  <c:v>23</c:v>
                </c:pt>
                <c:pt idx="20">
                  <c:v>18</c:v>
                </c:pt>
                <c:pt idx="21">
                  <c:v>22</c:v>
                </c:pt>
                <c:pt idx="22">
                  <c:v>22</c:v>
                </c:pt>
                <c:pt idx="23">
                  <c:v>22</c:v>
                </c:pt>
                <c:pt idx="24">
                  <c:v>16</c:v>
                </c:pt>
                <c:pt idx="25">
                  <c:v>20</c:v>
                </c:pt>
                <c:pt idx="26">
                  <c:v>18</c:v>
                </c:pt>
                <c:pt idx="27">
                  <c:v>17</c:v>
                </c:pt>
                <c:pt idx="28">
                  <c:v>21</c:v>
                </c:pt>
                <c:pt idx="29">
                  <c:v>22</c:v>
                </c:pt>
                <c:pt idx="30">
                  <c:v>23</c:v>
                </c:pt>
                <c:pt idx="31">
                  <c:v>18</c:v>
                </c:pt>
              </c:numCache>
            </c:numRef>
          </c:val>
          <c:smooth val="0"/>
          <c:extLst>
            <c:ext xmlns:c16="http://schemas.microsoft.com/office/drawing/2014/chart" uri="{C3380CC4-5D6E-409C-BE32-E72D297353CC}">
              <c16:uniqueId val="{00000000-ADA1-45AF-92BA-AA0EC5C8F1F7}"/>
            </c:ext>
          </c:extLst>
        </c:ser>
        <c:ser>
          <c:idx val="1"/>
          <c:order val="1"/>
          <c:tx>
            <c:strRef>
              <c:f>'PIVOT TABLES'!$Q$4:$Q$5</c:f>
              <c:strCache>
                <c:ptCount val="1"/>
                <c:pt idx="0">
                  <c:v>Exited</c:v>
                </c:pt>
              </c:strCache>
            </c:strRef>
          </c:tx>
          <c:spPr>
            <a:ln w="28575" cap="rnd">
              <a:solidFill>
                <a:srgbClr val="C00000"/>
              </a:solidFill>
              <a:round/>
            </a:ln>
            <a:effectLst/>
          </c:spPr>
          <c:marker>
            <c:symbol val="none"/>
          </c:marker>
          <c:cat>
            <c:multiLvlStrRef>
              <c:f>'PIVOT TABLES'!$O$6:$O$46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TABLES'!$Q$6:$Q$46</c:f>
              <c:numCache>
                <c:formatCode>General</c:formatCode>
                <c:ptCount val="32"/>
                <c:pt idx="0">
                  <c:v>10</c:v>
                </c:pt>
                <c:pt idx="1">
                  <c:v>10</c:v>
                </c:pt>
                <c:pt idx="2">
                  <c:v>23</c:v>
                </c:pt>
                <c:pt idx="3">
                  <c:v>21</c:v>
                </c:pt>
                <c:pt idx="4">
                  <c:v>13</c:v>
                </c:pt>
                <c:pt idx="5">
                  <c:v>14</c:v>
                </c:pt>
                <c:pt idx="6">
                  <c:v>9</c:v>
                </c:pt>
                <c:pt idx="7">
                  <c:v>13</c:v>
                </c:pt>
                <c:pt idx="8">
                  <c:v>11</c:v>
                </c:pt>
                <c:pt idx="9">
                  <c:v>6</c:v>
                </c:pt>
                <c:pt idx="10">
                  <c:v>16</c:v>
                </c:pt>
                <c:pt idx="11">
                  <c:v>15</c:v>
                </c:pt>
                <c:pt idx="12">
                  <c:v>13</c:v>
                </c:pt>
                <c:pt idx="13">
                  <c:v>12</c:v>
                </c:pt>
                <c:pt idx="14">
                  <c:v>12</c:v>
                </c:pt>
                <c:pt idx="15">
                  <c:v>10</c:v>
                </c:pt>
                <c:pt idx="16">
                  <c:v>8</c:v>
                </c:pt>
                <c:pt idx="17">
                  <c:v>21</c:v>
                </c:pt>
                <c:pt idx="18">
                  <c:v>15</c:v>
                </c:pt>
                <c:pt idx="19">
                  <c:v>13</c:v>
                </c:pt>
                <c:pt idx="20">
                  <c:v>10</c:v>
                </c:pt>
                <c:pt idx="21">
                  <c:v>15</c:v>
                </c:pt>
                <c:pt idx="22">
                  <c:v>15</c:v>
                </c:pt>
                <c:pt idx="23">
                  <c:v>16</c:v>
                </c:pt>
                <c:pt idx="24">
                  <c:v>12</c:v>
                </c:pt>
                <c:pt idx="25">
                  <c:v>10</c:v>
                </c:pt>
                <c:pt idx="26">
                  <c:v>11</c:v>
                </c:pt>
                <c:pt idx="27">
                  <c:v>15</c:v>
                </c:pt>
                <c:pt idx="28">
                  <c:v>8</c:v>
                </c:pt>
                <c:pt idx="29">
                  <c:v>14</c:v>
                </c:pt>
                <c:pt idx="30">
                  <c:v>14</c:v>
                </c:pt>
                <c:pt idx="31">
                  <c:v>9</c:v>
                </c:pt>
              </c:numCache>
            </c:numRef>
          </c:val>
          <c:smooth val="0"/>
          <c:extLst>
            <c:ext xmlns:c16="http://schemas.microsoft.com/office/drawing/2014/chart" uri="{C3380CC4-5D6E-409C-BE32-E72D297353CC}">
              <c16:uniqueId val="{00000001-ADA1-45AF-92BA-AA0EC5C8F1F7}"/>
            </c:ext>
          </c:extLst>
        </c:ser>
        <c:dLbls>
          <c:showLegendKey val="0"/>
          <c:showVal val="0"/>
          <c:showCatName val="0"/>
          <c:showSerName val="0"/>
          <c:showPercent val="0"/>
          <c:showBubbleSize val="0"/>
        </c:dLbls>
        <c:smooth val="0"/>
        <c:axId val="1792018175"/>
        <c:axId val="1792008095"/>
      </c:lineChart>
      <c:catAx>
        <c:axId val="1792018175"/>
        <c:scaling>
          <c:orientation val="minMax"/>
        </c:scaling>
        <c:delete val="0"/>
        <c:axPos val="b"/>
        <c:numFmt formatCode="General" sourceLinked="1"/>
        <c:majorTickMark val="none"/>
        <c:minorTickMark val="none"/>
        <c:tickLblPos val="nextTo"/>
        <c:spPr>
          <a:noFill/>
          <a:ln w="9525" cap="flat" cmpd="sng" algn="ctr">
            <a:solidFill>
              <a:schemeClr val="bg1">
                <a:lumMod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08095"/>
        <c:crosses val="autoZero"/>
        <c:auto val="1"/>
        <c:lblAlgn val="ctr"/>
        <c:lblOffset val="100"/>
        <c:noMultiLvlLbl val="0"/>
      </c:catAx>
      <c:valAx>
        <c:axId val="1792008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Company Turnover Rate</a:t>
            </a:r>
            <a:r>
              <a:rPr lang="en-PH" baseline="0"/>
              <a:t> %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rgbClr val="76549A"/>
              </a:solidFill>
              <a:round/>
            </a:ln>
            <a:effectLst/>
          </c:spPr>
          <c:marker>
            <c:symbol val="none"/>
          </c:marker>
          <c:trendline>
            <c:spPr>
              <a:ln w="19050" cap="rnd">
                <a:solidFill>
                  <a:srgbClr val="76549A"/>
                </a:solidFill>
                <a:prstDash val="sysDot"/>
              </a:ln>
              <a:effectLst/>
            </c:spPr>
            <c:trendlineType val="linear"/>
            <c:dispRSqr val="0"/>
            <c:dispEq val="0"/>
          </c:trendline>
          <c:cat>
            <c:strRef>
              <c:f>'PIVOT TABLES'!$T$5:$T$38</c:f>
              <c:strCache>
                <c:ptCount val="34"/>
                <c:pt idx="0">
                  <c:v>Q1 2018</c:v>
                </c:pt>
                <c:pt idx="1">
                  <c:v>Q2 2018</c:v>
                </c:pt>
                <c:pt idx="2">
                  <c:v>Q3 2018</c:v>
                </c:pt>
                <c:pt idx="3">
                  <c:v>Q4 2018</c:v>
                </c:pt>
                <c:pt idx="4">
                  <c:v>Q1 2019</c:v>
                </c:pt>
                <c:pt idx="5">
                  <c:v>Q2 2019</c:v>
                </c:pt>
                <c:pt idx="6">
                  <c:v>Q3 2019</c:v>
                </c:pt>
                <c:pt idx="7">
                  <c:v>Q4 2019</c:v>
                </c:pt>
                <c:pt idx="8">
                  <c:v>Q1 2020</c:v>
                </c:pt>
                <c:pt idx="9">
                  <c:v>Q2 2020</c:v>
                </c:pt>
                <c:pt idx="10">
                  <c:v>Q3 2020</c:v>
                </c:pt>
                <c:pt idx="11">
                  <c:v>Q4 2020</c:v>
                </c:pt>
                <c:pt idx="12">
                  <c:v>Q1 2021</c:v>
                </c:pt>
                <c:pt idx="13">
                  <c:v>Q2 2021</c:v>
                </c:pt>
                <c:pt idx="14">
                  <c:v>Q3 2021</c:v>
                </c:pt>
                <c:pt idx="15">
                  <c:v>Q4 2021</c:v>
                </c:pt>
                <c:pt idx="16">
                  <c:v>Q1 2022</c:v>
                </c:pt>
                <c:pt idx="17">
                  <c:v>Q2 2022</c:v>
                </c:pt>
                <c:pt idx="18">
                  <c:v>Q3 2022</c:v>
                </c:pt>
                <c:pt idx="19">
                  <c:v>Q4 2022</c:v>
                </c:pt>
                <c:pt idx="20">
                  <c:v>Q1 2023</c:v>
                </c:pt>
                <c:pt idx="21">
                  <c:v>Q2 2023</c:v>
                </c:pt>
                <c:pt idx="22">
                  <c:v>Q3 2023</c:v>
                </c:pt>
                <c:pt idx="23">
                  <c:v>Q4 2023</c:v>
                </c:pt>
                <c:pt idx="24">
                  <c:v>Q1 2024</c:v>
                </c:pt>
                <c:pt idx="25">
                  <c:v>Q2 2024</c:v>
                </c:pt>
                <c:pt idx="26">
                  <c:v>Q3 2024</c:v>
                </c:pt>
                <c:pt idx="27">
                  <c:v>Q4 2024</c:v>
                </c:pt>
                <c:pt idx="28">
                  <c:v>Q1 2025</c:v>
                </c:pt>
                <c:pt idx="29">
                  <c:v>Q2 2025</c:v>
                </c:pt>
                <c:pt idx="30">
                  <c:v>Q3 2025</c:v>
                </c:pt>
                <c:pt idx="31">
                  <c:v>Q4 2025</c:v>
                </c:pt>
                <c:pt idx="32">
                  <c:v>Q1 2026</c:v>
                </c:pt>
                <c:pt idx="33">
                  <c:v>Q2 2026</c:v>
                </c:pt>
              </c:strCache>
            </c:strRef>
          </c:cat>
          <c:val>
            <c:numRef>
              <c:f>'PIVOT TABLES'!$Z$5:$Z$38</c:f>
              <c:numCache>
                <c:formatCode>0.0%</c:formatCode>
                <c:ptCount val="34"/>
                <c:pt idx="0">
                  <c:v>0</c:v>
                </c:pt>
                <c:pt idx="1">
                  <c:v>2.3255813953488372E-2</c:v>
                </c:pt>
                <c:pt idx="2">
                  <c:v>2.564102564102564E-2</c:v>
                </c:pt>
                <c:pt idx="3">
                  <c:v>0</c:v>
                </c:pt>
                <c:pt idx="4">
                  <c:v>0</c:v>
                </c:pt>
                <c:pt idx="5">
                  <c:v>5.0125313283208017E-3</c:v>
                </c:pt>
                <c:pt idx="6">
                  <c:v>2.643171806167401E-2</c:v>
                </c:pt>
                <c:pt idx="7">
                  <c:v>1.5444015444015444E-2</c:v>
                </c:pt>
                <c:pt idx="8">
                  <c:v>3.1195840554592721E-2</c:v>
                </c:pt>
                <c:pt idx="9">
                  <c:v>2.247191011235955E-2</c:v>
                </c:pt>
                <c:pt idx="10">
                  <c:v>1.4727540500736377E-2</c:v>
                </c:pt>
                <c:pt idx="11">
                  <c:v>5.4200542005420054E-3</c:v>
                </c:pt>
                <c:pt idx="12">
                  <c:v>1.7632241813602016E-2</c:v>
                </c:pt>
                <c:pt idx="13">
                  <c:v>6.9767441860465115E-3</c:v>
                </c:pt>
                <c:pt idx="14">
                  <c:v>1.3057671381936888E-2</c:v>
                </c:pt>
                <c:pt idx="15">
                  <c:v>1.6614745586708203E-2</c:v>
                </c:pt>
                <c:pt idx="16">
                  <c:v>1.3847675568743818E-2</c:v>
                </c:pt>
                <c:pt idx="17">
                  <c:v>2.8301886792452831E-2</c:v>
                </c:pt>
                <c:pt idx="18">
                  <c:v>2.3593466424682397E-2</c:v>
                </c:pt>
                <c:pt idx="19">
                  <c:v>2.4475524475524476E-2</c:v>
                </c:pt>
                <c:pt idx="20">
                  <c:v>2.201524132091448E-2</c:v>
                </c:pt>
                <c:pt idx="21">
                  <c:v>1.8003273322422259E-2</c:v>
                </c:pt>
                <c:pt idx="22">
                  <c:v>2.3622047244094488E-2</c:v>
                </c:pt>
                <c:pt idx="23">
                  <c:v>3.0534351145038167E-2</c:v>
                </c:pt>
                <c:pt idx="24">
                  <c:v>2.6905829596412557E-2</c:v>
                </c:pt>
                <c:pt idx="25">
                  <c:v>2.3494860499265784E-2</c:v>
                </c:pt>
                <c:pt idx="26">
                  <c:v>2.3038156947444204E-2</c:v>
                </c:pt>
                <c:pt idx="27">
                  <c:v>2.9723991507430998E-2</c:v>
                </c:pt>
                <c:pt idx="28">
                  <c:v>4.360056258790436E-2</c:v>
                </c:pt>
                <c:pt idx="29">
                  <c:v>3.6363636363636362E-2</c:v>
                </c:pt>
                <c:pt idx="30">
                  <c:v>3.0240549828178694E-2</c:v>
                </c:pt>
                <c:pt idx="31">
                  <c:v>5.0684931506849315E-2</c:v>
                </c:pt>
                <c:pt idx="32">
                  <c:v>5.0919377652050922E-2</c:v>
                </c:pt>
                <c:pt idx="33">
                  <c:v>3.2448377581120944E-2</c:v>
                </c:pt>
              </c:numCache>
            </c:numRef>
          </c:val>
          <c:smooth val="0"/>
          <c:extLst>
            <c:ext xmlns:c16="http://schemas.microsoft.com/office/drawing/2014/chart" uri="{C3380CC4-5D6E-409C-BE32-E72D297353CC}">
              <c16:uniqueId val="{00000000-41E1-4BDC-B7B8-64CA57D6D316}"/>
            </c:ext>
          </c:extLst>
        </c:ser>
        <c:dLbls>
          <c:showLegendKey val="0"/>
          <c:showVal val="0"/>
          <c:showCatName val="0"/>
          <c:showSerName val="0"/>
          <c:showPercent val="0"/>
          <c:showBubbleSize val="0"/>
        </c:dLbls>
        <c:smooth val="0"/>
        <c:axId val="877841727"/>
        <c:axId val="877826847"/>
      </c:lineChart>
      <c:catAx>
        <c:axId val="87784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6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26847"/>
        <c:crosses val="autoZero"/>
        <c:auto val="1"/>
        <c:lblAlgn val="ctr"/>
        <c:lblOffset val="100"/>
        <c:noMultiLvlLbl val="0"/>
      </c:catAx>
      <c:valAx>
        <c:axId val="87782684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41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solidFill>
                  <a:srgbClr val="00B050"/>
                </a:solidFill>
              </a:rPr>
              <a:t>Active</a:t>
            </a:r>
            <a:r>
              <a:rPr lang="en-PH" baseline="0"/>
              <a:t> vs. </a:t>
            </a:r>
            <a:r>
              <a:rPr lang="en-PH" baseline="0">
                <a:solidFill>
                  <a:srgbClr val="FF0000"/>
                </a:solidFill>
              </a:rPr>
              <a:t>Exited</a:t>
            </a:r>
            <a:r>
              <a:rPr lang="en-PH" baseline="0"/>
              <a:t> by Age Bracket</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H"/>
        </a:p>
      </c:txPr>
    </c:title>
    <c:autoTitleDeleted val="0"/>
    <c:plotArea>
      <c:layout/>
      <c:barChart>
        <c:barDir val="bar"/>
        <c:grouping val="clustered"/>
        <c:varyColors val="0"/>
        <c:ser>
          <c:idx val="0"/>
          <c:order val="0"/>
          <c:tx>
            <c:strRef>
              <c:f>helpers!$D$14</c:f>
              <c:strCache>
                <c:ptCount val="1"/>
                <c:pt idx="0">
                  <c:v>Active</c:v>
                </c:pt>
              </c:strCache>
            </c:strRef>
          </c:tx>
          <c:spPr>
            <a:solidFill>
              <a:srgbClr val="00B050"/>
            </a:solidFill>
            <a:ln>
              <a:noFill/>
            </a:ln>
            <a:effectLst/>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helpers!$D$15:$D$19</c:f>
              <c:numCache>
                <c:formatCode>General</c:formatCode>
                <c:ptCount val="5"/>
                <c:pt idx="0">
                  <c:v>-153</c:v>
                </c:pt>
                <c:pt idx="1">
                  <c:v>-162</c:v>
                </c:pt>
                <c:pt idx="2">
                  <c:v>-198</c:v>
                </c:pt>
                <c:pt idx="3">
                  <c:v>-154</c:v>
                </c:pt>
              </c:numCache>
            </c:numRef>
          </c:val>
          <c:extLst>
            <c:ext xmlns:c16="http://schemas.microsoft.com/office/drawing/2014/chart" uri="{C3380CC4-5D6E-409C-BE32-E72D297353CC}">
              <c16:uniqueId val="{00000000-2CE9-4269-8421-255C790DA122}"/>
            </c:ext>
          </c:extLst>
        </c:ser>
        <c:ser>
          <c:idx val="1"/>
          <c:order val="1"/>
          <c:tx>
            <c:strRef>
              <c:f>helpers!$E$14</c:f>
              <c:strCache>
                <c:ptCount val="1"/>
                <c:pt idx="0">
                  <c:v>Exited</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helpers!$E$15:$E$19</c:f>
              <c:numCache>
                <c:formatCode>General</c:formatCode>
                <c:ptCount val="5"/>
                <c:pt idx="0">
                  <c:v>92</c:v>
                </c:pt>
                <c:pt idx="1">
                  <c:v>83</c:v>
                </c:pt>
                <c:pt idx="2">
                  <c:v>101</c:v>
                </c:pt>
                <c:pt idx="3">
                  <c:v>119</c:v>
                </c:pt>
                <c:pt idx="4">
                  <c:v>19</c:v>
                </c:pt>
              </c:numCache>
            </c:numRef>
          </c:val>
          <c:extLst>
            <c:ext xmlns:c16="http://schemas.microsoft.com/office/drawing/2014/chart" uri="{C3380CC4-5D6E-409C-BE32-E72D297353CC}">
              <c16:uniqueId val="{00000001-2CE9-4269-8421-255C790DA122}"/>
            </c:ext>
          </c:extLst>
        </c:ser>
        <c:dLbls>
          <c:showLegendKey val="0"/>
          <c:showVal val="0"/>
          <c:showCatName val="0"/>
          <c:showSerName val="0"/>
          <c:showPercent val="0"/>
          <c:showBubbleSize val="0"/>
        </c:dLbls>
        <c:gapWidth val="15"/>
        <c:overlap val="100"/>
        <c:axId val="1792011935"/>
        <c:axId val="1791999935"/>
      </c:barChart>
      <c:catAx>
        <c:axId val="1792011935"/>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999935"/>
        <c:crosses val="autoZero"/>
        <c:auto val="1"/>
        <c:lblAlgn val="ctr"/>
        <c:lblOffset val="100"/>
        <c:noMultiLvlLbl val="0"/>
      </c:catAx>
      <c:valAx>
        <c:axId val="1791999935"/>
        <c:scaling>
          <c:orientation val="minMax"/>
        </c:scaling>
        <c:delete val="1"/>
        <c:axPos val="t"/>
        <c:numFmt formatCode="General" sourceLinked="1"/>
        <c:majorTickMark val="none"/>
        <c:minorTickMark val="none"/>
        <c:tickLblPos val="nextTo"/>
        <c:crossAx val="1792011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26" Type="http://schemas.openxmlformats.org/officeDocument/2006/relationships/chart" Target="../charts/chart6.xml"/><Relationship Id="rId3" Type="http://schemas.openxmlformats.org/officeDocument/2006/relationships/image" Target="../media/image3.png"/><Relationship Id="rId21" Type="http://schemas.openxmlformats.org/officeDocument/2006/relationships/chart" Target="../charts/chart1.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5"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4.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3.xml"/><Relationship Id="rId10" Type="http://schemas.openxmlformats.org/officeDocument/2006/relationships/image" Target="../media/image10.svg"/><Relationship Id="rId19" Type="http://schemas.openxmlformats.org/officeDocument/2006/relationships/image" Target="../media/image19.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chart" Target="../charts/chart2.xml"/><Relationship Id="rId27"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11</xdr:col>
      <xdr:colOff>0</xdr:colOff>
      <xdr:row>10</xdr:row>
      <xdr:rowOff>106680</xdr:rowOff>
    </xdr:to>
    <xdr:sp macro="" textlink="">
      <xdr:nvSpPr>
        <xdr:cNvPr id="2" name="Rectangle 1" hidden="1">
          <a:extLst>
            <a:ext uri="{FF2B5EF4-FFF2-40B4-BE49-F238E27FC236}">
              <a16:creationId xmlns:a16="http://schemas.microsoft.com/office/drawing/2014/main" id="{54349E57-3510-6C4D-710C-8EC4CDF5D9D9}"/>
            </a:ext>
          </a:extLst>
        </xdr:cNvPr>
        <xdr:cNvSpPr/>
      </xdr:nvSpPr>
      <xdr:spPr>
        <a:xfrm>
          <a:off x="0" y="556260"/>
          <a:ext cx="14462760" cy="1379220"/>
        </a:xfrm>
        <a:prstGeom prst="rect">
          <a:avLst/>
        </a:prstGeom>
        <a:no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0</xdr:col>
      <xdr:colOff>0</xdr:colOff>
      <xdr:row>0</xdr:row>
      <xdr:rowOff>15240</xdr:rowOff>
    </xdr:from>
    <xdr:to>
      <xdr:col>11</xdr:col>
      <xdr:colOff>0</xdr:colOff>
      <xdr:row>10</xdr:row>
      <xdr:rowOff>106680</xdr:rowOff>
    </xdr:to>
    <xdr:sp macro="" textlink="">
      <xdr:nvSpPr>
        <xdr:cNvPr id="39" name="Rectangle: Top Corners Rounded 38">
          <a:extLst>
            <a:ext uri="{FF2B5EF4-FFF2-40B4-BE49-F238E27FC236}">
              <a16:creationId xmlns:a16="http://schemas.microsoft.com/office/drawing/2014/main" id="{DC292516-F4EA-A5E3-B790-F142B3DE8782}"/>
            </a:ext>
          </a:extLst>
        </xdr:cNvPr>
        <xdr:cNvSpPr/>
      </xdr:nvSpPr>
      <xdr:spPr>
        <a:xfrm rot="10800000">
          <a:off x="0" y="15240"/>
          <a:ext cx="14462760" cy="1920240"/>
        </a:xfrm>
        <a:prstGeom prst="round2SameRect">
          <a:avLst>
            <a:gd name="adj1" fmla="val 10715"/>
            <a:gd name="adj2" fmla="val 0"/>
          </a:avLst>
        </a:prstGeom>
        <a:solidFill>
          <a:srgbClr val="76549A"/>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l"/>
          <a:endParaRPr lang="en-PH" sz="1100">
            <a:solidFill>
              <a:schemeClr val="bg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Human</a:t>
          </a:r>
          <a:r>
            <a:rPr lang="en-PH" sz="1600" b="1" baseline="0">
              <a:solidFill>
                <a:schemeClr val="bg1"/>
              </a:solidFill>
            </a:rPr>
            <a:t> Resource Department</a:t>
          </a:r>
          <a:endParaRPr lang="en-PH" sz="1600" b="1">
            <a:solidFill>
              <a:schemeClr val="bg1"/>
            </a:solidFill>
          </a:endParaRPr>
        </a:p>
      </xdr:txBody>
    </xdr:sp>
    <xdr:clientData/>
  </xdr:twoCellAnchor>
  <xdr:twoCellAnchor>
    <xdr:from>
      <xdr:col>0</xdr:col>
      <xdr:colOff>83820</xdr:colOff>
      <xdr:row>0</xdr:row>
      <xdr:rowOff>30480</xdr:rowOff>
    </xdr:from>
    <xdr:to>
      <xdr:col>1</xdr:col>
      <xdr:colOff>662940</xdr:colOff>
      <xdr:row>3</xdr:row>
      <xdr:rowOff>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83820" y="30480"/>
          <a:ext cx="693420" cy="51816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900" b="1" i="1">
              <a:solidFill>
                <a:schemeClr val="bg1"/>
              </a:solidFill>
            </a:rPr>
            <a:t>[Your</a:t>
          </a:r>
          <a:r>
            <a:rPr lang="en-PH" sz="900" b="1" i="1" baseline="0">
              <a:solidFill>
                <a:schemeClr val="bg1"/>
              </a:solidFill>
            </a:rPr>
            <a:t> Company Logo]</a:t>
          </a:r>
          <a:endParaRPr lang="en-PH" sz="900" b="1" i="1">
            <a:solidFill>
              <a:schemeClr val="bg1"/>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bg1"/>
              </a:solidFill>
            </a:rPr>
            <a:t>Made by:</a:t>
          </a:r>
          <a:br>
            <a:rPr lang="en-PH" sz="800" b="0" i="1">
              <a:solidFill>
                <a:schemeClr val="bg1"/>
              </a:solidFill>
            </a:rPr>
          </a:br>
          <a:r>
            <a:rPr lang="en-PH" sz="800" b="0" i="1">
              <a:solidFill>
                <a:schemeClr val="bg1"/>
              </a:solidFill>
            </a:rPr>
            <a:t>Villanueva,</a:t>
          </a:r>
          <a:r>
            <a:rPr lang="en-PH" sz="800" b="0" i="1" baseline="0">
              <a:solidFill>
                <a:schemeClr val="bg1"/>
              </a:solidFill>
            </a:rPr>
            <a:t> J.M.L.</a:t>
          </a:r>
        </a:p>
        <a:p>
          <a:pPr algn="r"/>
          <a:r>
            <a:rPr lang="en-PH" sz="800" b="0" i="1" baseline="0">
              <a:solidFill>
                <a:schemeClr val="bg1"/>
              </a:solidFill>
            </a:rPr>
            <a:t>Contact: jmateo.vill@gmail.com</a:t>
          </a:r>
          <a:endParaRPr lang="en-PH" sz="800" b="0" i="1">
            <a:solidFill>
              <a:schemeClr val="bg1"/>
            </a:solidFill>
          </a:endParaRPr>
        </a:p>
      </xdr:txBody>
    </xdr:sp>
    <xdr:clientData/>
  </xdr:twoCellAnchor>
  <xdr:twoCellAnchor editAs="oneCell">
    <xdr:from>
      <xdr:col>1</xdr:col>
      <xdr:colOff>198120</xdr:colOff>
      <xdr:row>8</xdr:row>
      <xdr:rowOff>38100</xdr:rowOff>
    </xdr:from>
    <xdr:to>
      <xdr:col>7</xdr:col>
      <xdr:colOff>485220</xdr:colOff>
      <xdr:row>10</xdr:row>
      <xdr:rowOff>101600</xdr:rowOff>
    </xdr:to>
    <mc:AlternateContent xmlns:mc="http://schemas.openxmlformats.org/markup-compatibility/2006" xmlns:a14="http://schemas.microsoft.com/office/drawing/2010/main">
      <mc:Choice Requires="a14">
        <xdr:graphicFrame macro="">
          <xdr:nvGraphicFramePr>
            <xdr:cNvPr id="24" name="Department Slicer">
              <a:extLst>
                <a:ext uri="{FF2B5EF4-FFF2-40B4-BE49-F238E27FC236}">
                  <a16:creationId xmlns:a16="http://schemas.microsoft.com/office/drawing/2014/main" id="{94351041-7EA3-43CF-9674-80E62707F0B0}"/>
                </a:ext>
              </a:extLst>
            </xdr:cNvPr>
            <xdr:cNvGraphicFramePr/>
          </xdr:nvGraphicFramePr>
          <xdr:xfrm>
            <a:off x="0" y="0"/>
            <a:ext cx="0" cy="0"/>
          </xdr:xfrm>
          <a:graphic>
            <a:graphicData uri="http://schemas.microsoft.com/office/drawing/2010/slicer">
              <sle:slicer xmlns:sle="http://schemas.microsoft.com/office/drawing/2010/slicer" name="Department Slicer"/>
            </a:graphicData>
          </a:graphic>
        </xdr:graphicFrame>
      </mc:Choice>
      <mc:Fallback xmlns="">
        <xdr:sp macro="" textlink="">
          <xdr:nvSpPr>
            <xdr:cNvPr id="0" name=""/>
            <xdr:cNvSpPr>
              <a:spLocks noTextEdit="1"/>
            </xdr:cNvSpPr>
          </xdr:nvSpPr>
          <xdr:spPr>
            <a:xfrm>
              <a:off x="312420" y="1501140"/>
              <a:ext cx="9774000" cy="42926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500" b="1">
                <a:solidFill>
                  <a:schemeClr val="bg1"/>
                </a:solidFill>
              </a:rPr>
              <a:t>Employee Turnover</a:t>
            </a:r>
            <a:r>
              <a:rPr lang="en-PH" sz="1500" b="1" baseline="0">
                <a:solidFill>
                  <a:schemeClr val="bg1"/>
                </a:solidFill>
              </a:rPr>
              <a:t> Dashboard (2018 - 2026)</a:t>
            </a:r>
            <a:endParaRPr lang="en-PH" sz="15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8</xdr:col>
      <xdr:colOff>1193996</xdr:colOff>
      <xdr:row>5</xdr:row>
      <xdr:rowOff>52756</xdr:rowOff>
    </xdr:from>
    <xdr:to>
      <xdr:col>9</xdr:col>
      <xdr:colOff>484750</xdr:colOff>
      <xdr:row>8</xdr:row>
      <xdr:rowOff>87924</xdr:rowOff>
    </xdr:to>
    <xdr:grpSp>
      <xdr:nvGrpSpPr>
        <xdr:cNvPr id="60" name="Turnover Icon">
          <a:extLst>
            <a:ext uri="{FF2B5EF4-FFF2-40B4-BE49-F238E27FC236}">
              <a16:creationId xmlns:a16="http://schemas.microsoft.com/office/drawing/2014/main" id="{43320F1D-8A57-EC6F-F350-49B5BCD39680}"/>
            </a:ext>
          </a:extLst>
        </xdr:cNvPr>
        <xdr:cNvGrpSpPr/>
      </xdr:nvGrpSpPr>
      <xdr:grpSpPr>
        <a:xfrm>
          <a:off x="12372536" y="967156"/>
          <a:ext cx="868094" cy="583808"/>
          <a:chOff x="15220016" y="2407741"/>
          <a:chExt cx="1767782" cy="1290781"/>
        </a:xfrm>
      </xdr:grpSpPr>
      <xdr:pic>
        <xdr:nvPicPr>
          <xdr:cNvPr id="45" name="Graphic 44" descr="Line arrow: Counter-clockwise curve with solid fill">
            <a:extLst>
              <a:ext uri="{FF2B5EF4-FFF2-40B4-BE49-F238E27FC236}">
                <a16:creationId xmlns:a16="http://schemas.microsoft.com/office/drawing/2014/main" id="{C7961823-D2A1-4E08-21C5-A0E5D2D0294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18105389">
            <a:off x="16047688" y="2409166"/>
            <a:ext cx="444391" cy="441542"/>
          </a:xfrm>
          <a:prstGeom prst="rect">
            <a:avLst/>
          </a:prstGeom>
        </xdr:spPr>
      </xdr:pic>
      <xdr:pic>
        <xdr:nvPicPr>
          <xdr:cNvPr id="47" name="Graphic 46" descr="Female Profile with solid fill">
            <a:extLst>
              <a:ext uri="{FF2B5EF4-FFF2-40B4-BE49-F238E27FC236}">
                <a16:creationId xmlns:a16="http://schemas.microsoft.com/office/drawing/2014/main" id="{22FB2B09-175E-1E09-20B6-0CBC7AC8F26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5220016" y="2447723"/>
            <a:ext cx="914400" cy="908538"/>
          </a:xfrm>
          <a:prstGeom prst="rect">
            <a:avLst/>
          </a:prstGeom>
        </xdr:spPr>
      </xdr:pic>
      <xdr:pic>
        <xdr:nvPicPr>
          <xdr:cNvPr id="49" name="Graphic 48" descr="Male profile with solid fill">
            <a:extLst>
              <a:ext uri="{FF2B5EF4-FFF2-40B4-BE49-F238E27FC236}">
                <a16:creationId xmlns:a16="http://schemas.microsoft.com/office/drawing/2014/main" id="{22595017-D21D-798F-DB1C-892FAC460D12}"/>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6073398" y="2789983"/>
            <a:ext cx="914400" cy="908539"/>
          </a:xfrm>
          <a:prstGeom prst="rect">
            <a:avLst/>
          </a:prstGeom>
        </xdr:spPr>
      </xdr:pic>
      <xdr:pic>
        <xdr:nvPicPr>
          <xdr:cNvPr id="59" name="Graphic 58" descr="Line arrow: Counter-clockwise curve with solid fill">
            <a:extLst>
              <a:ext uri="{FF2B5EF4-FFF2-40B4-BE49-F238E27FC236}">
                <a16:creationId xmlns:a16="http://schemas.microsoft.com/office/drawing/2014/main" id="{4B366A9C-C1AC-4960-A53A-11388A54B50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7314941">
            <a:off x="15574849" y="3211956"/>
            <a:ext cx="475716" cy="472665"/>
          </a:xfrm>
          <a:prstGeom prst="rect">
            <a:avLst/>
          </a:prstGeom>
        </xdr:spPr>
      </xdr:pic>
    </xdr:grpSp>
    <xdr:clientData/>
  </xdr:twoCellAnchor>
  <xdr:twoCellAnchor editAs="oneCell">
    <xdr:from>
      <xdr:col>7</xdr:col>
      <xdr:colOff>1303020</xdr:colOff>
      <xdr:row>4</xdr:row>
      <xdr:rowOff>45720</xdr:rowOff>
    </xdr:from>
    <xdr:to>
      <xdr:col>8</xdr:col>
      <xdr:colOff>640080</xdr:colOff>
      <xdr:row>9</xdr:row>
      <xdr:rowOff>45720</xdr:rowOff>
    </xdr:to>
    <xdr:pic>
      <xdr:nvPicPr>
        <xdr:cNvPr id="43" name="Headcount Icon" descr="Users with solid fill">
          <a:extLst>
            <a:ext uri="{FF2B5EF4-FFF2-40B4-BE49-F238E27FC236}">
              <a16:creationId xmlns:a16="http://schemas.microsoft.com/office/drawing/2014/main" id="{EF187F28-8260-96CB-C99F-8F15FDAF8C53}"/>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904220" y="777240"/>
          <a:ext cx="914400" cy="914400"/>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97429" y="1572195"/>
          <a:ext cx="256574" cy="254048"/>
        </a:xfrm>
        <a:prstGeom prst="rect">
          <a:avLst/>
        </a:prstGeom>
      </xdr:spPr>
    </xdr:pic>
    <xdr:clientData/>
  </xdr:twoCellAnchor>
  <xdr:twoCellAnchor>
    <xdr:from>
      <xdr:col>7</xdr:col>
      <xdr:colOff>1082040</xdr:colOff>
      <xdr:row>8</xdr:row>
      <xdr:rowOff>53340</xdr:rowOff>
    </xdr:from>
    <xdr:to>
      <xdr:col>8</xdr:col>
      <xdr:colOff>861060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68324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952500</xdr:colOff>
      <xdr:row>8</xdr:row>
      <xdr:rowOff>60960</xdr:rowOff>
    </xdr:from>
    <xdr:to>
      <xdr:col>9</xdr:col>
      <xdr:colOff>731520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213104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1021080</xdr:colOff>
      <xdr:row>3</xdr:row>
      <xdr:rowOff>160020</xdr:rowOff>
    </xdr:from>
    <xdr:to>
      <xdr:col>8</xdr:col>
      <xdr:colOff>914400</xdr:colOff>
      <xdr:row>9</xdr:row>
      <xdr:rowOff>137160</xdr:rowOff>
    </xdr:to>
    <xdr:sp macro="" textlink="helpers!B4">
      <xdr:nvSpPr>
        <xdr:cNvPr id="29" name="Total Headcount Textbox">
          <a:extLst>
            <a:ext uri="{FF2B5EF4-FFF2-40B4-BE49-F238E27FC236}">
              <a16:creationId xmlns:a16="http://schemas.microsoft.com/office/drawing/2014/main" id="{A6720562-9F36-227B-36CC-345CE067170C}"/>
            </a:ext>
          </a:extLst>
        </xdr:cNvPr>
        <xdr:cNvSpPr/>
      </xdr:nvSpPr>
      <xdr:spPr>
        <a:xfrm>
          <a:off x="10622280" y="708660"/>
          <a:ext cx="1470660" cy="10744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rPr>
            <a:pPr algn="ctr"/>
            <a:t>1,081</a:t>
          </a:fld>
          <a:endParaRPr lang="en-PH" sz="2400" b="1">
            <a:ln>
              <a:noFill/>
            </a:ln>
            <a:solidFill>
              <a:schemeClr val="bg1"/>
            </a:solidFill>
            <a:effectLst>
              <a:outerShdw blurRad="50800" dist="38100" dir="2700000" algn="tl" rotWithShape="0">
                <a:prstClr val="black">
                  <a:alpha val="40000"/>
                </a:prstClr>
              </a:outerShdw>
            </a:effectLst>
          </a:endParaRPr>
        </a:p>
      </xdr:txBody>
    </xdr:sp>
    <xdr:clientData/>
  </xdr:twoCellAnchor>
  <xdr:twoCellAnchor>
    <xdr:from>
      <xdr:col>8</xdr:col>
      <xdr:colOff>891540</xdr:colOff>
      <xdr:row>3</xdr:row>
      <xdr:rowOff>167640</xdr:rowOff>
    </xdr:from>
    <xdr:to>
      <xdr:col>9</xdr:col>
      <xdr:colOff>784860</xdr:colOff>
      <xdr:row>9</xdr:row>
      <xdr:rowOff>137160</xdr:rowOff>
    </xdr:to>
    <xdr:sp macro="" textlink="'PIVOT TABLES'!C15">
      <xdr:nvSpPr>
        <xdr:cNvPr id="30" name="Turnover Rate Textbox">
          <a:extLst>
            <a:ext uri="{FF2B5EF4-FFF2-40B4-BE49-F238E27FC236}">
              <a16:creationId xmlns:a16="http://schemas.microsoft.com/office/drawing/2014/main" id="{AF7CCC6B-32C6-438C-AFD5-A036470C5250}"/>
            </a:ext>
          </a:extLst>
        </xdr:cNvPr>
        <xdr:cNvSpPr/>
      </xdr:nvSpPr>
      <xdr:spPr>
        <a:xfrm>
          <a:off x="12070080" y="716280"/>
          <a:ext cx="1470660" cy="1066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rPr>
            <a:pPr marL="0" indent="0" algn="ctr"/>
            <a:t>38.30%</a:t>
          </a:fld>
          <a:endParaRPr lang="en-PH"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Exited Count Textbox">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FF0000"/>
              </a:solidFill>
              <a:effectLst>
                <a:outerShdw blurRad="50800" dist="38100" dir="2700000" algn="tl" rotWithShape="0">
                  <a:prstClr val="black">
                    <a:alpha val="40000"/>
                  </a:prstClr>
                </a:outerShdw>
              </a:effectLst>
              <a:latin typeface="Calibri"/>
              <a:ea typeface="Calibri"/>
              <a:cs typeface="Calibri"/>
            </a:rPr>
            <a:pPr marL="0" indent="0" algn="ctr"/>
            <a:t>414</a:t>
          </a:fld>
          <a:endParaRPr lang="en-PH" sz="1400" b="1" i="0" u="none" strike="noStrike">
            <a:ln>
              <a:noFill/>
            </a:ln>
            <a:solidFill>
              <a:srgbClr val="FF0000"/>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Active Count Textbox">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rgbClr val="A2CB8B"/>
              </a:solidFill>
              <a:effectLst>
                <a:outerShdw blurRad="50800" dist="38100" dir="2700000" algn="tl" rotWithShape="0">
                  <a:prstClr val="black">
                    <a:alpha val="40000"/>
                  </a:prstClr>
                </a:outerShdw>
              </a:effectLst>
              <a:latin typeface="Calibri"/>
              <a:ea typeface="Calibri"/>
              <a:cs typeface="Calibri"/>
            </a:rPr>
            <a:pPr marL="0" indent="0" algn="ctr"/>
            <a:t>667</a:t>
          </a:fld>
          <a:endParaRPr lang="en-PH" sz="1400" b="1" i="0" u="none" strike="noStrike">
            <a:ln>
              <a:noFill/>
            </a:ln>
            <a:solidFill>
              <a:srgbClr val="A2CB8B"/>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1</xdr:col>
      <xdr:colOff>0</xdr:colOff>
      <xdr:row>11</xdr:row>
      <xdr:rowOff>22860</xdr:rowOff>
    </xdr:from>
    <xdr:to>
      <xdr:col>3</xdr:col>
      <xdr:colOff>1211580</xdr:colOff>
      <xdr:row>22</xdr:row>
      <xdr:rowOff>99060</xdr:rowOff>
    </xdr:to>
    <xdr:grpSp>
      <xdr:nvGrpSpPr>
        <xdr:cNvPr id="61" name="Emp. Exit">
          <a:extLst>
            <a:ext uri="{FF2B5EF4-FFF2-40B4-BE49-F238E27FC236}">
              <a16:creationId xmlns:a16="http://schemas.microsoft.com/office/drawing/2014/main" id="{6C336C39-194A-89EF-4A88-3C8A9C1912E6}"/>
            </a:ext>
          </a:extLst>
        </xdr:cNvPr>
        <xdr:cNvGrpSpPr/>
      </xdr:nvGrpSpPr>
      <xdr:grpSpPr>
        <a:xfrm>
          <a:off x="114300" y="2034540"/>
          <a:ext cx="4389120" cy="2087880"/>
          <a:chOff x="117231" y="2029265"/>
          <a:chExt cx="4394395" cy="2067364"/>
        </a:xfrm>
      </xdr:grpSpPr>
      <xdr:sp macro="" textlink="">
        <xdr:nvSpPr>
          <xdr:cNvPr id="3" name="Emp. Exit Box">
            <a:extLst>
              <a:ext uri="{FF2B5EF4-FFF2-40B4-BE49-F238E27FC236}">
                <a16:creationId xmlns:a16="http://schemas.microsoft.com/office/drawing/2014/main" id="{72F0C9C5-7C7A-4460-9E4D-6677ED64C7AE}"/>
              </a:ext>
            </a:extLst>
          </xdr:cNvPr>
          <xdr:cNvSpPr/>
        </xdr:nvSpPr>
        <xdr:spPr>
          <a:xfrm>
            <a:off x="117231" y="2029265"/>
            <a:ext cx="4394395" cy="206736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aphicFrame macro="">
        <xdr:nvGraphicFramePr>
          <xdr:cNvPr id="20" name="Emp. Exit Chart">
            <a:extLst>
              <a:ext uri="{FF2B5EF4-FFF2-40B4-BE49-F238E27FC236}">
                <a16:creationId xmlns:a16="http://schemas.microsoft.com/office/drawing/2014/main" id="{5CBE63D1-8C8F-4DB2-AD7C-49B93CDD929F}"/>
              </a:ext>
            </a:extLst>
          </xdr:cNvPr>
          <xdr:cNvGraphicFramePr>
            <a:graphicFrameLocks/>
          </xdr:cNvGraphicFramePr>
        </xdr:nvGraphicFramePr>
        <xdr:xfrm>
          <a:off x="140677" y="2045676"/>
          <a:ext cx="4355123" cy="2039815"/>
        </xdr:xfrm>
        <a:graphic>
          <a:graphicData uri="http://schemas.openxmlformats.org/drawingml/2006/chart">
            <c:chart xmlns:c="http://schemas.openxmlformats.org/drawingml/2006/chart" xmlns:r="http://schemas.openxmlformats.org/officeDocument/2006/relationships" r:id="rId21"/>
          </a:graphicData>
        </a:graphic>
      </xdr:graphicFrame>
    </xdr:grpSp>
    <xdr:clientData/>
  </xdr:twoCellAnchor>
  <xdr:twoCellAnchor>
    <xdr:from>
      <xdr:col>7</xdr:col>
      <xdr:colOff>760830</xdr:colOff>
      <xdr:row>11</xdr:row>
      <xdr:rowOff>17586</xdr:rowOff>
    </xdr:from>
    <xdr:to>
      <xdr:col>10</xdr:col>
      <xdr:colOff>7036</xdr:colOff>
      <xdr:row>22</xdr:row>
      <xdr:rowOff>78546</xdr:rowOff>
    </xdr:to>
    <xdr:grpSp>
      <xdr:nvGrpSpPr>
        <xdr:cNvPr id="63" name="Exit Reason">
          <a:extLst>
            <a:ext uri="{FF2B5EF4-FFF2-40B4-BE49-F238E27FC236}">
              <a16:creationId xmlns:a16="http://schemas.microsoft.com/office/drawing/2014/main" id="{1E702FA1-14AA-37C1-FBB0-1C157546E6D4}"/>
            </a:ext>
          </a:extLst>
        </xdr:cNvPr>
        <xdr:cNvGrpSpPr/>
      </xdr:nvGrpSpPr>
      <xdr:grpSpPr>
        <a:xfrm>
          <a:off x="10362030" y="2029266"/>
          <a:ext cx="3978226" cy="2072640"/>
          <a:chOff x="10367892" y="2016371"/>
          <a:chExt cx="3976467" cy="2059744"/>
        </a:xfrm>
      </xdr:grpSpPr>
      <xdr:sp macro="" textlink="">
        <xdr:nvSpPr>
          <xdr:cNvPr id="4" name="Exit Reason Box">
            <a:extLst>
              <a:ext uri="{FF2B5EF4-FFF2-40B4-BE49-F238E27FC236}">
                <a16:creationId xmlns:a16="http://schemas.microsoft.com/office/drawing/2014/main" id="{30EB87DE-1689-4DCD-9CCD-4CD1EF70B40B}"/>
              </a:ext>
            </a:extLst>
          </xdr:cNvPr>
          <xdr:cNvSpPr/>
        </xdr:nvSpPr>
        <xdr:spPr>
          <a:xfrm>
            <a:off x="10367892" y="2016371"/>
            <a:ext cx="3976467" cy="205974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aphicFrame macro="">
        <xdr:nvGraphicFramePr>
          <xdr:cNvPr id="22" name="Exit Reason Chart">
            <a:extLst>
              <a:ext uri="{FF2B5EF4-FFF2-40B4-BE49-F238E27FC236}">
                <a16:creationId xmlns:a16="http://schemas.microsoft.com/office/drawing/2014/main" id="{BCDD9496-D1C2-4574-87EC-D0F43DF36DCF}"/>
              </a:ext>
            </a:extLst>
          </xdr:cNvPr>
          <xdr:cNvGraphicFramePr>
            <a:graphicFrameLocks/>
          </xdr:cNvGraphicFramePr>
        </xdr:nvGraphicFramePr>
        <xdr:xfrm>
          <a:off x="10398363" y="2039089"/>
          <a:ext cx="3915525" cy="1999163"/>
        </xdr:xfrm>
        <a:graphic>
          <a:graphicData uri="http://schemas.openxmlformats.org/drawingml/2006/chart">
            <c:chart xmlns:c="http://schemas.openxmlformats.org/drawingml/2006/chart" xmlns:r="http://schemas.openxmlformats.org/officeDocument/2006/relationships" r:id="rId22"/>
          </a:graphicData>
        </a:graphic>
      </xdr:graphicFrame>
    </xdr:grpSp>
    <xdr:clientData/>
  </xdr:twoCellAnchor>
  <xdr:twoCellAnchor>
    <xdr:from>
      <xdr:col>5</xdr:col>
      <xdr:colOff>289560</xdr:colOff>
      <xdr:row>23</xdr:row>
      <xdr:rowOff>30480</xdr:rowOff>
    </xdr:from>
    <xdr:to>
      <xdr:col>7</xdr:col>
      <xdr:colOff>670560</xdr:colOff>
      <xdr:row>35</xdr:row>
      <xdr:rowOff>30480</xdr:rowOff>
    </xdr:to>
    <xdr:grpSp>
      <xdr:nvGrpSpPr>
        <xdr:cNvPr id="65" name="Ave. Exit vs Active Tenure">
          <a:extLst>
            <a:ext uri="{FF2B5EF4-FFF2-40B4-BE49-F238E27FC236}">
              <a16:creationId xmlns:a16="http://schemas.microsoft.com/office/drawing/2014/main" id="{8FE752AF-6757-AAA5-A6DA-42DEA1952C99}"/>
            </a:ext>
          </a:extLst>
        </xdr:cNvPr>
        <xdr:cNvGrpSpPr/>
      </xdr:nvGrpSpPr>
      <xdr:grpSpPr>
        <a:xfrm>
          <a:off x="6911340" y="4236720"/>
          <a:ext cx="3360420" cy="2194560"/>
          <a:chOff x="6918960" y="4217377"/>
          <a:chExt cx="3358662" cy="2165252"/>
        </a:xfrm>
      </xdr:grpSpPr>
      <xdr:sp macro="" textlink="">
        <xdr:nvSpPr>
          <xdr:cNvPr id="7" name="Ave. Exit vs Active Tenure Box">
            <a:extLst>
              <a:ext uri="{FF2B5EF4-FFF2-40B4-BE49-F238E27FC236}">
                <a16:creationId xmlns:a16="http://schemas.microsoft.com/office/drawing/2014/main" id="{55EEEF9E-1D3A-4720-A773-93D4564A78F9}"/>
              </a:ext>
            </a:extLst>
          </xdr:cNvPr>
          <xdr:cNvSpPr/>
        </xdr:nvSpPr>
        <xdr:spPr>
          <a:xfrm>
            <a:off x="6918960" y="4217377"/>
            <a:ext cx="3358662" cy="216525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sp macro="" textlink="">
        <xdr:nvSpPr>
          <xdr:cNvPr id="14" name="Ave. Exit Tenure Title">
            <a:extLst>
              <a:ext uri="{FF2B5EF4-FFF2-40B4-BE49-F238E27FC236}">
                <a16:creationId xmlns:a16="http://schemas.microsoft.com/office/drawing/2014/main" id="{B688C430-6D14-7AF9-1B57-1577F9819661}"/>
              </a:ext>
            </a:extLst>
          </xdr:cNvPr>
          <xdr:cNvSpPr txBox="1"/>
        </xdr:nvSpPr>
        <xdr:spPr>
          <a:xfrm>
            <a:off x="7002780" y="4414325"/>
            <a:ext cx="1179928" cy="621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D74949"/>
                </a:solidFill>
              </a:rPr>
              <a:t>Exited</a:t>
            </a:r>
            <a:r>
              <a:rPr lang="en-PH" sz="1200" baseline="0">
                <a:solidFill>
                  <a:srgbClr val="D74949"/>
                </a:solidFill>
              </a:rPr>
              <a:t> </a:t>
            </a:r>
            <a:r>
              <a:rPr lang="en-PH" sz="1200" baseline="0">
                <a:solidFill>
                  <a:sysClr val="windowText" lastClr="000000"/>
                </a:solidFill>
              </a:rPr>
              <a:t>Tenure</a:t>
            </a:r>
            <a:endParaRPr lang="en-PH" sz="1200">
              <a:solidFill>
                <a:sysClr val="windowText" lastClr="000000"/>
              </a:solidFill>
            </a:endParaRPr>
          </a:p>
        </xdr:txBody>
      </xdr:sp>
      <xdr:sp macro="" textlink="'PIVOT TABLES'!AD10">
        <xdr:nvSpPr>
          <xdr:cNvPr id="16" name="Ave. Exit Tenure">
            <a:extLst>
              <a:ext uri="{FF2B5EF4-FFF2-40B4-BE49-F238E27FC236}">
                <a16:creationId xmlns:a16="http://schemas.microsoft.com/office/drawing/2014/main" id="{AC7F699E-A41D-4AFF-A49B-F7008BBA538F}"/>
              </a:ext>
            </a:extLst>
          </xdr:cNvPr>
          <xdr:cNvSpPr txBox="1"/>
        </xdr:nvSpPr>
        <xdr:spPr>
          <a:xfrm>
            <a:off x="7002780" y="4906108"/>
            <a:ext cx="1477108" cy="33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BD8DB8A-27DC-4F78-9FA3-0BA9DA7C0F92}" type="TxLink">
              <a:rPr lang="en-US" sz="1300" b="1" i="0" u="none" strike="noStrike">
                <a:solidFill>
                  <a:srgbClr val="D74949"/>
                </a:solidFill>
                <a:latin typeface="Calibri"/>
                <a:ea typeface="Calibri"/>
                <a:cs typeface="Calibri"/>
              </a:rPr>
              <a:pPr algn="l"/>
              <a:t>2 years 2 months</a:t>
            </a:fld>
            <a:endParaRPr lang="en-PH" sz="1300" b="1">
              <a:solidFill>
                <a:srgbClr val="D74949"/>
              </a:solidFill>
            </a:endParaRPr>
          </a:p>
        </xdr:txBody>
      </xdr:sp>
      <xdr:sp macro="" textlink="">
        <xdr:nvSpPr>
          <xdr:cNvPr id="18" name="Ave. Active Tenure">
            <a:extLst>
              <a:ext uri="{FF2B5EF4-FFF2-40B4-BE49-F238E27FC236}">
                <a16:creationId xmlns:a16="http://schemas.microsoft.com/office/drawing/2014/main" id="{792F02B7-4C82-4FC8-9E56-1F2CE5F8D735}"/>
              </a:ext>
            </a:extLst>
          </xdr:cNvPr>
          <xdr:cNvSpPr txBox="1"/>
        </xdr:nvSpPr>
        <xdr:spPr>
          <a:xfrm>
            <a:off x="6995160" y="5345723"/>
            <a:ext cx="1179928" cy="621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00B050"/>
                </a:solidFill>
              </a:rPr>
              <a:t>Active </a:t>
            </a:r>
            <a:r>
              <a:rPr lang="en-PH" sz="1200">
                <a:solidFill>
                  <a:sysClr val="windowText" lastClr="000000"/>
                </a:solidFill>
              </a:rPr>
              <a:t>Tenure</a:t>
            </a:r>
          </a:p>
        </xdr:txBody>
      </xdr:sp>
      <xdr:sp macro="" textlink="'PIVOT TABLES'!AD9">
        <xdr:nvSpPr>
          <xdr:cNvPr id="26" name="Ave. Active Tenure">
            <a:extLst>
              <a:ext uri="{FF2B5EF4-FFF2-40B4-BE49-F238E27FC236}">
                <a16:creationId xmlns:a16="http://schemas.microsoft.com/office/drawing/2014/main" id="{057D8D07-1854-4F40-A9EB-83226133F68A}"/>
              </a:ext>
            </a:extLst>
          </xdr:cNvPr>
          <xdr:cNvSpPr txBox="1"/>
        </xdr:nvSpPr>
        <xdr:spPr>
          <a:xfrm>
            <a:off x="6995160" y="5837506"/>
            <a:ext cx="1492348" cy="334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748577B-BAAC-4CF8-B65A-6B62522027EB}" type="TxLink">
              <a:rPr lang="en-US" sz="1300" b="1" i="0" u="none" strike="noStrike">
                <a:solidFill>
                  <a:srgbClr val="00B050"/>
                </a:solidFill>
                <a:latin typeface="Calibri"/>
                <a:ea typeface="Calibri"/>
                <a:cs typeface="Calibri"/>
              </a:rPr>
              <a:pPr algn="l"/>
              <a:t>4 years 6 months</a:t>
            </a:fld>
            <a:endParaRPr lang="en-PH" sz="1300" b="1">
              <a:solidFill>
                <a:srgbClr val="00B050"/>
              </a:solidFill>
            </a:endParaRPr>
          </a:p>
        </xdr:txBody>
      </xdr:sp>
      <xdr:graphicFrame macro="">
        <xdr:nvGraphicFramePr>
          <xdr:cNvPr id="28" name="Ave. Exit Tenure Stacked">
            <a:extLst>
              <a:ext uri="{FF2B5EF4-FFF2-40B4-BE49-F238E27FC236}">
                <a16:creationId xmlns:a16="http://schemas.microsoft.com/office/drawing/2014/main" id="{2F68AFA9-C633-4BC4-AB4E-A1AFD3062368}"/>
              </a:ext>
            </a:extLst>
          </xdr:cNvPr>
          <xdr:cNvGraphicFramePr>
            <a:graphicFrameLocks/>
          </xdr:cNvGraphicFramePr>
        </xdr:nvGraphicFramePr>
        <xdr:xfrm>
          <a:off x="8411308" y="4278337"/>
          <a:ext cx="1835834" cy="1075006"/>
        </xdr:xfrm>
        <a:graphic>
          <a:graphicData uri="http://schemas.openxmlformats.org/drawingml/2006/chart">
            <c:chart xmlns:c="http://schemas.openxmlformats.org/drawingml/2006/chart" xmlns:r="http://schemas.openxmlformats.org/officeDocument/2006/relationships" r:id="rId23"/>
          </a:graphicData>
        </a:graphic>
      </xdr:graphicFrame>
      <xdr:graphicFrame macro="">
        <xdr:nvGraphicFramePr>
          <xdr:cNvPr id="38" name="Ave. Active Tenure Stacked">
            <a:extLst>
              <a:ext uri="{FF2B5EF4-FFF2-40B4-BE49-F238E27FC236}">
                <a16:creationId xmlns:a16="http://schemas.microsoft.com/office/drawing/2014/main" id="{9B237F7F-3A49-4A50-A44C-485DDE15A9FB}"/>
              </a:ext>
            </a:extLst>
          </xdr:cNvPr>
          <xdr:cNvGraphicFramePr>
            <a:graphicFrameLocks/>
          </xdr:cNvGraphicFramePr>
        </xdr:nvGraphicFramePr>
        <xdr:xfrm>
          <a:off x="8403688" y="5284763"/>
          <a:ext cx="1843454" cy="1090246"/>
        </xdr:xfrm>
        <a:graphic>
          <a:graphicData uri="http://schemas.openxmlformats.org/drawingml/2006/chart">
            <c:chart xmlns:c="http://schemas.openxmlformats.org/drawingml/2006/chart" xmlns:r="http://schemas.openxmlformats.org/officeDocument/2006/relationships" r:id="rId24"/>
          </a:graphicData>
        </a:graphic>
      </xdr:graphicFrame>
    </xdr:grpSp>
    <xdr:clientData/>
  </xdr:twoCellAnchor>
  <xdr:twoCellAnchor>
    <xdr:from>
      <xdr:col>1</xdr:col>
      <xdr:colOff>0</xdr:colOff>
      <xdr:row>23</xdr:row>
      <xdr:rowOff>30480</xdr:rowOff>
    </xdr:from>
    <xdr:to>
      <xdr:col>5</xdr:col>
      <xdr:colOff>205740</xdr:colOff>
      <xdr:row>35</xdr:row>
      <xdr:rowOff>30480</xdr:rowOff>
    </xdr:to>
    <xdr:grpSp>
      <xdr:nvGrpSpPr>
        <xdr:cNvPr id="64" name="New Hires vs Exit">
          <a:extLst>
            <a:ext uri="{FF2B5EF4-FFF2-40B4-BE49-F238E27FC236}">
              <a16:creationId xmlns:a16="http://schemas.microsoft.com/office/drawing/2014/main" id="{71D4CDC6-8317-4777-74F3-00BE5C4E8BAF}"/>
            </a:ext>
          </a:extLst>
        </xdr:cNvPr>
        <xdr:cNvGrpSpPr/>
      </xdr:nvGrpSpPr>
      <xdr:grpSpPr>
        <a:xfrm>
          <a:off x="114300" y="4236720"/>
          <a:ext cx="6713220" cy="2194560"/>
          <a:chOff x="117231" y="4217377"/>
          <a:chExt cx="6717909" cy="2172872"/>
        </a:xfrm>
      </xdr:grpSpPr>
      <xdr:sp macro="" textlink="">
        <xdr:nvSpPr>
          <xdr:cNvPr id="6" name="New Hires vs Exit Box">
            <a:extLst>
              <a:ext uri="{FF2B5EF4-FFF2-40B4-BE49-F238E27FC236}">
                <a16:creationId xmlns:a16="http://schemas.microsoft.com/office/drawing/2014/main" id="{30C21265-60BD-428C-B778-99106FF9389F}"/>
              </a:ext>
            </a:extLst>
          </xdr:cNvPr>
          <xdr:cNvSpPr/>
        </xdr:nvSpPr>
        <xdr:spPr>
          <a:xfrm>
            <a:off x="117231" y="4217377"/>
            <a:ext cx="6717909" cy="217287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37" name="New Hires vs Exit Chart">
            <a:extLst>
              <a:ext uri="{FF2B5EF4-FFF2-40B4-BE49-F238E27FC236}">
                <a16:creationId xmlns:a16="http://schemas.microsoft.com/office/drawing/2014/main" id="{4F68334C-B3E6-4714-87C2-37BE44979622}"/>
              </a:ext>
            </a:extLst>
          </xdr:cNvPr>
          <xdr:cNvGraphicFramePr>
            <a:graphicFrameLocks/>
          </xdr:cNvGraphicFramePr>
        </xdr:nvGraphicFramePr>
        <xdr:xfrm>
          <a:off x="140091" y="4255477"/>
          <a:ext cx="6664569" cy="2104292"/>
        </xdr:xfrm>
        <a:graphic>
          <a:graphicData uri="http://schemas.openxmlformats.org/drawingml/2006/chart">
            <c:chart xmlns:c="http://schemas.openxmlformats.org/drawingml/2006/chart" xmlns:r="http://schemas.openxmlformats.org/officeDocument/2006/relationships" r:id="rId25"/>
          </a:graphicData>
        </a:graphic>
      </xdr:graphicFrame>
    </xdr:grpSp>
    <xdr:clientData/>
  </xdr:twoCellAnchor>
  <xdr:twoCellAnchor>
    <xdr:from>
      <xdr:col>3</xdr:col>
      <xdr:colOff>1303020</xdr:colOff>
      <xdr:row>11</xdr:row>
      <xdr:rowOff>22860</xdr:rowOff>
    </xdr:from>
    <xdr:to>
      <xdr:col>7</xdr:col>
      <xdr:colOff>678180</xdr:colOff>
      <xdr:row>22</xdr:row>
      <xdr:rowOff>91440</xdr:rowOff>
    </xdr:to>
    <xdr:grpSp>
      <xdr:nvGrpSpPr>
        <xdr:cNvPr id="62" name="Comp. Turnover">
          <a:extLst>
            <a:ext uri="{FF2B5EF4-FFF2-40B4-BE49-F238E27FC236}">
              <a16:creationId xmlns:a16="http://schemas.microsoft.com/office/drawing/2014/main" id="{808E5F5C-4832-5378-E444-D42CC1C11BBB}"/>
            </a:ext>
          </a:extLst>
        </xdr:cNvPr>
        <xdr:cNvGrpSpPr/>
      </xdr:nvGrpSpPr>
      <xdr:grpSpPr>
        <a:xfrm>
          <a:off x="4594860" y="2034540"/>
          <a:ext cx="5684520" cy="2080260"/>
          <a:chOff x="4603066" y="2021645"/>
          <a:chExt cx="5682176" cy="2067364"/>
        </a:xfrm>
      </xdr:grpSpPr>
      <xdr:sp macro="" textlink="">
        <xdr:nvSpPr>
          <xdr:cNvPr id="5" name="Comp. Turnover Box">
            <a:extLst>
              <a:ext uri="{FF2B5EF4-FFF2-40B4-BE49-F238E27FC236}">
                <a16:creationId xmlns:a16="http://schemas.microsoft.com/office/drawing/2014/main" id="{44F5700B-B585-4E4E-8E5C-ED58AC960B9B}"/>
              </a:ext>
            </a:extLst>
          </xdr:cNvPr>
          <xdr:cNvSpPr/>
        </xdr:nvSpPr>
        <xdr:spPr>
          <a:xfrm>
            <a:off x="4603066" y="2021645"/>
            <a:ext cx="5682176" cy="206736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40" name="Comp. Turnover Chart">
            <a:extLst>
              <a:ext uri="{FF2B5EF4-FFF2-40B4-BE49-F238E27FC236}">
                <a16:creationId xmlns:a16="http://schemas.microsoft.com/office/drawing/2014/main" id="{FCDF2B79-0C67-4198-A03D-85DB88B4CCC3}"/>
              </a:ext>
            </a:extLst>
          </xdr:cNvPr>
          <xdr:cNvGraphicFramePr>
            <a:graphicFrameLocks/>
          </xdr:cNvGraphicFramePr>
        </xdr:nvGraphicFramePr>
        <xdr:xfrm>
          <a:off x="4624754" y="2036885"/>
          <a:ext cx="5638800" cy="2036884"/>
        </xdr:xfrm>
        <a:graphic>
          <a:graphicData uri="http://schemas.openxmlformats.org/drawingml/2006/chart">
            <c:chart xmlns:c="http://schemas.openxmlformats.org/drawingml/2006/chart" xmlns:r="http://schemas.openxmlformats.org/officeDocument/2006/relationships" r:id="rId26"/>
          </a:graphicData>
        </a:graphic>
      </xdr:graphicFrame>
    </xdr:grpSp>
    <xdr:clientData/>
  </xdr:twoCellAnchor>
  <xdr:twoCellAnchor>
    <xdr:from>
      <xdr:col>7</xdr:col>
      <xdr:colOff>762000</xdr:colOff>
      <xdr:row>23</xdr:row>
      <xdr:rowOff>30480</xdr:rowOff>
    </xdr:from>
    <xdr:to>
      <xdr:col>10</xdr:col>
      <xdr:colOff>7620</xdr:colOff>
      <xdr:row>35</xdr:row>
      <xdr:rowOff>30480</xdr:rowOff>
    </xdr:to>
    <xdr:grpSp>
      <xdr:nvGrpSpPr>
        <xdr:cNvPr id="66" name="Active vs Exit Age Bracket">
          <a:extLst>
            <a:ext uri="{FF2B5EF4-FFF2-40B4-BE49-F238E27FC236}">
              <a16:creationId xmlns:a16="http://schemas.microsoft.com/office/drawing/2014/main" id="{8DE12033-E81C-664D-962A-B04779E6EFD3}"/>
            </a:ext>
          </a:extLst>
        </xdr:cNvPr>
        <xdr:cNvGrpSpPr/>
      </xdr:nvGrpSpPr>
      <xdr:grpSpPr>
        <a:xfrm>
          <a:off x="10363200" y="4236720"/>
          <a:ext cx="3977640" cy="2194560"/>
          <a:chOff x="10369062" y="4209757"/>
          <a:chExt cx="3975881" cy="2150012"/>
        </a:xfrm>
      </xdr:grpSpPr>
      <xdr:sp macro="" textlink="">
        <xdr:nvSpPr>
          <xdr:cNvPr id="8" name="Active vs Exit Age Bracket Box">
            <a:extLst>
              <a:ext uri="{FF2B5EF4-FFF2-40B4-BE49-F238E27FC236}">
                <a16:creationId xmlns:a16="http://schemas.microsoft.com/office/drawing/2014/main" id="{7F1333FE-80D0-43DD-A78C-287941EA3F8D}"/>
              </a:ext>
            </a:extLst>
          </xdr:cNvPr>
          <xdr:cNvSpPr/>
        </xdr:nvSpPr>
        <xdr:spPr>
          <a:xfrm>
            <a:off x="10369062" y="4209757"/>
            <a:ext cx="3975881" cy="215001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41" name="Active vs Exit Age Bracket Stacked">
            <a:extLst>
              <a:ext uri="{FF2B5EF4-FFF2-40B4-BE49-F238E27FC236}">
                <a16:creationId xmlns:a16="http://schemas.microsoft.com/office/drawing/2014/main" id="{49DD328F-1FE6-46B1-89F9-4648DCAC2825}"/>
              </a:ext>
            </a:extLst>
          </xdr:cNvPr>
          <xdr:cNvGraphicFramePr>
            <a:graphicFrameLocks/>
          </xdr:cNvGraphicFramePr>
        </xdr:nvGraphicFramePr>
        <xdr:xfrm>
          <a:off x="10398370" y="4224997"/>
          <a:ext cx="3924300" cy="2113085"/>
        </xdr:xfrm>
        <a:graphic>
          <a:graphicData uri="http://schemas.openxmlformats.org/drawingml/2006/chart">
            <c:chart xmlns:c="http://schemas.openxmlformats.org/drawingml/2006/chart" xmlns:r="http://schemas.openxmlformats.org/officeDocument/2006/relationships" r:id="rId27"/>
          </a:graphicData>
        </a:graphic>
      </xdr:graphicFrame>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2.808838541663" createdVersion="8" refreshedVersion="8" minRefreshableVersion="3" recordCount="1081" xr:uid="{ACBC2AF9-0413-4041-876E-851EA693E71B}">
  <cacheSource type="worksheet">
    <worksheetSource name="EmployeeData"/>
  </cacheSource>
  <cacheFields count="18">
    <cacheField name="Employee ID" numFmtId="0">
      <sharedItems containsSemiMixedTypes="0" containsString="0" containsNumber="1" containsInteger="1" minValue="1001" maxValue="2081"/>
    </cacheField>
    <cacheField name="Full Name" numFmtId="0">
      <sharedItems/>
    </cacheField>
    <cacheField name="Department" numFmtId="0">
      <sharedItems count="6">
        <s v="Marketing"/>
        <s v="Customer Support"/>
        <s v="Sales"/>
        <s v="Finance"/>
        <s v="IT"/>
        <s v="HR"/>
      </sharedItems>
    </cacheField>
    <cacheField name="Gender" numFmtId="0">
      <sharedItems/>
    </cacheField>
    <cacheField name="Age" numFmtId="0">
      <sharedItems containsSemiMixedTypes="0" containsString="0" containsNumber="1" containsInteger="1" minValue="21" maxValue="65"/>
    </cacheField>
    <cacheField name="Age bracket" numFmtId="0">
      <sharedItems count="5">
        <s v="30s"/>
        <s v="50s"/>
        <s v="40s"/>
        <s v="20s"/>
        <s v="60s"/>
      </sharedItems>
    </cacheField>
    <cacheField name="Join Date" numFmtId="164">
      <sharedItems containsSemiMixedTypes="0" containsNonDate="0" containsDate="1" containsString="0" minDate="2018-01-05T00:00:00" maxDate="2025-12-11T00:00:00" count="917">
        <d v="2020-09-30T00:00:00"/>
        <d v="2024-10-01T00:00:00"/>
        <d v="2025-10-30T00:00:00"/>
        <d v="2021-11-09T00:00:00"/>
        <d v="2021-04-15T00:00:00"/>
        <d v="2018-11-23T00:00:00"/>
        <d v="2025-11-14T00:00:00"/>
        <d v="2022-04-04T00:00:00"/>
        <d v="2022-07-02T00:00:00"/>
        <d v="2019-08-09T00:00:00"/>
        <d v="2020-06-17T00:00:00"/>
        <d v="2025-08-19T00:00:00"/>
        <d v="2025-08-18T00:00:00"/>
        <d v="2023-02-02T00:00:00"/>
        <d v="2024-10-30T00:00:00"/>
        <d v="2022-01-26T00:00:00"/>
        <d v="2023-12-22T00:00:00"/>
        <d v="2020-05-17T00:00:00"/>
        <d v="2020-10-12T00:00:00"/>
        <d v="2018-10-04T00:00:00"/>
        <d v="2024-05-27T00:00:00"/>
        <d v="2021-12-22T00:00:00"/>
        <d v="2020-10-15T00:00:00"/>
        <d v="2019-02-06T00:00:00"/>
        <d v="2019-11-06T00:00:00"/>
        <d v="2019-09-27T00:00:00"/>
        <d v="2023-12-16T00:00:00"/>
        <d v="2020-10-05T00:00:00"/>
        <d v="2020-09-04T00:00:00"/>
        <d v="2019-02-14T00:00:00"/>
        <d v="2022-11-30T00:00:00"/>
        <d v="2021-05-11T00:00:00"/>
        <d v="2024-10-13T00:00:00"/>
        <d v="2018-06-30T00:00:00"/>
        <d v="2019-04-04T00:00:00"/>
        <d v="2022-01-05T00:00:00"/>
        <d v="2020-08-27T00:00:00"/>
        <d v="2020-12-28T00:00:00"/>
        <d v="2020-07-02T00:00:00"/>
        <d v="2025-08-15T00:00:00"/>
        <d v="2024-07-06T00:00:00"/>
        <d v="2024-10-19T00:00:00"/>
        <d v="2018-01-07T00:00:00"/>
        <d v="2022-11-02T00:00:00"/>
        <d v="2022-07-07T00:00:00"/>
        <d v="2021-05-17T00:00:00"/>
        <d v="2023-03-20T00:00:00"/>
        <d v="2019-01-18T00:00:00"/>
        <d v="2024-11-08T00:00:00"/>
        <d v="2020-09-26T00:00:00"/>
        <d v="2023-02-13T00:00:00"/>
        <d v="2022-10-14T00:00:00"/>
        <d v="2020-10-09T00:00:00"/>
        <d v="2020-08-18T00:00:00"/>
        <d v="2022-08-27T00:00:00"/>
        <d v="2025-10-19T00:00:00"/>
        <d v="2024-01-14T00:00:00"/>
        <d v="2018-04-29T00:00:00"/>
        <d v="2018-04-21T00:00:00"/>
        <d v="2020-01-15T00:00:00"/>
        <d v="2020-10-30T00:00:00"/>
        <d v="2025-04-16T00:00:00"/>
        <d v="2025-07-05T00:00:00"/>
        <d v="2019-03-19T00:00:00"/>
        <d v="2018-11-08T00:00:00"/>
        <d v="2024-05-07T00:00:00"/>
        <d v="2022-09-17T00:00:00"/>
        <d v="2022-11-19T00:00:00"/>
        <d v="2024-08-23T00:00:00"/>
        <d v="2021-10-09T00:00:00"/>
        <d v="2024-03-26T00:00:00"/>
        <d v="2023-01-10T00:00:00"/>
        <d v="2024-03-17T00:00:00"/>
        <d v="2020-08-02T00:00:00"/>
        <d v="2024-09-10T00:00:00"/>
        <d v="2018-07-06T00:00:00"/>
        <d v="2019-02-25T00:00:00"/>
        <d v="2023-05-11T00:00:00"/>
        <d v="2021-05-29T00:00:00"/>
        <d v="2021-05-02T00:00:00"/>
        <d v="2025-01-06T00:00:00"/>
        <d v="2021-04-07T00:00:00"/>
        <d v="2025-06-01T00:00:00"/>
        <d v="2018-10-20T00:00:00"/>
        <d v="2023-08-12T00:00:00"/>
        <d v="2019-01-10T00:00:00"/>
        <d v="2020-01-14T00:00:00"/>
        <d v="2021-09-27T00:00:00"/>
        <d v="2018-05-31T00:00:00"/>
        <d v="2025-05-17T00:00:00"/>
        <d v="2018-07-31T00:00:00"/>
        <d v="2019-10-11T00:00:00"/>
        <d v="2025-04-07T00:00:00"/>
        <d v="2020-09-25T00:00:00"/>
        <d v="2021-10-24T00:00:00"/>
        <d v="2024-07-03T00:00:00"/>
        <d v="2022-03-26T00:00:00"/>
        <d v="2018-06-28T00:00:00"/>
        <d v="2023-07-22T00:00:00"/>
        <d v="2019-02-13T00:00:00"/>
        <d v="2018-11-03T00:00:00"/>
        <d v="2025-07-25T00:00:00"/>
        <d v="2018-05-28T00:00:00"/>
        <d v="2022-11-13T00:00:00"/>
        <d v="2021-04-16T00:00:00"/>
        <d v="2024-12-13T00:00:00"/>
        <d v="2023-03-21T00:00:00"/>
        <d v="2025-09-28T00:00:00"/>
        <d v="2018-03-31T00:00:00"/>
        <d v="2020-07-31T00:00:00"/>
        <d v="2025-01-17T00:00:00"/>
        <d v="2021-08-31T00:00:00"/>
        <d v="2020-11-18T00:00:00"/>
        <d v="2019-07-31T00:00:00"/>
        <d v="2022-02-07T00:00:00"/>
        <d v="2019-03-20T00:00:00"/>
        <d v="2025-04-06T00:00:00"/>
        <d v="2019-04-21T00:00:00"/>
        <d v="2019-09-25T00:00:00"/>
        <d v="2020-06-08T00:00:00"/>
        <d v="2018-09-06T00:00:00"/>
        <d v="2025-03-13T00:00:00"/>
        <d v="2020-04-20T00:00:00"/>
        <d v="2019-08-16T00:00:00"/>
        <d v="2018-03-02T00:00:00"/>
        <d v="2023-05-05T00:00:00"/>
        <d v="2025-05-22T00:00:00"/>
        <d v="2022-10-13T00:00:00"/>
        <d v="2018-09-27T00:00:00"/>
        <d v="2020-05-30T00:00:00"/>
        <d v="2022-10-15T00:00:00"/>
        <d v="2022-11-04T00:00:00"/>
        <d v="2018-07-30T00:00:00"/>
        <d v="2021-12-05T00:00:00"/>
        <d v="2024-12-21T00:00:00"/>
        <d v="2020-01-09T00:00:00"/>
        <d v="2025-02-06T00:00:00"/>
        <d v="2021-06-30T00:00:00"/>
        <d v="2025-07-23T00:00:00"/>
        <d v="2022-10-27T00:00:00"/>
        <d v="2019-07-17T00:00:00"/>
        <d v="2022-11-22T00:00:00"/>
        <d v="2019-12-05T00:00:00"/>
        <d v="2022-11-20T00:00:00"/>
        <d v="2018-11-09T00:00:00"/>
        <d v="2020-08-25T00:00:00"/>
        <d v="2023-03-16T00:00:00"/>
        <d v="2025-01-13T00:00:00"/>
        <d v="2021-06-25T00:00:00"/>
        <d v="2024-11-24T00:00:00"/>
        <d v="2021-08-09T00:00:00"/>
        <d v="2018-12-12T00:00:00"/>
        <d v="2022-01-30T00:00:00"/>
        <d v="2021-03-09T00:00:00"/>
        <d v="2019-06-13T00:00:00"/>
        <d v="2023-06-15T00:00:00"/>
        <d v="2024-09-12T00:00:00"/>
        <d v="2022-12-25T00:00:00"/>
        <d v="2022-02-15T00:00:00"/>
        <d v="2019-10-26T00:00:00"/>
        <d v="2024-03-21T00:00:00"/>
        <d v="2022-11-27T00:00:00"/>
        <d v="2022-03-16T00:00:00"/>
        <d v="2025-11-29T00:00:00"/>
        <d v="2022-09-30T00:00:00"/>
        <d v="2020-09-12T00:00:00"/>
        <d v="2024-02-07T00:00:00"/>
        <d v="2020-11-04T00:00:00"/>
        <d v="2019-07-01T00:00:00"/>
        <d v="2023-02-18T00:00:00"/>
        <d v="2023-04-24T00:00:00"/>
        <d v="2022-05-03T00:00:00"/>
        <d v="2018-11-20T00:00:00"/>
        <d v="2023-01-01T00:00:00"/>
        <d v="2024-11-23T00:00:00"/>
        <d v="2022-01-28T00:00:00"/>
        <d v="2022-01-23T00:00:00"/>
        <d v="2022-12-24T00:00:00"/>
        <d v="2018-04-17T00:00:00"/>
        <d v="2020-05-28T00:00:00"/>
        <d v="2023-01-26T00:00:00"/>
        <d v="2019-10-08T00:00:00"/>
        <d v="2023-07-17T00:00:00"/>
        <d v="2023-11-24T00:00:00"/>
        <d v="2021-11-12T00:00:00"/>
        <d v="2021-01-29T00:00:00"/>
        <d v="2018-11-29T00:00:00"/>
        <d v="2021-04-01T00:00:00"/>
        <d v="2019-10-10T00:00:00"/>
        <d v="2022-06-22T00:00:00"/>
        <d v="2018-07-27T00:00:00"/>
        <d v="2021-07-04T00:00:00"/>
        <d v="2023-09-02T00:00:00"/>
        <d v="2021-03-16T00:00:00"/>
        <d v="2018-07-05T00:00:00"/>
        <d v="2021-02-19T00:00:00"/>
        <d v="2024-04-03T00:00:00"/>
        <d v="2019-07-16T00:00:00"/>
        <d v="2022-05-29T00:00:00"/>
        <d v="2022-02-17T00:00:00"/>
        <d v="2025-05-09T00:00:00"/>
        <d v="2019-08-29T00:00:00"/>
        <d v="2019-09-13T00:00:00"/>
        <d v="2025-11-30T00:00:00"/>
        <d v="2021-03-29T00:00:00"/>
        <d v="2022-04-05T00:00:00"/>
        <d v="2019-03-24T00:00:00"/>
        <d v="2021-09-14T00:00:00"/>
        <d v="2022-07-25T00:00:00"/>
        <d v="2025-03-30T00:00:00"/>
        <d v="2022-09-08T00:00:00"/>
        <d v="2018-06-03T00:00:00"/>
        <d v="2023-04-02T00:00:00"/>
        <d v="2019-12-20T00:00:00"/>
        <d v="2023-05-10T00:00:00"/>
        <d v="2018-02-16T00:00:00"/>
        <d v="2022-08-31T00:00:00"/>
        <d v="2023-11-23T00:00:00"/>
        <d v="2020-04-08T00:00:00"/>
        <d v="2023-06-26T00:00:00"/>
        <d v="2025-07-18T00:00:00"/>
        <d v="2022-10-02T00:00:00"/>
        <d v="2019-07-09T00:00:00"/>
        <d v="2022-03-19T00:00:00"/>
        <d v="2023-12-07T00:00:00"/>
        <d v="2023-03-02T00:00:00"/>
        <d v="2022-07-06T00:00:00"/>
        <d v="2020-08-17T00:00:00"/>
        <d v="2020-06-24T00:00:00"/>
        <d v="2018-07-12T00:00:00"/>
        <d v="2024-01-13T00:00:00"/>
        <d v="2024-04-22T00:00:00"/>
        <d v="2023-01-17T00:00:00"/>
        <d v="2018-10-26T00:00:00"/>
        <d v="2023-05-16T00:00:00"/>
        <d v="2023-03-25T00:00:00"/>
        <d v="2021-08-04T00:00:00"/>
        <d v="2024-07-20T00:00:00"/>
        <d v="2023-08-08T00:00:00"/>
        <d v="2023-03-03T00:00:00"/>
        <d v="2025-06-30T00:00:00"/>
        <d v="2018-09-05T00:00:00"/>
        <d v="2023-12-09T00:00:00"/>
        <d v="2019-01-30T00:00:00"/>
        <d v="2025-03-26T00:00:00"/>
        <d v="2023-05-02T00:00:00"/>
        <d v="2020-04-28T00:00:00"/>
        <d v="2021-09-20T00:00:00"/>
        <d v="2019-02-05T00:00:00"/>
        <d v="2018-05-02T00:00:00"/>
        <d v="2018-12-18T00:00:00"/>
        <d v="2022-05-15T00:00:00"/>
        <d v="2023-01-13T00:00:00"/>
        <d v="2022-04-27T00:00:00"/>
        <d v="2023-11-05T00:00:00"/>
        <d v="2021-05-12T00:00:00"/>
        <d v="2023-02-19T00:00:00"/>
        <d v="2021-10-03T00:00:00"/>
        <d v="2021-07-31T00:00:00"/>
        <d v="2024-08-22T00:00:00"/>
        <d v="2022-12-01T00:00:00"/>
        <d v="2025-05-21T00:00:00"/>
        <d v="2025-10-04T00:00:00"/>
        <d v="2024-07-05T00:00:00"/>
        <d v="2019-09-10T00:00:00"/>
        <d v="2021-11-27T00:00:00"/>
        <d v="2018-10-03T00:00:00"/>
        <d v="2019-12-16T00:00:00"/>
        <d v="2020-02-03T00:00:00"/>
        <d v="2025-11-26T00:00:00"/>
        <d v="2020-12-10T00:00:00"/>
        <d v="2024-08-01T00:00:00"/>
        <d v="2025-07-15T00:00:00"/>
        <d v="2024-06-12T00:00:00"/>
        <d v="2024-03-22T00:00:00"/>
        <d v="2019-07-14T00:00:00"/>
        <d v="2019-11-17T00:00:00"/>
        <d v="2024-05-05T00:00:00"/>
        <d v="2024-01-30T00:00:00"/>
        <d v="2021-05-04T00:00:00"/>
        <d v="2020-05-09T00:00:00"/>
        <d v="2020-04-27T00:00:00"/>
        <d v="2024-06-03T00:00:00"/>
        <d v="2025-05-10T00:00:00"/>
        <d v="2022-03-17T00:00:00"/>
        <d v="2023-06-23T00:00:00"/>
        <d v="2023-12-30T00:00:00"/>
        <d v="2019-06-19T00:00:00"/>
        <d v="2018-03-08T00:00:00"/>
        <d v="2022-10-25T00:00:00"/>
        <d v="2018-02-08T00:00:00"/>
        <d v="2019-02-27T00:00:00"/>
        <d v="2024-11-04T00:00:00"/>
        <d v="2024-11-28T00:00:00"/>
        <d v="2021-12-10T00:00:00"/>
        <d v="2025-09-29T00:00:00"/>
        <d v="2023-07-21T00:00:00"/>
        <d v="2022-01-19T00:00:00"/>
        <d v="2023-04-14T00:00:00"/>
        <d v="2022-06-19T00:00:00"/>
        <d v="2021-02-10T00:00:00"/>
        <d v="2021-06-24T00:00:00"/>
        <d v="2021-06-20T00:00:00"/>
        <d v="2023-11-13T00:00:00"/>
        <d v="2021-10-04T00:00:00"/>
        <d v="2023-08-09T00:00:00"/>
        <d v="2020-07-24T00:00:00"/>
        <d v="2022-04-18T00:00:00"/>
        <d v="2021-01-16T00:00:00"/>
        <d v="2022-07-01T00:00:00"/>
        <d v="2020-10-01T00:00:00"/>
        <d v="2021-06-13T00:00:00"/>
        <d v="2019-01-17T00:00:00"/>
        <d v="2021-04-09T00:00:00"/>
        <d v="2018-11-02T00:00:00"/>
        <d v="2019-05-10T00:00:00"/>
        <d v="2021-12-28T00:00:00"/>
        <d v="2024-03-27T00:00:00"/>
        <d v="2019-06-20T00:00:00"/>
        <d v="2019-06-12T00:00:00"/>
        <d v="2022-04-17T00:00:00"/>
        <d v="2018-05-22T00:00:00"/>
        <d v="2018-03-21T00:00:00"/>
        <d v="2022-05-10T00:00:00"/>
        <d v="2019-10-16T00:00:00"/>
        <d v="2019-12-23T00:00:00"/>
        <d v="2020-02-11T00:00:00"/>
        <d v="2018-03-23T00:00:00"/>
        <d v="2021-08-18T00:00:00"/>
        <d v="2025-11-25T00:00:00"/>
        <d v="2025-03-03T00:00:00"/>
        <d v="2020-07-03T00:00:00"/>
        <d v="2022-05-23T00:00:00"/>
        <d v="2025-03-04T00:00:00"/>
        <d v="2025-02-18T00:00:00"/>
        <d v="2020-12-22T00:00:00"/>
        <d v="2019-11-13T00:00:00"/>
        <d v="2025-04-20T00:00:00"/>
        <d v="2018-10-31T00:00:00"/>
        <d v="2024-01-22T00:00:00"/>
        <d v="2018-12-25T00:00:00"/>
        <d v="2021-06-17T00:00:00"/>
        <d v="2020-01-28T00:00:00"/>
        <d v="2018-09-10T00:00:00"/>
        <d v="2022-09-11T00:00:00"/>
        <d v="2023-08-19T00:00:00"/>
        <d v="2019-12-10T00:00:00"/>
        <d v="2020-04-07T00:00:00"/>
        <d v="2021-08-28T00:00:00"/>
        <d v="2023-11-11T00:00:00"/>
        <d v="2021-03-17T00:00:00"/>
        <d v="2021-02-02T00:00:00"/>
        <d v="2020-07-22T00:00:00"/>
        <d v="2020-05-15T00:00:00"/>
        <d v="2018-09-26T00:00:00"/>
        <d v="2020-10-18T00:00:00"/>
        <d v="2025-08-22T00:00:00"/>
        <d v="2019-11-01T00:00:00"/>
        <d v="2019-10-30T00:00:00"/>
        <d v="2023-10-04T00:00:00"/>
        <d v="2020-07-05T00:00:00"/>
        <d v="2023-03-27T00:00:00"/>
        <d v="2021-05-07T00:00:00"/>
        <d v="2025-05-11T00:00:00"/>
        <d v="2025-05-29T00:00:00"/>
        <d v="2025-12-10T00:00:00"/>
        <d v="2025-07-14T00:00:00"/>
        <d v="2020-01-20T00:00:00"/>
        <d v="2021-09-19T00:00:00"/>
        <d v="2023-04-19T00:00:00"/>
        <d v="2021-07-07T00:00:00"/>
        <d v="2019-06-15T00:00:00"/>
        <d v="2022-03-09T00:00:00"/>
        <d v="2021-07-02T00:00:00"/>
        <d v="2024-09-08T00:00:00"/>
        <d v="2019-11-24T00:00:00"/>
        <d v="2025-05-01T00:00:00"/>
        <d v="2022-09-12T00:00:00"/>
        <d v="2023-08-01T00:00:00"/>
        <d v="2020-04-30T00:00:00"/>
        <d v="2025-07-03T00:00:00"/>
        <d v="2021-04-27T00:00:00"/>
        <d v="2019-04-20T00:00:00"/>
        <d v="2019-01-16T00:00:00"/>
        <d v="2022-09-24T00:00:00"/>
        <d v="2022-09-01T00:00:00"/>
        <d v="2024-11-09T00:00:00"/>
        <d v="2018-09-17T00:00:00"/>
        <d v="2023-10-28T00:00:00"/>
        <d v="2019-09-01T00:00:00"/>
        <d v="2019-11-09T00:00:00"/>
        <d v="2025-04-30T00:00:00"/>
        <d v="2023-09-14T00:00:00"/>
        <d v="2024-04-13T00:00:00"/>
        <d v="2022-08-04T00:00:00"/>
        <d v="2018-07-10T00:00:00"/>
        <d v="2024-03-16T00:00:00"/>
        <d v="2019-06-10T00:00:00"/>
        <d v="2022-06-18T00:00:00"/>
        <d v="2021-05-09T00:00:00"/>
        <d v="2020-05-08T00:00:00"/>
        <d v="2023-08-26T00:00:00"/>
        <d v="2025-07-24T00:00:00"/>
        <d v="2018-04-14T00:00:00"/>
        <d v="2025-08-31T00:00:00"/>
        <d v="2025-10-09T00:00:00"/>
        <d v="2020-04-11T00:00:00"/>
        <d v="2024-02-17T00:00:00"/>
        <d v="2020-02-05T00:00:00"/>
        <d v="2025-01-05T00:00:00"/>
        <d v="2025-06-10T00:00:00"/>
        <d v="2018-06-13T00:00:00"/>
        <d v="2021-03-04T00:00:00"/>
        <d v="2021-08-05T00:00:00"/>
        <d v="2020-05-13T00:00:00"/>
        <d v="2025-04-02T00:00:00"/>
        <d v="2025-01-25T00:00:00"/>
        <d v="2024-07-26T00:00:00"/>
        <d v="2022-04-12T00:00:00"/>
        <d v="2021-04-23T00:00:00"/>
        <d v="2018-02-15T00:00:00"/>
        <d v="2018-12-15T00:00:00"/>
        <d v="2020-01-13T00:00:00"/>
        <d v="2025-03-25T00:00:00"/>
        <d v="2022-01-02T00:00:00"/>
        <d v="2019-09-17T00:00:00"/>
        <d v="2025-03-09T00:00:00"/>
        <d v="2022-01-09T00:00:00"/>
        <d v="2024-01-16T00:00:00"/>
        <d v="2024-06-29T00:00:00"/>
        <d v="2023-04-18T00:00:00"/>
        <d v="2022-06-14T00:00:00"/>
        <d v="2023-06-04T00:00:00"/>
        <d v="2018-06-25T00:00:00"/>
        <d v="2024-05-24T00:00:00"/>
        <d v="2023-06-18T00:00:00"/>
        <d v="2025-03-20T00:00:00"/>
        <d v="2019-04-10T00:00:00"/>
        <d v="2018-06-26T00:00:00"/>
        <d v="2023-10-18T00:00:00"/>
        <d v="2023-05-27T00:00:00"/>
        <d v="2019-11-18T00:00:00"/>
        <d v="2018-03-09T00:00:00"/>
        <d v="2023-08-24T00:00:00"/>
        <d v="2025-08-11T00:00:00"/>
        <d v="2022-04-11T00:00:00"/>
        <d v="2022-08-01T00:00:00"/>
        <d v="2022-08-02T00:00:00"/>
        <d v="2020-11-05T00:00:00"/>
        <d v="2020-07-30T00:00:00"/>
        <d v="2019-10-21T00:00:00"/>
        <d v="2018-09-20T00:00:00"/>
        <d v="2019-12-19T00:00:00"/>
        <d v="2023-10-14T00:00:00"/>
        <d v="2018-12-22T00:00:00"/>
        <d v="2025-11-22T00:00:00"/>
        <d v="2022-07-13T00:00:00"/>
        <d v="2019-04-25T00:00:00"/>
        <d v="2024-04-25T00:00:00"/>
        <d v="2018-04-23T00:00:00"/>
        <d v="2022-08-17T00:00:00"/>
        <d v="2023-08-06T00:00:00"/>
        <d v="2024-12-08T00:00:00"/>
        <d v="2018-06-23T00:00:00"/>
        <d v="2021-02-21T00:00:00"/>
        <d v="2021-11-23T00:00:00"/>
        <d v="2018-02-18T00:00:00"/>
        <d v="2020-12-12T00:00:00"/>
        <d v="2022-02-04T00:00:00"/>
        <d v="2021-01-10T00:00:00"/>
        <d v="2023-04-22T00:00:00"/>
        <d v="2024-05-14T00:00:00"/>
        <d v="2021-10-02T00:00:00"/>
        <d v="2024-06-20T00:00:00"/>
        <d v="2023-06-20T00:00:00"/>
        <d v="2025-03-08T00:00:00"/>
        <d v="2018-11-21T00:00:00"/>
        <d v="2025-11-10T00:00:00"/>
        <d v="2018-08-09T00:00:00"/>
        <d v="2021-06-21T00:00:00"/>
        <d v="2024-08-17T00:00:00"/>
        <d v="2019-01-02T00:00:00"/>
        <d v="2024-02-24T00:00:00"/>
        <d v="2022-09-26T00:00:00"/>
        <d v="2021-01-06T00:00:00"/>
        <d v="2025-11-09T00:00:00"/>
        <d v="2021-03-01T00:00:00"/>
        <d v="2023-08-04T00:00:00"/>
        <d v="2018-08-18T00:00:00"/>
        <d v="2020-10-16T00:00:00"/>
        <d v="2024-03-01T00:00:00"/>
        <d v="2019-04-08T00:00:00"/>
        <d v="2025-09-20T00:00:00"/>
        <d v="2018-09-02T00:00:00"/>
        <d v="2022-12-02T00:00:00"/>
        <d v="2024-04-08T00:00:00"/>
        <d v="2019-10-19T00:00:00"/>
        <d v="2018-03-18T00:00:00"/>
        <d v="2020-02-17T00:00:00"/>
        <d v="2019-03-15T00:00:00"/>
        <d v="2020-11-14T00:00:00"/>
        <d v="2024-12-01T00:00:00"/>
        <d v="2023-12-18T00:00:00"/>
        <d v="2024-04-05T00:00:00"/>
        <d v="2019-11-15T00:00:00"/>
        <d v="2021-07-14T00:00:00"/>
        <d v="2022-06-15T00:00:00"/>
        <d v="2021-07-13T00:00:00"/>
        <d v="2019-07-21T00:00:00"/>
        <d v="2018-11-18T00:00:00"/>
        <d v="2020-07-17T00:00:00"/>
        <d v="2018-06-18T00:00:00"/>
        <d v="2023-08-30T00:00:00"/>
        <d v="2020-12-11T00:00:00"/>
        <d v="2024-04-17T00:00:00"/>
        <d v="2024-11-29T00:00:00"/>
        <d v="2019-10-01T00:00:00"/>
        <d v="2021-03-24T00:00:00"/>
        <d v="2024-07-15T00:00:00"/>
        <d v="2018-08-06T00:00:00"/>
        <d v="2019-03-18T00:00:00"/>
        <d v="2018-03-17T00:00:00"/>
        <d v="2025-01-07T00:00:00"/>
        <d v="2025-05-14T00:00:00"/>
        <d v="2023-01-14T00:00:00"/>
        <d v="2019-07-08T00:00:00"/>
        <d v="2023-12-24T00:00:00"/>
        <d v="2022-08-12T00:00:00"/>
        <d v="2024-10-16T00:00:00"/>
        <d v="2019-07-04T00:00:00"/>
        <d v="2023-04-25T00:00:00"/>
        <d v="2020-04-17T00:00:00"/>
        <d v="2024-10-26T00:00:00"/>
        <d v="2020-10-03T00:00:00"/>
        <d v="2019-08-06T00:00:00"/>
        <d v="2023-02-06T00:00:00"/>
        <d v="2018-12-16T00:00:00"/>
        <d v="2024-03-04T00:00:00"/>
        <d v="2022-09-15T00:00:00"/>
        <d v="2023-02-22T00:00:00"/>
        <d v="2024-08-08T00:00:00"/>
        <d v="2021-09-18T00:00:00"/>
        <d v="2024-04-21T00:00:00"/>
        <d v="2022-10-17T00:00:00"/>
        <d v="2022-08-22T00:00:00"/>
        <d v="2022-10-16T00:00:00"/>
        <d v="2023-10-30T00:00:00"/>
        <d v="2020-03-03T00:00:00"/>
        <d v="2018-01-26T00:00:00"/>
        <d v="2025-07-17T00:00:00"/>
        <d v="2024-01-04T00:00:00"/>
        <d v="2025-01-10T00:00:00"/>
        <d v="2025-11-28T00:00:00"/>
        <d v="2020-06-04T00:00:00"/>
        <d v="2023-09-04T00:00:00"/>
        <d v="2019-08-10T00:00:00"/>
        <d v="2022-05-07T00:00:00"/>
        <d v="2021-08-07T00:00:00"/>
        <d v="2023-10-07T00:00:00"/>
        <d v="2024-11-16T00:00:00"/>
        <d v="2022-04-21T00:00:00"/>
        <d v="2021-07-03T00:00:00"/>
        <d v="2023-03-05T00:00:00"/>
        <d v="2021-08-27T00:00:00"/>
        <d v="2024-02-23T00:00:00"/>
        <d v="2024-05-12T00:00:00"/>
        <d v="2019-04-14T00:00:00"/>
        <d v="2024-09-16T00:00:00"/>
        <d v="2019-08-24T00:00:00"/>
        <d v="2018-02-03T00:00:00"/>
        <d v="2022-09-05T00:00:00"/>
        <d v="2018-12-13T00:00:00"/>
        <d v="2022-04-25T00:00:00"/>
        <d v="2024-06-18T00:00:00"/>
        <d v="2025-09-02T00:00:00"/>
        <d v="2023-04-05T00:00:00"/>
        <d v="2021-03-30T00:00:00"/>
        <d v="2018-11-11T00:00:00"/>
        <d v="2024-10-09T00:00:00"/>
        <d v="2021-11-05T00:00:00"/>
        <d v="2022-04-19T00:00:00"/>
        <d v="2018-08-04T00:00:00"/>
        <d v="2023-04-28T00:00:00"/>
        <d v="2019-02-03T00:00:00"/>
        <d v="2020-12-29T00:00:00"/>
        <d v="2020-03-09T00:00:00"/>
        <d v="2023-11-22T00:00:00"/>
        <d v="2024-09-21T00:00:00"/>
        <d v="2020-01-27T00:00:00"/>
        <d v="2021-09-24T00:00:00"/>
        <d v="2020-01-01T00:00:00"/>
        <d v="2020-11-26T00:00:00"/>
        <d v="2025-06-15T00:00:00"/>
        <d v="2023-05-13T00:00:00"/>
        <d v="2019-05-12T00:00:00"/>
        <d v="2022-02-05T00:00:00"/>
        <d v="2019-12-25T00:00:00"/>
        <d v="2023-06-16T00:00:00"/>
        <d v="2022-05-12T00:00:00"/>
        <d v="2018-06-01T00:00:00"/>
        <d v="2019-09-03T00:00:00"/>
        <d v="2020-09-21T00:00:00"/>
        <d v="2023-02-12T00:00:00"/>
        <d v="2018-09-16T00:00:00"/>
        <d v="2021-03-08T00:00:00"/>
        <d v="2020-09-06T00:00:00"/>
        <d v="2021-11-25T00:00:00"/>
        <d v="2023-09-10T00:00:00"/>
        <d v="2023-07-31T00:00:00"/>
        <d v="2018-06-27T00:00:00"/>
        <d v="2022-12-27T00:00:00"/>
        <d v="2024-11-01T00:00:00"/>
        <d v="2021-10-07T00:00:00"/>
        <d v="2020-06-19T00:00:00"/>
        <d v="2020-07-29T00:00:00"/>
        <d v="2018-05-18T00:00:00"/>
        <d v="2023-05-20T00:00:00"/>
        <d v="2025-11-20T00:00:00"/>
        <d v="2023-12-15T00:00:00"/>
        <d v="2018-08-13T00:00:00"/>
        <d v="2024-01-20T00:00:00"/>
        <d v="2023-04-10T00:00:00"/>
        <d v="2019-06-25T00:00:00"/>
        <d v="2020-08-09T00:00:00"/>
        <d v="2024-08-27T00:00:00"/>
        <d v="2021-03-10T00:00:00"/>
        <d v="2020-12-02T00:00:00"/>
        <d v="2023-12-26T00:00:00"/>
        <d v="2025-08-05T00:00:00"/>
        <d v="2025-06-24T00:00:00"/>
        <d v="2024-04-16T00:00:00"/>
        <d v="2024-09-15T00:00:00"/>
        <d v="2022-08-25T00:00:00"/>
        <d v="2024-07-25T00:00:00"/>
        <d v="2019-05-24T00:00:00"/>
        <d v="2018-10-01T00:00:00"/>
        <d v="2025-10-14T00:00:00"/>
        <d v="2018-08-28T00:00:00"/>
        <d v="2018-07-19T00:00:00"/>
        <d v="2021-02-26T00:00:00"/>
        <d v="2024-11-17T00:00:00"/>
        <d v="2019-07-24T00:00:00"/>
        <d v="2025-09-30T00:00:00"/>
        <d v="2018-05-15T00:00:00"/>
        <d v="2025-06-27T00:00:00"/>
        <d v="2019-08-20T00:00:00"/>
        <d v="2023-08-31T00:00:00"/>
        <d v="2025-12-08T00:00:00"/>
        <d v="2022-10-04T00:00:00"/>
        <d v="2024-04-01T00:00:00"/>
        <d v="2025-09-15T00:00:00"/>
        <d v="2023-05-03T00:00:00"/>
        <d v="2018-09-23T00:00:00"/>
        <d v="2024-08-28T00:00:00"/>
        <d v="2023-06-28T00:00:00"/>
        <d v="2020-01-04T00:00:00"/>
        <d v="2023-07-10T00:00:00"/>
        <d v="2024-01-24T00:00:00"/>
        <d v="2022-12-18T00:00:00"/>
        <d v="2019-07-05T00:00:00"/>
        <d v="2023-04-09T00:00:00"/>
        <d v="2021-03-11T00:00:00"/>
        <d v="2018-12-14T00:00:00"/>
        <d v="2025-05-18T00:00:00"/>
        <d v="2018-04-02T00:00:00"/>
        <d v="2021-10-08T00:00:00"/>
        <d v="2025-02-15T00:00:00"/>
        <d v="2020-07-14T00:00:00"/>
        <d v="2024-05-09T00:00:00"/>
        <d v="2022-11-09T00:00:00"/>
        <d v="2020-01-10T00:00:00"/>
        <d v="2021-01-02T00:00:00"/>
        <d v="2023-11-10T00:00:00"/>
        <d v="2018-09-21T00:00:00"/>
        <d v="2022-07-21T00:00:00"/>
        <d v="2019-10-15T00:00:00"/>
        <d v="2018-08-15T00:00:00"/>
        <d v="2020-10-28T00:00:00"/>
        <d v="2020-08-24T00:00:00"/>
        <d v="2024-08-11T00:00:00"/>
        <d v="2023-12-31T00:00:00"/>
        <d v="2019-01-05T00:00:00"/>
        <d v="2018-05-19T00:00:00"/>
        <d v="2019-02-16T00:00:00"/>
        <d v="2023-01-31T00:00:00"/>
        <d v="2018-01-13T00:00:00"/>
        <d v="2024-08-30T00:00:00"/>
        <d v="2021-02-28T00:00:00"/>
        <d v="2024-04-06T00:00:00"/>
        <d v="2018-07-23T00:00:00"/>
        <d v="2019-04-26T00:00:00"/>
        <d v="2021-03-25T00:00:00"/>
        <d v="2022-02-23T00:00:00"/>
        <d v="2025-09-14T00:00:00"/>
        <d v="2021-05-24T00:00:00"/>
        <d v="2019-11-27T00:00:00"/>
        <d v="2019-04-24T00:00:00"/>
        <d v="2023-10-19T00:00:00"/>
        <d v="2020-02-13T00:00:00"/>
        <d v="2018-06-17T00:00:00"/>
        <d v="2021-12-02T00:00:00"/>
        <d v="2024-07-18T00:00:00"/>
        <d v="2023-08-03T00:00:00"/>
        <d v="2018-06-29T00:00:00"/>
        <d v="2019-06-14T00:00:00"/>
        <d v="2019-01-15T00:00:00"/>
        <d v="2023-07-04T00:00:00"/>
        <d v="2023-10-01T00:00:00"/>
        <d v="2024-11-19T00:00:00"/>
        <d v="2018-12-01T00:00:00"/>
        <d v="2020-05-14T00:00:00"/>
        <d v="2023-02-28T00:00:00"/>
        <d v="2025-04-10T00:00:00"/>
        <d v="2019-11-12T00:00:00"/>
        <d v="2022-05-24T00:00:00"/>
        <d v="2021-04-06T00:00:00"/>
        <d v="2020-08-07T00:00:00"/>
        <d v="2023-04-23T00:00:00"/>
        <d v="2020-06-18T00:00:00"/>
        <d v="2022-05-18T00:00:00"/>
        <d v="2023-07-16T00:00:00"/>
        <d v="2018-05-11T00:00:00"/>
        <d v="2021-10-25T00:00:00"/>
        <d v="2025-12-03T00:00:00"/>
        <d v="2022-12-04T00:00:00"/>
        <d v="2022-10-23T00:00:00"/>
        <d v="2018-09-09T00:00:00"/>
        <d v="2021-04-26T00:00:00"/>
        <d v="2023-12-02T00:00:00"/>
        <d v="2025-10-27T00:00:00"/>
        <d v="2023-11-02T00:00:00"/>
        <d v="2018-04-06T00:00:00"/>
        <d v="2018-11-16T00:00:00"/>
        <d v="2025-09-23T00:00:00"/>
        <d v="2023-06-09T00:00:00"/>
        <d v="2019-10-05T00:00:00"/>
        <d v="2025-01-03T00:00:00"/>
        <d v="2020-01-07T00:00:00"/>
        <d v="2022-07-04T00:00:00"/>
        <d v="2022-04-14T00:00:00"/>
        <d v="2022-07-27T00:00:00"/>
        <d v="2022-05-17T00:00:00"/>
        <d v="2020-08-26T00:00:00"/>
        <d v="2022-07-26T00:00:00"/>
        <d v="2021-06-01T00:00:00"/>
        <d v="2022-03-10T00:00:00"/>
        <d v="2018-01-05T00:00:00"/>
        <d v="2021-01-24T00:00:00"/>
        <d v="2024-11-05T00:00:00"/>
        <d v="2021-01-23T00:00:00"/>
        <d v="2018-01-18T00:00:00"/>
        <d v="2019-12-27T00:00:00"/>
        <d v="2021-02-25T00:00:00"/>
        <d v="2018-09-24T00:00:00"/>
        <d v="2024-11-21T00:00:00"/>
        <d v="2022-11-07T00:00:00"/>
        <d v="2020-07-08T00:00:00"/>
        <d v="2020-07-13T00:00:00"/>
        <d v="2025-01-08T00:00:00"/>
        <d v="2020-10-22T00:00:00"/>
        <d v="2019-01-27T00:00:00"/>
        <d v="2019-06-07T00:00:00"/>
        <d v="2024-08-25T00:00:00"/>
        <d v="2020-02-01T00:00:00"/>
        <d v="2019-08-27T00:00:00"/>
        <d v="2018-08-23T00:00:00"/>
        <d v="2025-06-28T00:00:00"/>
        <d v="2024-12-30T00:00:00"/>
        <d v="2018-02-10T00:00:00"/>
        <d v="2018-03-27T00:00:00"/>
        <d v="2021-06-03T00:00:00"/>
        <d v="2018-09-25T00:00:00"/>
        <d v="2018-07-09T00:00:00"/>
        <d v="2018-08-07T00:00:00"/>
        <d v="2018-11-30T00:00:00"/>
        <d v="2022-03-13T00:00:00"/>
        <d v="2022-06-10T00:00:00"/>
        <d v="2018-12-11T00:00:00"/>
        <d v="2022-02-14T00:00:00"/>
        <d v="2022-01-10T00:00:00"/>
        <d v="2019-05-01T00:00:00"/>
        <d v="2020-02-20T00:00:00"/>
        <d v="2019-09-04T00:00:00"/>
        <d v="2024-03-13T00:00:00"/>
        <d v="2024-05-16T00:00:00"/>
        <d v="2018-09-18T00:00:00"/>
        <d v="2019-03-04T00:00:00"/>
        <d v="2018-10-12T00:00:00"/>
        <d v="2022-02-18T00:00:00"/>
        <d v="2022-12-31T00:00:00"/>
        <d v="2022-08-28T00:00:00"/>
        <d v="2025-11-01T00:00:00"/>
        <d v="2023-07-15T00:00:00"/>
        <d v="2022-08-07T00:00:00"/>
        <d v="2021-02-17T00:00:00"/>
        <d v="2019-11-21T00:00:00"/>
        <d v="2022-05-19T00:00:00"/>
        <d v="2022-03-15T00:00:00"/>
        <d v="2025-08-17T00:00:00"/>
        <d v="2022-10-19T00:00:00"/>
        <d v="2018-09-28T00:00:00"/>
        <d v="2021-05-20T00:00:00"/>
        <d v="2019-12-04T00:00:00"/>
        <d v="2022-04-16T00:00:00"/>
        <d v="2021-06-19T00:00:00"/>
        <d v="2025-03-14T00:00:00"/>
        <d v="2023-11-04T00:00:00"/>
        <d v="2021-11-04T00:00:00"/>
        <d v="2021-08-10T00:00:00"/>
        <d v="2019-05-30T00:00:00"/>
        <d v="2024-10-17T00:00:00"/>
        <d v="2022-06-20T00:00:00"/>
        <d v="2024-03-14T00:00:00"/>
        <d v="2018-10-22T00:00:00"/>
        <d v="2022-04-26T00:00:00"/>
        <d v="2023-09-19T00:00:00"/>
        <d v="2020-11-07T00:00:00"/>
        <d v="2025-12-02T00:00:00"/>
        <d v="2020-11-01T00:00:00"/>
        <d v="2018-12-31T00:00:00"/>
        <d v="2023-07-08T00:00:00"/>
        <d v="2020-04-03T00:00:00"/>
        <d v="2025-02-19T00:00:00"/>
        <d v="2023-06-14T00:00:00"/>
        <d v="2020-09-08T00:00:00"/>
        <d v="2023-12-14T00:00:00"/>
        <d v="2025-02-26T00:00:00"/>
        <d v="2025-08-08T00:00:00"/>
        <d v="2025-05-20T00:00:00"/>
        <d v="2023-08-29T00:00:00"/>
        <d v="2019-04-19T00:00:00"/>
        <d v="2019-03-09T00:00:00"/>
        <d v="2020-06-21T00:00:00"/>
        <d v="2019-01-06T00:00:00"/>
        <d v="2022-03-25T00:00:00"/>
        <d v="2020-07-04T00:00:00"/>
        <d v="2024-06-04T00:00:00"/>
        <d v="2025-11-08T00:00:00"/>
        <d v="2018-03-30T00:00:00"/>
        <d v="2024-06-15T00:00:00"/>
        <d v="2020-01-06T00:00:00"/>
        <d v="2023-03-15T00:00:00"/>
        <d v="2018-12-05T00:00:00"/>
        <d v="2025-04-23T00:00:00"/>
        <d v="2021-07-11T00:00:00"/>
        <d v="2022-01-29T00:00:00"/>
        <d v="2023-10-29T00:00:00"/>
        <d v="2021-12-13T00:00:00"/>
        <d v="2020-02-10T00:00:00"/>
        <d v="2024-03-02T00:00:00"/>
        <d v="2024-01-05T00:00:00"/>
        <d v="2022-04-02T00:00:00"/>
        <d v="2021-09-28T00:00:00"/>
        <d v="2019-03-07T00:00:00"/>
        <d v="2020-01-11T00:00:00"/>
        <d v="2020-12-31T00:00:00"/>
        <d v="2021-06-04T00:00:00"/>
        <d v="2020-09-10T00:00:00"/>
        <d v="2022-10-03T00:00:00"/>
        <d v="2022-10-07T00:00:00"/>
        <d v="2020-07-10T00:00:00"/>
        <d v="2019-04-09T00:00:00"/>
        <d v="2022-06-01T00:00:00"/>
        <d v="2023-07-09T00:00:00"/>
        <d v="2020-07-15T00:00:00"/>
        <d v="2025-05-12T00:00:00"/>
        <d v="2019-03-30T00:00:00"/>
        <d v="2025-06-17T00:00:00"/>
        <d v="2022-06-26T00:00:00"/>
        <d v="2023-08-11T00:00:00"/>
        <d v="2025-11-11T00:00:00"/>
        <d v="2020-02-12T00:00:00"/>
        <d v="2021-01-26T00:00:00"/>
        <d v="2023-11-21T00:00:00"/>
        <d v="2019-03-27T00:00:00"/>
        <d v="2020-05-18T00:00:00"/>
        <d v="2020-09-02T00:00:00"/>
        <d v="2024-12-10T00:00:00"/>
        <d v="2020-10-31T00:00:00"/>
        <d v="2018-10-05T00:00:00"/>
        <d v="2018-11-04T00:00:00"/>
        <d v="2020-06-11T00:00:00"/>
        <d v="2024-03-11T00:00:00"/>
        <d v="2021-01-12T00:00:00"/>
        <d v="2018-01-06T00:00:00"/>
        <d v="2021-08-22T00:00:00"/>
        <d v="2025-05-16T00:00:00"/>
        <d v="2025-01-09T00:00:00"/>
        <d v="2025-01-23T00:00:00"/>
        <d v="2023-07-25T00:00:00"/>
        <d v="2019-12-29T00:00:00"/>
        <d v="2019-02-15T00:00:00"/>
        <d v="2018-03-26T00:00:00"/>
        <d v="2019-07-25T00:00:00"/>
        <d v="2018-08-17T00:00:00"/>
        <d v="2021-12-18T00:00:00"/>
        <d v="2019-02-21T00:00:00"/>
        <d v="2018-01-09T00:00:00"/>
        <d v="2023-07-18T00:00:00"/>
        <d v="2023-11-29T00:00:00"/>
        <d v="2022-01-24T00:00:00"/>
        <d v="2021-04-22T00:00:00"/>
        <d v="2022-03-27T00:00:00"/>
        <d v="2018-05-04T00:00:00"/>
        <d v="2023-12-01T00:00:00"/>
        <d v="2021-03-20T00:00:00"/>
        <d v="2025-08-16T00:00:00"/>
        <d v="2020-07-20T00:00:00"/>
        <d v="2025-04-27T00:00:00"/>
        <d v="2020-02-08T00:00:00"/>
        <d v="2018-07-16T00:00:00"/>
        <d v="2024-08-02T00:00:00"/>
        <d v="2018-11-19T00:00:00"/>
        <d v="2023-08-17T00:00:00"/>
        <d v="2022-01-15T00:00:00"/>
        <d v="2022-12-16T00:00:00"/>
        <d v="2023-02-16T00:00:00"/>
      </sharedItems>
      <fieldGroup par="14"/>
    </cacheField>
    <cacheField name="Exit Date" numFmtId="164">
      <sharedItems containsNonDate="0" containsDate="1" containsString="0" containsBlank="1" minDate="2018-06-07T00:00:00" maxDate="2026-06-07T00:00:00" count="384">
        <d v="2025-02-14T00:00:00"/>
        <d v="2025-07-21T00:00:00"/>
        <m/>
        <d v="2026-02-02T00:00:00"/>
        <d v="2023-12-06T00:00:00"/>
        <d v="2022-08-13T00:00:00"/>
        <d v="2024-10-23T00:00:00"/>
        <d v="2025-08-07T00:00:00"/>
        <d v="2022-12-03T00:00:00"/>
        <d v="2024-01-16T00:00:00"/>
        <d v="2019-07-06T00:00:00"/>
        <d v="2024-06-21T00:00:00"/>
        <d v="2022-06-04T00:00:00"/>
        <d v="2025-08-17T00:00:00"/>
        <d v="2021-08-28T00:00:00"/>
        <d v="2021-10-04T00:00:00"/>
        <d v="2025-12-28T00:00:00"/>
        <d v="2020-03-16T00:00:00"/>
        <d v="2021-03-04T00:00:00"/>
        <d v="2023-08-29T00:00:00"/>
        <d v="2025-03-03T00:00:00"/>
        <d v="2022-11-30T00:00:00"/>
        <d v="2024-12-07T00:00:00"/>
        <d v="2024-11-02T00:00:00"/>
        <d v="2025-12-20T00:00:00"/>
        <d v="2022-09-01T00:00:00"/>
        <d v="2026-04-24T00:00:00"/>
        <d v="2024-07-14T00:00:00"/>
        <d v="2025-08-04T00:00:00"/>
        <d v="2026-06-02T00:00:00"/>
        <d v="2026-01-20T00:00:00"/>
        <d v="2025-07-30T00:00:00"/>
        <d v="2023-11-03T00:00:00"/>
        <d v="2025-01-05T00:00:00"/>
        <d v="2022-12-28T00:00:00"/>
        <d v="2025-03-21T00:00:00"/>
        <d v="2023-12-20T00:00:00"/>
        <d v="2023-01-17T00:00:00"/>
        <d v="2026-03-10T00:00:00"/>
        <d v="2023-02-16T00:00:00"/>
        <d v="2022-06-30T00:00:00"/>
        <d v="2019-07-03T00:00:00"/>
        <d v="2022-07-28T00:00:00"/>
        <d v="2020-04-17T00:00:00"/>
        <d v="2020-03-05T00:00:00"/>
        <d v="2024-01-15T00:00:00"/>
        <d v="2023-12-14T00:00:00"/>
        <d v="2026-03-14T00:00:00"/>
        <d v="2026-03-04T00:00:00"/>
        <d v="2024-07-24T00:00:00"/>
        <d v="2026-02-27T00:00:00"/>
        <d v="2021-01-25T00:00:00"/>
        <d v="2022-11-14T00:00:00"/>
        <d v="2021-01-29T00:00:00"/>
        <d v="2022-08-18T00:00:00"/>
        <d v="2024-06-18T00:00:00"/>
        <d v="2025-03-06T00:00:00"/>
        <d v="2023-09-25T00:00:00"/>
        <d v="2026-02-11T00:00:00"/>
        <d v="2026-05-23T00:00:00"/>
        <d v="2023-07-29T00:00:00"/>
        <d v="2022-05-01T00:00:00"/>
        <d v="2025-11-24T00:00:00"/>
        <d v="2023-11-30T00:00:00"/>
        <d v="2026-03-17T00:00:00"/>
        <d v="2024-01-31T00:00:00"/>
        <d v="2025-05-26T00:00:00"/>
        <d v="2024-05-24T00:00:00"/>
        <d v="2024-03-27T00:00:00"/>
        <d v="2024-08-10T00:00:00"/>
        <d v="2023-07-16T00:00:00"/>
        <d v="2024-07-04T00:00:00"/>
        <d v="2024-08-17T00:00:00"/>
        <d v="2023-08-18T00:00:00"/>
        <d v="2025-10-23T00:00:00"/>
        <d v="2025-05-04T00:00:00"/>
        <d v="2025-03-15T00:00:00"/>
        <d v="2022-08-15T00:00:00"/>
        <d v="2023-01-09T00:00:00"/>
        <d v="2022-02-15T00:00:00"/>
        <d v="2024-10-17T00:00:00"/>
        <d v="2023-02-14T00:00:00"/>
        <d v="2022-08-24T00:00:00"/>
        <d v="2026-03-26T00:00:00"/>
        <d v="2024-02-03T00:00:00"/>
        <d v="2025-08-12T00:00:00"/>
        <d v="2019-11-14T00:00:00"/>
        <d v="2024-02-16T00:00:00"/>
        <d v="2024-12-28T00:00:00"/>
        <d v="2022-05-28T00:00:00"/>
        <d v="2026-03-12T00:00:00"/>
        <d v="2025-02-27T00:00:00"/>
        <d v="2023-05-10T00:00:00"/>
        <d v="2026-03-03T00:00:00"/>
        <d v="2024-10-20T00:00:00"/>
        <d v="2024-12-15T00:00:00"/>
        <d v="2021-07-05T00:00:00"/>
        <d v="2021-06-30T00:00:00"/>
        <d v="2025-05-22T00:00:00"/>
        <d v="2025-10-01T00:00:00"/>
        <d v="2023-09-08T00:00:00"/>
        <d v="2023-12-30T00:00:00"/>
        <d v="2023-03-19T00:00:00"/>
        <d v="2024-11-19T00:00:00"/>
        <d v="2025-02-26T00:00:00"/>
        <d v="2025-02-01T00:00:00"/>
        <d v="2025-09-21T00:00:00"/>
        <d v="2026-03-23T00:00:00"/>
        <d v="2020-03-18T00:00:00"/>
        <d v="2024-09-14T00:00:00"/>
        <d v="2020-04-16T00:00:00"/>
        <d v="2026-03-31T00:00:00"/>
        <d v="2025-10-25T00:00:00"/>
        <d v="2025-11-12T00:00:00"/>
        <d v="2025-04-11T00:00:00"/>
        <d v="2020-06-20T00:00:00"/>
        <d v="2026-02-09T00:00:00"/>
        <d v="2025-10-14T00:00:00"/>
        <d v="2023-09-23T00:00:00"/>
        <d v="2020-03-14T00:00:00"/>
        <d v="2022-03-16T00:00:00"/>
        <d v="2022-10-04T00:00:00"/>
        <d v="2026-03-15T00:00:00"/>
        <d v="2021-10-19T00:00:00"/>
        <d v="2025-05-08T00:00:00"/>
        <d v="2024-08-31T00:00:00"/>
        <d v="2021-11-20T00:00:00"/>
        <d v="2025-02-17T00:00:00"/>
        <d v="2023-04-14T00:00:00"/>
        <d v="2024-03-15T00:00:00"/>
        <d v="2023-05-30T00:00:00"/>
        <d v="2022-09-30T00:00:00"/>
        <d v="2022-09-27T00:00:00"/>
        <d v="2023-10-15T00:00:00"/>
        <d v="2022-09-14T00:00:00"/>
        <d v="2025-02-08T00:00:00"/>
        <d v="2023-04-15T00:00:00"/>
        <d v="2026-05-17T00:00:00"/>
        <d v="2025-02-03T00:00:00"/>
        <d v="2024-08-12T00:00:00"/>
        <d v="2024-08-06T00:00:00"/>
        <d v="2020-01-09T00:00:00"/>
        <d v="2026-04-28T00:00:00"/>
        <d v="2025-10-08T00:00:00"/>
        <d v="2024-08-30T00:00:00"/>
        <d v="2021-04-29T00:00:00"/>
        <d v="2026-02-23T00:00:00"/>
        <d v="2026-03-11T00:00:00"/>
        <d v="2024-03-07T00:00:00"/>
        <d v="2026-05-26T00:00:00"/>
        <d v="2025-11-06T00:00:00"/>
        <d v="2025-12-27T00:00:00"/>
        <d v="2025-03-31T00:00:00"/>
        <d v="2022-03-08T00:00:00"/>
        <d v="2023-11-24T00:00:00"/>
        <d v="2024-11-18T00:00:00"/>
        <d v="2020-07-24T00:00:00"/>
        <d v="2026-05-11T00:00:00"/>
        <d v="2024-05-21T00:00:00"/>
        <d v="2021-11-05T00:00:00"/>
        <d v="2020-01-22T00:00:00"/>
        <d v="2023-02-17T00:00:00"/>
        <d v="2026-01-23T00:00:00"/>
        <d v="2022-06-25T00:00:00"/>
        <d v="2026-02-20T00:00:00"/>
        <d v="2026-02-10T00:00:00"/>
        <d v="2026-04-06T00:00:00"/>
        <d v="2023-04-18T00:00:00"/>
        <d v="2025-12-14T00:00:00"/>
        <d v="2024-08-27T00:00:00"/>
        <d v="2024-04-25T00:00:00"/>
        <d v="2021-03-23T00:00:00"/>
        <d v="2025-01-06T00:00:00"/>
        <d v="2023-01-21T00:00:00"/>
        <d v="2025-12-04T00:00:00"/>
        <d v="2026-05-06T00:00:00"/>
        <d v="2022-10-03T00:00:00"/>
        <d v="2025-09-13T00:00:00"/>
        <d v="2025-09-02T00:00:00"/>
        <d v="2020-07-14T00:00:00"/>
        <d v="2025-12-22T00:00:00"/>
        <d v="2024-02-01T00:00:00"/>
        <d v="2026-06-05T00:00:00"/>
        <d v="2022-11-10T00:00:00"/>
        <d v="2023-09-12T00:00:00"/>
        <d v="2026-04-10T00:00:00"/>
        <d v="2023-11-02T00:00:00"/>
        <d v="2024-11-21T00:00:00"/>
        <d v="2024-01-07T00:00:00"/>
        <d v="2021-09-10T00:00:00"/>
        <d v="2023-04-21T00:00:00"/>
        <d v="2025-11-07T00:00:00"/>
        <d v="2025-02-06T00:00:00"/>
        <d v="2025-07-19T00:00:00"/>
        <d v="2025-06-02T00:00:00"/>
        <d v="2023-04-11T00:00:00"/>
        <d v="2024-05-19T00:00:00"/>
        <d v="2020-08-22T00:00:00"/>
        <d v="2025-11-20T00:00:00"/>
        <d v="2021-10-12T00:00:00"/>
        <d v="2022-05-10T00:00:00"/>
        <d v="2022-11-22T00:00:00"/>
        <d v="2026-05-21T00:00:00"/>
        <d v="2022-08-07T00:00:00"/>
        <d v="2020-05-20T00:00:00"/>
        <d v="2025-02-12T00:00:00"/>
        <d v="2024-01-02T00:00:00"/>
        <d v="2023-11-21T00:00:00"/>
        <d v="2025-05-12T00:00:00"/>
        <d v="2023-10-16T00:00:00"/>
        <d v="2025-06-21T00:00:00"/>
        <d v="2022-05-26T00:00:00"/>
        <d v="2025-10-22T00:00:00"/>
        <d v="2026-06-06T00:00:00"/>
        <d v="2024-08-22T00:00:00"/>
        <d v="2025-06-19T00:00:00"/>
        <d v="2025-02-28T00:00:00"/>
        <d v="2025-06-14T00:00:00"/>
        <d v="2022-03-28T00:00:00"/>
        <d v="2025-10-29T00:00:00"/>
        <d v="2020-09-07T00:00:00"/>
        <d v="2021-02-19T00:00:00"/>
        <d v="2022-01-20T00:00:00"/>
        <d v="2025-11-15T00:00:00"/>
        <d v="2025-04-10T00:00:00"/>
        <d v="2023-06-14T00:00:00"/>
        <d v="2025-07-13T00:00:00"/>
        <d v="2024-12-09T00:00:00"/>
        <d v="2025-09-03T00:00:00"/>
        <d v="2025-09-28T00:00:00"/>
        <d v="2026-01-07T00:00:00"/>
        <d v="2023-11-10T00:00:00"/>
        <d v="2023-08-08T00:00:00"/>
        <d v="2024-10-24T00:00:00"/>
        <d v="2025-05-21T00:00:00"/>
        <d v="2025-06-10T00:00:00"/>
        <d v="2025-01-04T00:00:00"/>
        <d v="2023-04-23T00:00:00"/>
        <d v="2026-01-02T00:00:00"/>
        <d v="2021-07-23T00:00:00"/>
        <d v="2025-06-22T00:00:00"/>
        <d v="2025-08-21T00:00:00"/>
        <d v="2022-06-13T00:00:00"/>
        <d v="2020-07-15T00:00:00"/>
        <d v="2023-12-17T00:00:00"/>
        <d v="2026-02-04T00:00:00"/>
        <d v="2025-09-14T00:00:00"/>
        <d v="2019-04-27T00:00:00"/>
        <d v="2023-12-21T00:00:00"/>
        <d v="2025-11-22T00:00:00"/>
        <d v="2026-04-22T00:00:00"/>
        <d v="2024-04-10T00:00:00"/>
        <d v="2025-03-02T00:00:00"/>
        <d v="2025-05-24T00:00:00"/>
        <d v="2021-10-02T00:00:00"/>
        <d v="2022-04-26T00:00:00"/>
        <d v="2024-04-19T00:00:00"/>
        <d v="2025-11-30T00:00:00"/>
        <d v="2025-01-28T00:00:00"/>
        <d v="2025-12-06T00:00:00"/>
        <d v="2025-10-12T00:00:00"/>
        <d v="2025-07-14T00:00:00"/>
        <d v="2025-06-26T00:00:00"/>
        <d v="2026-05-18T00:00:00"/>
        <d v="2024-01-27T00:00:00"/>
        <d v="2019-08-27T00:00:00"/>
        <d v="2024-02-14T00:00:00"/>
        <d v="2025-11-13T00:00:00"/>
        <d v="2024-04-12T00:00:00"/>
        <d v="2021-03-16T00:00:00"/>
        <d v="2026-01-09T00:00:00"/>
        <d v="2024-02-12T00:00:00"/>
        <d v="2021-08-05T00:00:00"/>
        <d v="2023-08-22T00:00:00"/>
        <d v="2020-05-11T00:00:00"/>
        <d v="2026-05-09T00:00:00"/>
        <d v="2019-07-11T00:00:00"/>
        <d v="2023-09-24T00:00:00"/>
        <d v="2024-06-10T00:00:00"/>
        <d v="2025-12-19T00:00:00"/>
        <d v="2026-03-21T00:00:00"/>
        <d v="2020-12-27T00:00:00"/>
        <d v="2024-07-03T00:00:00"/>
        <d v="2022-12-10T00:00:00"/>
        <d v="2023-10-04T00:00:00"/>
        <d v="2020-03-29T00:00:00"/>
        <d v="2025-03-30T00:00:00"/>
        <d v="2026-01-05T00:00:00"/>
        <d v="2025-03-12T00:00:00"/>
        <d v="2022-02-03T00:00:00"/>
        <d v="2023-07-10T00:00:00"/>
        <d v="2022-05-25T00:00:00"/>
        <d v="2025-11-09T00:00:00"/>
        <d v="2022-09-07T00:00:00"/>
        <d v="2023-10-01T00:00:00"/>
        <d v="2025-07-01T00:00:00"/>
        <d v="2024-05-15T00:00:00"/>
        <d v="2024-11-05T00:00:00"/>
        <d v="2023-11-09T00:00:00"/>
        <d v="2023-04-07T00:00:00"/>
        <d v="2026-05-08T00:00:00"/>
        <d v="2021-05-29T00:00:00"/>
        <d v="2025-11-14T00:00:00"/>
        <d v="2026-01-19T00:00:00"/>
        <d v="2023-08-21T00:00:00"/>
        <d v="2022-05-09T00:00:00"/>
        <d v="2024-09-07T00:00:00"/>
        <d v="2025-06-04T00:00:00"/>
        <d v="2019-10-17T00:00:00"/>
        <d v="2023-03-04T00:00:00"/>
        <d v="2023-06-02T00:00:00"/>
        <d v="2022-12-22T00:00:00"/>
        <d v="2019-07-17T00:00:00"/>
        <d v="2023-02-10T00:00:00"/>
        <d v="2025-01-29T00:00:00"/>
        <d v="2024-04-30T00:00:00"/>
        <d v="2021-07-13T00:00:00"/>
        <d v="2025-12-02T00:00:00"/>
        <d v="2023-09-16T00:00:00"/>
        <d v="2024-08-19T00:00:00"/>
        <d v="2025-01-20T00:00:00"/>
        <d v="2020-10-28T00:00:00"/>
        <d v="2019-07-02T00:00:00"/>
        <d v="2025-08-13T00:00:00"/>
        <d v="2025-12-01T00:00:00"/>
        <d v="2018-09-10T00:00:00"/>
        <d v="2026-05-25T00:00:00"/>
        <d v="2020-06-11T00:00:00"/>
        <d v="2025-01-25T00:00:00"/>
        <d v="2023-02-18T00:00:00"/>
        <d v="2020-01-02T00:00:00"/>
        <d v="2025-06-25T00:00:00"/>
        <d v="2026-05-14T00:00:00"/>
        <d v="2024-10-04T00:00:00"/>
        <d v="2020-04-04T00:00:00"/>
        <d v="2024-03-29T00:00:00"/>
        <d v="2021-03-26T00:00:00"/>
        <d v="2024-02-11T00:00:00"/>
        <d v="2026-04-14T00:00:00"/>
        <d v="2025-02-10T00:00:00"/>
        <d v="2025-05-20T00:00:00"/>
        <d v="2021-12-12T00:00:00"/>
        <d v="2025-11-03T00:00:00"/>
        <d v="2025-05-09T00:00:00"/>
        <d v="2025-08-18T00:00:00"/>
        <d v="2024-05-04T00:00:00"/>
        <d v="2023-02-08T00:00:00"/>
        <d v="2023-12-16T00:00:00"/>
        <d v="2022-07-20T00:00:00"/>
        <d v="2025-10-17T00:00:00"/>
        <d v="2018-06-07T00:00:00"/>
        <d v="2025-04-19T00:00:00"/>
        <d v="2024-01-06T00:00:00"/>
        <d v="2025-01-16T00:00:00"/>
        <d v="2024-11-07T00:00:00"/>
        <d v="2019-12-11T00:00:00"/>
        <d v="2025-02-11T00:00:00"/>
        <d v="2022-05-06T00:00:00"/>
        <d v="2024-11-20T00:00:00"/>
        <d v="2025-11-05T00:00:00"/>
        <d v="2022-06-29T00:00:00"/>
        <d v="2022-10-08T00:00:00"/>
        <d v="2026-01-08T00:00:00"/>
        <d v="2025-11-18T00:00:00"/>
        <d v="2024-10-15T00:00:00"/>
        <d v="2025-04-24T00:00:00"/>
        <d v="2024-10-25T00:00:00"/>
        <d v="2019-12-09T00:00:00"/>
        <d v="2025-10-09T00:00:00"/>
        <d v="2025-11-28T00:00:00"/>
        <d v="2022-08-17T00:00:00"/>
        <d v="2023-10-07T00:00:00"/>
        <d v="2026-02-19T00:00:00"/>
        <d v="2026-03-16T00:00:00"/>
        <d v="2024-09-01T00:00:00"/>
        <d v="2024-10-19T00:00:00"/>
        <d v="2025-01-24T00:00:00"/>
        <d v="2024-04-29T00:00:00"/>
        <d v="2018-08-18T00:00:00"/>
        <d v="2023-10-17T00:00:00"/>
        <d v="2020-03-02T00:00:00"/>
        <d v="2021-10-18T00:00:00"/>
        <d v="2023-03-07T00:00:00"/>
        <d v="2022-03-31T00:00:00"/>
      </sharedItems>
      <fieldGroup par="17"/>
    </cacheField>
    <cacheField name="Exit Reason" numFmtId="0">
      <sharedItems containsBlank="1" count="10">
        <s v="Better Opportunity"/>
        <s v="Personal Reasons"/>
        <s v=""/>
        <s v="Resignation"/>
        <s v="Contract End"/>
        <s v="Termination"/>
        <s v="Retirement"/>
        <s v="Relocation"/>
        <s v="Health Issues"/>
        <m/>
      </sharedItems>
    </cacheField>
    <cacheField name="Status" numFmtId="0">
      <sharedItems count="2">
        <s v="Exited"/>
        <s v="Active"/>
      </sharedItems>
    </cacheField>
    <cacheField name="Tenure (days)" numFmtId="0">
      <sharedItems containsSemiMixedTypes="0" containsString="0" containsNumber="1" containsInteger="1" minValue="92" maxValue="3087"/>
    </cacheField>
    <cacheField name="Tenure (years)" numFmtId="0">
      <sharedItems containsSemiMixedTypes="0" containsString="0" containsNumber="1" containsInteger="1" minValue="0" maxValue="8" count="9">
        <n v="4"/>
        <n v="0"/>
        <n v="5"/>
        <n v="7"/>
        <n v="3"/>
        <n v="1"/>
        <n v="6"/>
        <n v="2"/>
        <n v="8"/>
      </sharedItems>
    </cacheField>
    <cacheField name="Months (Join Date)" numFmtId="0" databaseField="0">
      <fieldGroup base="6">
        <rangePr groupBy="months" startDate="2018-01-05T00:00:00" endDate="2025-12-11T00:00:00"/>
        <groupItems count="14">
          <s v="&lt;05/01/2018"/>
          <s v="Jan"/>
          <s v="Feb"/>
          <s v="Mar"/>
          <s v="Apr"/>
          <s v="May"/>
          <s v="Jun"/>
          <s v="Jul"/>
          <s v="Aug"/>
          <s v="Sep"/>
          <s v="Oct"/>
          <s v="Nov"/>
          <s v="Dec"/>
          <s v="&gt;11/12/2025"/>
        </groupItems>
      </fieldGroup>
    </cacheField>
    <cacheField name="Quarters (Join Date)" numFmtId="0" databaseField="0">
      <fieldGroup base="6">
        <rangePr groupBy="quarters" startDate="2018-01-05T00:00:00" endDate="2025-12-11T00:00:00"/>
        <groupItems count="6">
          <s v="&lt;05/01/2018"/>
          <s v="Qtr1"/>
          <s v="Qtr2"/>
          <s v="Qtr3"/>
          <s v="Qtr4"/>
          <s v="&gt;11/12/2025"/>
        </groupItems>
      </fieldGroup>
    </cacheField>
    <cacheField name="Years (Join Date)" numFmtId="0" databaseField="0">
      <fieldGroup base="6">
        <rangePr groupBy="years" startDate="2018-01-05T00:00:00" endDate="2025-12-11T00:00:00"/>
        <groupItems count="10">
          <s v="&lt;05/01/2018"/>
          <s v="2018"/>
          <s v="2019"/>
          <s v="2020"/>
          <s v="2021"/>
          <s v="2022"/>
          <s v="2023"/>
          <s v="2024"/>
          <s v="2025"/>
          <s v="&gt;11/12/2025"/>
        </groupItems>
      </fieldGroup>
    </cacheField>
    <cacheField name="Months (Exit Date)" numFmtId="0" databaseField="0">
      <fieldGroup base="7">
        <rangePr groupBy="months" startDate="2018-06-07T00:00:00" endDate="2026-06-07T00:00:00"/>
        <groupItems count="14">
          <s v="&lt;07/06/2018"/>
          <s v="Jan"/>
          <s v="Feb"/>
          <s v="Mar"/>
          <s v="Apr"/>
          <s v="May"/>
          <s v="Jun"/>
          <s v="Jul"/>
          <s v="Aug"/>
          <s v="Sep"/>
          <s v="Oct"/>
          <s v="Nov"/>
          <s v="Dec"/>
          <s v="&gt;07/06/2026"/>
        </groupItems>
      </fieldGroup>
    </cacheField>
    <cacheField name="Quarters (Exit Date)" numFmtId="0" databaseField="0">
      <fieldGroup base="7">
        <rangePr groupBy="quarters" startDate="2018-06-07T00:00:00" endDate="2026-06-07T00:00:00"/>
        <groupItems count="6">
          <s v="&lt;07/06/2018"/>
          <s v="Qtr1"/>
          <s v="Qtr2"/>
          <s v="Qtr3"/>
          <s v="Qtr4"/>
          <s v="&gt;07/06/2026"/>
        </groupItems>
      </fieldGroup>
    </cacheField>
    <cacheField name="Years (Exit Date)" numFmtId="0" databaseField="0">
      <fieldGroup base="7">
        <rangePr groupBy="years" startDate="2018-06-07T00:00:00" endDate="2026-06-07T00:00:00"/>
        <groupItems count="11">
          <s v="&lt;07/06/2018"/>
          <s v="2018"/>
          <s v="2019"/>
          <s v="2020"/>
          <s v="2021"/>
          <s v="2022"/>
          <s v="2023"/>
          <s v="2024"/>
          <s v="2025"/>
          <s v="2026"/>
          <s v="&gt;07/06/2026"/>
        </groupItems>
      </fieldGroup>
    </cacheField>
  </cacheFields>
  <extLst>
    <ext xmlns:x14="http://schemas.microsoft.com/office/spreadsheetml/2009/9/main" uri="{725AE2AE-9491-48be-B2B4-4EB974FC3084}">
      <x14:pivotCacheDefinition pivotCacheId="9512815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1">
  <r>
    <n v="1001"/>
    <s v="Paz Cruz Dela Cruz"/>
    <x v="0"/>
    <s v="Female"/>
    <n v="38"/>
    <x v="0"/>
    <x v="0"/>
    <x v="0"/>
    <x v="0"/>
    <x v="0"/>
    <n v="1598"/>
    <x v="0"/>
  </r>
  <r>
    <n v="1002"/>
    <s v="Paz Aguilar Camacho"/>
    <x v="1"/>
    <s v="Female"/>
    <n v="53"/>
    <x v="1"/>
    <x v="1"/>
    <x v="1"/>
    <x v="1"/>
    <x v="0"/>
    <n v="293"/>
    <x v="1"/>
  </r>
  <r>
    <n v="1003"/>
    <s v="Celine Diaz Domingo"/>
    <x v="2"/>
    <s v="Female"/>
    <n v="31"/>
    <x v="0"/>
    <x v="2"/>
    <x v="2"/>
    <x v="2"/>
    <x v="1"/>
    <n v="232"/>
    <x v="1"/>
  </r>
  <r>
    <n v="1004"/>
    <s v="Eduardo Torres Dela Torre"/>
    <x v="1"/>
    <s v="Male"/>
    <n v="43"/>
    <x v="2"/>
    <x v="3"/>
    <x v="2"/>
    <x v="2"/>
    <x v="1"/>
    <n v="1683"/>
    <x v="0"/>
  </r>
  <r>
    <n v="1005"/>
    <s v="Jerome Ocampo Macapagal"/>
    <x v="3"/>
    <s v="Male"/>
    <n v="56"/>
    <x v="1"/>
    <x v="4"/>
    <x v="2"/>
    <x v="2"/>
    <x v="1"/>
    <n v="1891"/>
    <x v="2"/>
  </r>
  <r>
    <n v="1006"/>
    <s v="Lourdes Santiago Panganiban"/>
    <x v="1"/>
    <s v="Female"/>
    <n v="39"/>
    <x v="0"/>
    <x v="5"/>
    <x v="2"/>
    <x v="2"/>
    <x v="1"/>
    <n v="2765"/>
    <x v="3"/>
  </r>
  <r>
    <n v="1007"/>
    <s v="Manuel Quiambao"/>
    <x v="1"/>
    <s v="Male"/>
    <n v="38"/>
    <x v="0"/>
    <x v="6"/>
    <x v="2"/>
    <x v="2"/>
    <x v="1"/>
    <n v="217"/>
    <x v="1"/>
  </r>
  <r>
    <n v="1008"/>
    <s v="Pacita Bautista Guevarra"/>
    <x v="0"/>
    <s v="Female"/>
    <n v="50"/>
    <x v="1"/>
    <x v="7"/>
    <x v="3"/>
    <x v="1"/>
    <x v="0"/>
    <n v="1400"/>
    <x v="4"/>
  </r>
  <r>
    <n v="1009"/>
    <s v="Tess Ang Miranda"/>
    <x v="1"/>
    <s v="Female"/>
    <n v="41"/>
    <x v="2"/>
    <x v="8"/>
    <x v="4"/>
    <x v="3"/>
    <x v="0"/>
    <n v="522"/>
    <x v="5"/>
  </r>
  <r>
    <n v="1010"/>
    <s v="Gloria Chan"/>
    <x v="4"/>
    <s v="Other"/>
    <n v="50"/>
    <x v="1"/>
    <x v="9"/>
    <x v="5"/>
    <x v="1"/>
    <x v="0"/>
    <n v="1100"/>
    <x v="4"/>
  </r>
  <r>
    <n v="1011"/>
    <s v="Crisanto Bautista Cueto"/>
    <x v="4"/>
    <s v="Male"/>
    <n v="44"/>
    <x v="2"/>
    <x v="10"/>
    <x v="2"/>
    <x v="2"/>
    <x v="1"/>
    <n v="2193"/>
    <x v="6"/>
  </r>
  <r>
    <n v="1012"/>
    <s v="Teresa Go Salazar"/>
    <x v="2"/>
    <s v="Female"/>
    <n v="31"/>
    <x v="0"/>
    <x v="11"/>
    <x v="2"/>
    <x v="2"/>
    <x v="1"/>
    <n v="304"/>
    <x v="1"/>
  </r>
  <r>
    <n v="1013"/>
    <s v="Gloria Wong"/>
    <x v="0"/>
    <s v="Other"/>
    <n v="21"/>
    <x v="3"/>
    <x v="12"/>
    <x v="2"/>
    <x v="2"/>
    <x v="1"/>
    <n v="305"/>
    <x v="1"/>
  </r>
  <r>
    <n v="1014"/>
    <s v="Jacqueline Bagtas"/>
    <x v="4"/>
    <s v="Female"/>
    <n v="31"/>
    <x v="0"/>
    <x v="13"/>
    <x v="6"/>
    <x v="4"/>
    <x v="0"/>
    <n v="629"/>
    <x v="5"/>
  </r>
  <r>
    <n v="1015"/>
    <s v="Paz Elegado"/>
    <x v="2"/>
    <s v="Female"/>
    <n v="53"/>
    <x v="1"/>
    <x v="14"/>
    <x v="7"/>
    <x v="1"/>
    <x v="0"/>
    <n v="281"/>
    <x v="1"/>
  </r>
  <r>
    <n v="1016"/>
    <s v="Christian Garcia Sy"/>
    <x v="0"/>
    <s v="Male"/>
    <n v="28"/>
    <x v="3"/>
    <x v="15"/>
    <x v="2"/>
    <x v="2"/>
    <x v="1"/>
    <n v="1605"/>
    <x v="0"/>
  </r>
  <r>
    <n v="1017"/>
    <s v="Bernardo Lopez Delos Reyes"/>
    <x v="1"/>
    <s v="Male"/>
    <n v="25"/>
    <x v="3"/>
    <x v="16"/>
    <x v="2"/>
    <x v="2"/>
    <x v="1"/>
    <n v="910"/>
    <x v="7"/>
  </r>
  <r>
    <n v="1018"/>
    <s v="Miguel Santiago Miranda"/>
    <x v="4"/>
    <s v="Other"/>
    <n v="48"/>
    <x v="2"/>
    <x v="17"/>
    <x v="2"/>
    <x v="2"/>
    <x v="1"/>
    <n v="2224"/>
    <x v="6"/>
  </r>
  <r>
    <n v="1019"/>
    <s v="Pete Santos Lim"/>
    <x v="4"/>
    <s v="Male"/>
    <n v="28"/>
    <x v="3"/>
    <x v="18"/>
    <x v="8"/>
    <x v="0"/>
    <x v="0"/>
    <n v="782"/>
    <x v="7"/>
  </r>
  <r>
    <n v="1020"/>
    <s v="Francis Aguilar Villanueva"/>
    <x v="1"/>
    <s v="Male"/>
    <n v="35"/>
    <x v="0"/>
    <x v="19"/>
    <x v="2"/>
    <x v="2"/>
    <x v="1"/>
    <n v="2815"/>
    <x v="3"/>
  </r>
  <r>
    <n v="1021"/>
    <s v="Teresita Tuazon"/>
    <x v="5"/>
    <s v="Female"/>
    <n v="29"/>
    <x v="3"/>
    <x v="20"/>
    <x v="2"/>
    <x v="2"/>
    <x v="1"/>
    <n v="753"/>
    <x v="7"/>
  </r>
  <r>
    <n v="1022"/>
    <s v="Fe Mendoza Dela Torre"/>
    <x v="1"/>
    <s v="Female"/>
    <n v="48"/>
    <x v="2"/>
    <x v="21"/>
    <x v="2"/>
    <x v="2"/>
    <x v="1"/>
    <n v="1640"/>
    <x v="0"/>
  </r>
  <r>
    <n v="1023"/>
    <s v="Rosa Mercado Navarro"/>
    <x v="1"/>
    <s v="Other"/>
    <n v="27"/>
    <x v="3"/>
    <x v="22"/>
    <x v="9"/>
    <x v="5"/>
    <x v="0"/>
    <n v="1188"/>
    <x v="4"/>
  </r>
  <r>
    <n v="1024"/>
    <s v="Rosalinda Chan Pascual"/>
    <x v="2"/>
    <s v="Female"/>
    <n v="56"/>
    <x v="1"/>
    <x v="23"/>
    <x v="10"/>
    <x v="4"/>
    <x v="0"/>
    <n v="150"/>
    <x v="1"/>
  </r>
  <r>
    <n v="1025"/>
    <s v="Wilfredo Estrada"/>
    <x v="1"/>
    <s v="Male"/>
    <n v="64"/>
    <x v="4"/>
    <x v="24"/>
    <x v="11"/>
    <x v="6"/>
    <x v="0"/>
    <n v="1689"/>
    <x v="0"/>
  </r>
  <r>
    <n v="1026"/>
    <s v="Lourdes Navarro San Pedro"/>
    <x v="5"/>
    <s v="Other"/>
    <n v="52"/>
    <x v="1"/>
    <x v="25"/>
    <x v="12"/>
    <x v="4"/>
    <x v="0"/>
    <n v="981"/>
    <x v="7"/>
  </r>
  <r>
    <n v="1027"/>
    <s v="Ismael Mercado Aquino"/>
    <x v="1"/>
    <s v="Male"/>
    <n v="53"/>
    <x v="1"/>
    <x v="26"/>
    <x v="13"/>
    <x v="0"/>
    <x v="0"/>
    <n v="610"/>
    <x v="5"/>
  </r>
  <r>
    <n v="1028"/>
    <s v="Jamie Navarro Trinidad"/>
    <x v="4"/>
    <s v="Other"/>
    <n v="57"/>
    <x v="1"/>
    <x v="27"/>
    <x v="2"/>
    <x v="2"/>
    <x v="1"/>
    <n v="2083"/>
    <x v="2"/>
  </r>
  <r>
    <n v="1029"/>
    <s v="Faith Ocampo Roque"/>
    <x v="3"/>
    <s v="Female"/>
    <n v="41"/>
    <x v="2"/>
    <x v="28"/>
    <x v="14"/>
    <x v="7"/>
    <x v="0"/>
    <n v="358"/>
    <x v="1"/>
  </r>
  <r>
    <n v="1030"/>
    <s v="Bernardo Manalang"/>
    <x v="1"/>
    <s v="Male"/>
    <n v="57"/>
    <x v="1"/>
    <x v="29"/>
    <x v="15"/>
    <x v="8"/>
    <x v="0"/>
    <n v="963"/>
    <x v="7"/>
  </r>
  <r>
    <n v="1031"/>
    <s v="Bryan Solis"/>
    <x v="2"/>
    <s v="Male"/>
    <n v="31"/>
    <x v="0"/>
    <x v="30"/>
    <x v="2"/>
    <x v="2"/>
    <x v="1"/>
    <n v="1297"/>
    <x v="4"/>
  </r>
  <r>
    <n v="1032"/>
    <s v="Ronaldo Mendoza Ramirez"/>
    <x v="2"/>
    <s v="Male"/>
    <n v="56"/>
    <x v="1"/>
    <x v="31"/>
    <x v="2"/>
    <x v="2"/>
    <x v="1"/>
    <n v="1865"/>
    <x v="2"/>
  </r>
  <r>
    <n v="1033"/>
    <s v="Abigail Bautista Bagtas"/>
    <x v="5"/>
    <s v="Female"/>
    <n v="39"/>
    <x v="0"/>
    <x v="32"/>
    <x v="16"/>
    <x v="0"/>
    <x v="0"/>
    <n v="441"/>
    <x v="5"/>
  </r>
  <r>
    <n v="1034"/>
    <s v="Teodoro Aguilar"/>
    <x v="1"/>
    <s v="Male"/>
    <n v="38"/>
    <x v="0"/>
    <x v="33"/>
    <x v="17"/>
    <x v="7"/>
    <x v="0"/>
    <n v="625"/>
    <x v="5"/>
  </r>
  <r>
    <n v="1035"/>
    <s v="Kevin Sy Narvasa"/>
    <x v="0"/>
    <s v="Male"/>
    <n v="21"/>
    <x v="3"/>
    <x v="34"/>
    <x v="18"/>
    <x v="8"/>
    <x v="0"/>
    <n v="700"/>
    <x v="5"/>
  </r>
  <r>
    <n v="1036"/>
    <s v="Mylene Jacinto"/>
    <x v="1"/>
    <s v="Female"/>
    <n v="23"/>
    <x v="3"/>
    <x v="35"/>
    <x v="19"/>
    <x v="7"/>
    <x v="0"/>
    <n v="601"/>
    <x v="5"/>
  </r>
  <r>
    <n v="1037"/>
    <s v="Hernando Diaz Bondoc"/>
    <x v="4"/>
    <s v="Male"/>
    <n v="30"/>
    <x v="0"/>
    <x v="36"/>
    <x v="2"/>
    <x v="2"/>
    <x v="1"/>
    <n v="2122"/>
    <x v="2"/>
  </r>
  <r>
    <n v="1038"/>
    <s v="Antonio Go Tuazon"/>
    <x v="2"/>
    <s v="Male"/>
    <n v="36"/>
    <x v="0"/>
    <x v="37"/>
    <x v="20"/>
    <x v="0"/>
    <x v="0"/>
    <n v="1526"/>
    <x v="0"/>
  </r>
  <r>
    <n v="1039"/>
    <s v="Fernando Aquino"/>
    <x v="4"/>
    <s v="Other"/>
    <n v="35"/>
    <x v="0"/>
    <x v="38"/>
    <x v="21"/>
    <x v="5"/>
    <x v="0"/>
    <n v="881"/>
    <x v="7"/>
  </r>
  <r>
    <n v="1040"/>
    <s v="Neil Mangubat"/>
    <x v="4"/>
    <s v="Male"/>
    <n v="46"/>
    <x v="2"/>
    <x v="39"/>
    <x v="2"/>
    <x v="2"/>
    <x v="1"/>
    <n v="308"/>
    <x v="1"/>
  </r>
  <r>
    <n v="1041"/>
    <s v="Roberto Sy Ocampo"/>
    <x v="1"/>
    <s v="Other"/>
    <n v="32"/>
    <x v="0"/>
    <x v="40"/>
    <x v="2"/>
    <x v="2"/>
    <x v="1"/>
    <n v="713"/>
    <x v="5"/>
  </r>
  <r>
    <n v="1042"/>
    <s v="Morgan Salazar"/>
    <x v="4"/>
    <s v="Other"/>
    <n v="48"/>
    <x v="2"/>
    <x v="41"/>
    <x v="2"/>
    <x v="2"/>
    <x v="1"/>
    <n v="608"/>
    <x v="5"/>
  </r>
  <r>
    <n v="1043"/>
    <s v="Olive Guevarra"/>
    <x v="1"/>
    <s v="Female"/>
    <n v="48"/>
    <x v="2"/>
    <x v="42"/>
    <x v="2"/>
    <x v="2"/>
    <x v="1"/>
    <n v="3085"/>
    <x v="8"/>
  </r>
  <r>
    <n v="1044"/>
    <s v="Joselito Obispo"/>
    <x v="5"/>
    <s v="Male"/>
    <n v="44"/>
    <x v="2"/>
    <x v="43"/>
    <x v="22"/>
    <x v="7"/>
    <x v="0"/>
    <n v="766"/>
    <x v="7"/>
  </r>
  <r>
    <n v="1045"/>
    <s v="Pete Rivera Flores"/>
    <x v="0"/>
    <s v="Male"/>
    <n v="41"/>
    <x v="2"/>
    <x v="44"/>
    <x v="2"/>
    <x v="2"/>
    <x v="1"/>
    <n v="1443"/>
    <x v="4"/>
  </r>
  <r>
    <n v="1046"/>
    <s v="Alex Sy Sia"/>
    <x v="5"/>
    <s v="Other"/>
    <n v="57"/>
    <x v="1"/>
    <x v="45"/>
    <x v="2"/>
    <x v="2"/>
    <x v="1"/>
    <n v="1859"/>
    <x v="2"/>
  </r>
  <r>
    <n v="1047"/>
    <s v="Marcelo Lopez Cueto"/>
    <x v="2"/>
    <s v="Male"/>
    <n v="41"/>
    <x v="2"/>
    <x v="46"/>
    <x v="2"/>
    <x v="2"/>
    <x v="1"/>
    <n v="1187"/>
    <x v="4"/>
  </r>
  <r>
    <n v="1048"/>
    <s v="Rosalinda Castro Figueroa"/>
    <x v="5"/>
    <s v="Female"/>
    <n v="42"/>
    <x v="2"/>
    <x v="47"/>
    <x v="2"/>
    <x v="2"/>
    <x v="1"/>
    <n v="2709"/>
    <x v="3"/>
  </r>
  <r>
    <n v="1049"/>
    <s v="Gloria Castro Roque"/>
    <x v="1"/>
    <s v="Female"/>
    <n v="51"/>
    <x v="1"/>
    <x v="48"/>
    <x v="2"/>
    <x v="2"/>
    <x v="1"/>
    <n v="588"/>
    <x v="5"/>
  </r>
  <r>
    <n v="1050"/>
    <s v="Ronaldo Go Estrada"/>
    <x v="5"/>
    <s v="Male"/>
    <n v="46"/>
    <x v="2"/>
    <x v="49"/>
    <x v="23"/>
    <x v="0"/>
    <x v="0"/>
    <n v="1498"/>
    <x v="0"/>
  </r>
  <r>
    <n v="1051"/>
    <s v="Sue Uy Perez"/>
    <x v="1"/>
    <s v="Female"/>
    <n v="28"/>
    <x v="3"/>
    <x v="50"/>
    <x v="24"/>
    <x v="7"/>
    <x v="0"/>
    <n v="1041"/>
    <x v="7"/>
  </r>
  <r>
    <n v="1052"/>
    <s v="Rowena Natividad"/>
    <x v="0"/>
    <s v="Other"/>
    <n v="53"/>
    <x v="1"/>
    <x v="51"/>
    <x v="2"/>
    <x v="2"/>
    <x v="1"/>
    <n v="1344"/>
    <x v="4"/>
  </r>
  <r>
    <n v="1053"/>
    <s v="Vicente Mercado Delmendo"/>
    <x v="5"/>
    <s v="Male"/>
    <n v="37"/>
    <x v="0"/>
    <x v="52"/>
    <x v="2"/>
    <x v="2"/>
    <x v="1"/>
    <n v="2079"/>
    <x v="2"/>
  </r>
  <r>
    <n v="1054"/>
    <s v="Rowena Rivera Ramirez"/>
    <x v="4"/>
    <s v="Female"/>
    <n v="39"/>
    <x v="0"/>
    <x v="53"/>
    <x v="25"/>
    <x v="3"/>
    <x v="0"/>
    <n v="744"/>
    <x v="7"/>
  </r>
  <r>
    <n v="1055"/>
    <s v="Gloria Flores Suarez"/>
    <x v="5"/>
    <s v="Other"/>
    <n v="25"/>
    <x v="3"/>
    <x v="54"/>
    <x v="2"/>
    <x v="2"/>
    <x v="1"/>
    <n v="1392"/>
    <x v="4"/>
  </r>
  <r>
    <n v="1056"/>
    <s v="Ivan Sia"/>
    <x v="2"/>
    <s v="Male"/>
    <n v="58"/>
    <x v="1"/>
    <x v="55"/>
    <x v="26"/>
    <x v="5"/>
    <x v="0"/>
    <n v="187"/>
    <x v="1"/>
  </r>
  <r>
    <n v="1057"/>
    <s v="Gloria Quiambao"/>
    <x v="2"/>
    <s v="Other"/>
    <n v="47"/>
    <x v="2"/>
    <x v="56"/>
    <x v="2"/>
    <x v="2"/>
    <x v="1"/>
    <n v="887"/>
    <x v="7"/>
  </r>
  <r>
    <n v="1058"/>
    <s v="Vanessa Go Obispo"/>
    <x v="0"/>
    <s v="Female"/>
    <n v="52"/>
    <x v="1"/>
    <x v="57"/>
    <x v="2"/>
    <x v="2"/>
    <x v="1"/>
    <n v="2973"/>
    <x v="8"/>
  </r>
  <r>
    <n v="1059"/>
    <s v="Lourdes Lozano"/>
    <x v="3"/>
    <s v="Other"/>
    <n v="55"/>
    <x v="1"/>
    <x v="58"/>
    <x v="2"/>
    <x v="2"/>
    <x v="1"/>
    <n v="2981"/>
    <x v="8"/>
  </r>
  <r>
    <n v="1060"/>
    <s v="Elmer Buenaventura"/>
    <x v="1"/>
    <s v="Male"/>
    <n v="64"/>
    <x v="4"/>
    <x v="59"/>
    <x v="27"/>
    <x v="6"/>
    <x v="0"/>
    <n v="1642"/>
    <x v="0"/>
  </r>
  <r>
    <n v="1061"/>
    <s v="Elena Cruz"/>
    <x v="4"/>
    <s v="Other"/>
    <n v="47"/>
    <x v="2"/>
    <x v="60"/>
    <x v="2"/>
    <x v="2"/>
    <x v="1"/>
    <n v="2058"/>
    <x v="2"/>
  </r>
  <r>
    <n v="1062"/>
    <s v="Eduardo Vega"/>
    <x v="1"/>
    <s v="Other"/>
    <n v="35"/>
    <x v="0"/>
    <x v="61"/>
    <x v="28"/>
    <x v="1"/>
    <x v="0"/>
    <n v="110"/>
    <x v="1"/>
  </r>
  <r>
    <n v="1063"/>
    <s v="Violeta Torres Ignacio"/>
    <x v="0"/>
    <s v="Female"/>
    <n v="51"/>
    <x v="1"/>
    <x v="62"/>
    <x v="29"/>
    <x v="0"/>
    <x v="0"/>
    <n v="332"/>
    <x v="1"/>
  </r>
  <r>
    <n v="1064"/>
    <s v="Grace Macapagal"/>
    <x v="5"/>
    <s v="Female"/>
    <n v="40"/>
    <x v="2"/>
    <x v="63"/>
    <x v="2"/>
    <x v="2"/>
    <x v="1"/>
    <n v="2649"/>
    <x v="3"/>
  </r>
  <r>
    <n v="1065"/>
    <s v="Renato Lopez"/>
    <x v="3"/>
    <s v="Male"/>
    <n v="33"/>
    <x v="0"/>
    <x v="64"/>
    <x v="2"/>
    <x v="2"/>
    <x v="1"/>
    <n v="2780"/>
    <x v="3"/>
  </r>
  <r>
    <n v="1066"/>
    <s v="Efren Santiago Fajardo"/>
    <x v="4"/>
    <s v="Other"/>
    <n v="28"/>
    <x v="3"/>
    <x v="65"/>
    <x v="2"/>
    <x v="2"/>
    <x v="1"/>
    <n v="773"/>
    <x v="7"/>
  </r>
  <r>
    <n v="1067"/>
    <s v="Ronaldo Lacson"/>
    <x v="1"/>
    <s v="Male"/>
    <n v="21"/>
    <x v="3"/>
    <x v="66"/>
    <x v="2"/>
    <x v="2"/>
    <x v="1"/>
    <n v="1371"/>
    <x v="4"/>
  </r>
  <r>
    <n v="1068"/>
    <s v="Fernando Solis"/>
    <x v="0"/>
    <s v="Other"/>
    <n v="30"/>
    <x v="0"/>
    <x v="67"/>
    <x v="30"/>
    <x v="4"/>
    <x v="0"/>
    <n v="1158"/>
    <x v="4"/>
  </r>
  <r>
    <n v="1069"/>
    <s v="Danilo Ang"/>
    <x v="0"/>
    <s v="Male"/>
    <n v="48"/>
    <x v="2"/>
    <x v="68"/>
    <x v="31"/>
    <x v="3"/>
    <x v="0"/>
    <n v="341"/>
    <x v="1"/>
  </r>
  <r>
    <n v="1070"/>
    <s v="Marcelo Crisostomo"/>
    <x v="4"/>
    <s v="Male"/>
    <n v="45"/>
    <x v="2"/>
    <x v="69"/>
    <x v="32"/>
    <x v="0"/>
    <x v="0"/>
    <n v="755"/>
    <x v="7"/>
  </r>
  <r>
    <n v="1071"/>
    <s v="Ana Mercado Viray"/>
    <x v="4"/>
    <s v="Other"/>
    <n v="38"/>
    <x v="0"/>
    <x v="70"/>
    <x v="33"/>
    <x v="0"/>
    <x v="0"/>
    <n v="285"/>
    <x v="1"/>
  </r>
  <r>
    <n v="1072"/>
    <s v="Danilo Mercado Chua"/>
    <x v="5"/>
    <s v="Male"/>
    <n v="52"/>
    <x v="1"/>
    <x v="71"/>
    <x v="2"/>
    <x v="2"/>
    <x v="1"/>
    <n v="1256"/>
    <x v="4"/>
  </r>
  <r>
    <n v="1073"/>
    <s v="Samuel Vega Del Rosario"/>
    <x v="4"/>
    <s v="Male"/>
    <n v="51"/>
    <x v="1"/>
    <x v="72"/>
    <x v="2"/>
    <x v="2"/>
    <x v="1"/>
    <n v="824"/>
    <x v="7"/>
  </r>
  <r>
    <n v="1074"/>
    <s v="Leonora Rivera"/>
    <x v="5"/>
    <s v="Female"/>
    <n v="55"/>
    <x v="1"/>
    <x v="73"/>
    <x v="34"/>
    <x v="6"/>
    <x v="0"/>
    <n v="878"/>
    <x v="7"/>
  </r>
  <r>
    <n v="1075"/>
    <s v="Aldrin Soriano Lim"/>
    <x v="4"/>
    <s v="Male"/>
    <n v="54"/>
    <x v="1"/>
    <x v="74"/>
    <x v="35"/>
    <x v="3"/>
    <x v="0"/>
    <n v="192"/>
    <x v="1"/>
  </r>
  <r>
    <n v="1076"/>
    <s v="Pete Chua"/>
    <x v="1"/>
    <s v="Male"/>
    <n v="38"/>
    <x v="0"/>
    <x v="75"/>
    <x v="2"/>
    <x v="2"/>
    <x v="1"/>
    <n v="2905"/>
    <x v="3"/>
  </r>
  <r>
    <n v="1077"/>
    <s v="Maricel Uy Co"/>
    <x v="1"/>
    <s v="Other"/>
    <n v="52"/>
    <x v="1"/>
    <x v="76"/>
    <x v="2"/>
    <x v="2"/>
    <x v="1"/>
    <n v="2671"/>
    <x v="3"/>
  </r>
  <r>
    <n v="1078"/>
    <s v="Jordan Macapagal"/>
    <x v="4"/>
    <s v="Other"/>
    <n v="37"/>
    <x v="0"/>
    <x v="77"/>
    <x v="36"/>
    <x v="5"/>
    <x v="0"/>
    <n v="223"/>
    <x v="1"/>
  </r>
  <r>
    <n v="1079"/>
    <s v="Yvonne Ramirez Quiambao"/>
    <x v="1"/>
    <s v="Female"/>
    <n v="57"/>
    <x v="1"/>
    <x v="78"/>
    <x v="37"/>
    <x v="0"/>
    <x v="0"/>
    <n v="598"/>
    <x v="5"/>
  </r>
  <r>
    <n v="1080"/>
    <s v="Samuel Bautista Yap"/>
    <x v="5"/>
    <s v="Male"/>
    <n v="49"/>
    <x v="2"/>
    <x v="79"/>
    <x v="2"/>
    <x v="2"/>
    <x v="1"/>
    <n v="1874"/>
    <x v="2"/>
  </r>
  <r>
    <n v="1081"/>
    <s v="Eduardo Lopez Soriano"/>
    <x v="0"/>
    <s v="Other"/>
    <n v="34"/>
    <x v="0"/>
    <x v="80"/>
    <x v="38"/>
    <x v="0"/>
    <x v="0"/>
    <n v="428"/>
    <x v="5"/>
  </r>
  <r>
    <n v="1082"/>
    <s v="Alvin Villanueva"/>
    <x v="1"/>
    <s v="Male"/>
    <n v="51"/>
    <x v="1"/>
    <x v="81"/>
    <x v="39"/>
    <x v="1"/>
    <x v="0"/>
    <n v="680"/>
    <x v="5"/>
  </r>
  <r>
    <n v="1083"/>
    <s v="Miguel Ramirez Estrada"/>
    <x v="3"/>
    <s v="Other"/>
    <n v="58"/>
    <x v="1"/>
    <x v="82"/>
    <x v="2"/>
    <x v="2"/>
    <x v="1"/>
    <n v="383"/>
    <x v="5"/>
  </r>
  <r>
    <n v="1084"/>
    <s v="Maricel Go Co"/>
    <x v="5"/>
    <s v="Other"/>
    <n v="30"/>
    <x v="0"/>
    <x v="83"/>
    <x v="40"/>
    <x v="7"/>
    <x v="0"/>
    <n v="1349"/>
    <x v="4"/>
  </r>
  <r>
    <n v="1085"/>
    <s v="Luisa Sy Ramos"/>
    <x v="5"/>
    <s v="Other"/>
    <n v="38"/>
    <x v="0"/>
    <x v="84"/>
    <x v="2"/>
    <x v="2"/>
    <x v="1"/>
    <n v="1042"/>
    <x v="7"/>
  </r>
  <r>
    <n v="1086"/>
    <s v="Ulysses Gonzales Macapagal"/>
    <x v="5"/>
    <s v="Male"/>
    <n v="22"/>
    <x v="3"/>
    <x v="85"/>
    <x v="41"/>
    <x v="4"/>
    <x v="0"/>
    <n v="174"/>
    <x v="1"/>
  </r>
  <r>
    <n v="1087"/>
    <s v="Timothy Zulueta"/>
    <x v="0"/>
    <s v="Male"/>
    <n v="38"/>
    <x v="0"/>
    <x v="86"/>
    <x v="2"/>
    <x v="2"/>
    <x v="1"/>
    <n v="2348"/>
    <x v="6"/>
  </r>
  <r>
    <n v="1088"/>
    <s v="Francis Bondoc"/>
    <x v="3"/>
    <s v="Male"/>
    <n v="47"/>
    <x v="2"/>
    <x v="87"/>
    <x v="42"/>
    <x v="3"/>
    <x v="0"/>
    <n v="304"/>
    <x v="1"/>
  </r>
  <r>
    <n v="1089"/>
    <s v="Rodel Tan Go"/>
    <x v="4"/>
    <s v="Other"/>
    <n v="56"/>
    <x v="1"/>
    <x v="88"/>
    <x v="2"/>
    <x v="2"/>
    <x v="1"/>
    <n v="2941"/>
    <x v="8"/>
  </r>
  <r>
    <n v="1090"/>
    <s v="Carmen Santiago Bondoc"/>
    <x v="2"/>
    <s v="Other"/>
    <n v="21"/>
    <x v="3"/>
    <x v="89"/>
    <x v="2"/>
    <x v="2"/>
    <x v="1"/>
    <n v="398"/>
    <x v="5"/>
  </r>
  <r>
    <n v="1091"/>
    <s v="Victor Reyes Jimenez"/>
    <x v="0"/>
    <s v="Male"/>
    <n v="49"/>
    <x v="2"/>
    <x v="90"/>
    <x v="43"/>
    <x v="4"/>
    <x v="0"/>
    <n v="626"/>
    <x v="5"/>
  </r>
  <r>
    <n v="1092"/>
    <s v="Danilo Tan"/>
    <x v="3"/>
    <s v="Male"/>
    <n v="36"/>
    <x v="0"/>
    <x v="91"/>
    <x v="44"/>
    <x v="8"/>
    <x v="0"/>
    <n v="146"/>
    <x v="1"/>
  </r>
  <r>
    <n v="1093"/>
    <s v="Ian Aguilar Miranda"/>
    <x v="3"/>
    <s v="Male"/>
    <n v="28"/>
    <x v="3"/>
    <x v="92"/>
    <x v="2"/>
    <x v="2"/>
    <x v="1"/>
    <n v="438"/>
    <x v="5"/>
  </r>
  <r>
    <n v="1094"/>
    <s v="Diosdado Ramos Salazar"/>
    <x v="4"/>
    <s v="Male"/>
    <n v="51"/>
    <x v="1"/>
    <x v="93"/>
    <x v="2"/>
    <x v="2"/>
    <x v="1"/>
    <n v="2093"/>
    <x v="2"/>
  </r>
  <r>
    <n v="1095"/>
    <s v="Kath Wong"/>
    <x v="2"/>
    <s v="Female"/>
    <n v="47"/>
    <x v="2"/>
    <x v="94"/>
    <x v="2"/>
    <x v="2"/>
    <x v="1"/>
    <n v="1699"/>
    <x v="0"/>
  </r>
  <r>
    <n v="1096"/>
    <s v="Ivy Chan Domingo"/>
    <x v="4"/>
    <s v="Female"/>
    <n v="58"/>
    <x v="1"/>
    <x v="95"/>
    <x v="2"/>
    <x v="2"/>
    <x v="1"/>
    <n v="716"/>
    <x v="5"/>
  </r>
  <r>
    <n v="1097"/>
    <s v="Elmer Diaz"/>
    <x v="4"/>
    <s v="Male"/>
    <n v="55"/>
    <x v="1"/>
    <x v="96"/>
    <x v="2"/>
    <x v="2"/>
    <x v="1"/>
    <n v="1546"/>
    <x v="0"/>
  </r>
  <r>
    <n v="1098"/>
    <s v="Leonard Salazar"/>
    <x v="1"/>
    <s v="Male"/>
    <n v="47"/>
    <x v="2"/>
    <x v="97"/>
    <x v="45"/>
    <x v="1"/>
    <x v="0"/>
    <n v="2027"/>
    <x v="2"/>
  </r>
  <r>
    <n v="1099"/>
    <s v="Bernardo Bagtas"/>
    <x v="2"/>
    <s v="Male"/>
    <n v="30"/>
    <x v="0"/>
    <x v="98"/>
    <x v="2"/>
    <x v="2"/>
    <x v="1"/>
    <n v="1063"/>
    <x v="7"/>
  </r>
  <r>
    <n v="1100"/>
    <s v="Eva Reyes"/>
    <x v="4"/>
    <s v="Female"/>
    <n v="49"/>
    <x v="2"/>
    <x v="99"/>
    <x v="2"/>
    <x v="2"/>
    <x v="1"/>
    <n v="2683"/>
    <x v="3"/>
  </r>
  <r>
    <n v="1101"/>
    <s v="Teodoro Buenaventura"/>
    <x v="4"/>
    <s v="Male"/>
    <n v="30"/>
    <x v="0"/>
    <x v="100"/>
    <x v="2"/>
    <x v="2"/>
    <x v="1"/>
    <n v="2785"/>
    <x v="3"/>
  </r>
  <r>
    <n v="1102"/>
    <s v="Rachel Macaraeg"/>
    <x v="4"/>
    <s v="Female"/>
    <n v="42"/>
    <x v="2"/>
    <x v="101"/>
    <x v="2"/>
    <x v="2"/>
    <x v="1"/>
    <n v="329"/>
    <x v="1"/>
  </r>
  <r>
    <n v="1103"/>
    <s v="Patricio Valencia"/>
    <x v="2"/>
    <s v="Male"/>
    <n v="55"/>
    <x v="1"/>
    <x v="102"/>
    <x v="2"/>
    <x v="2"/>
    <x v="1"/>
    <n v="2944"/>
    <x v="8"/>
  </r>
  <r>
    <n v="1104"/>
    <s v="Lourdes Soriano Manalo"/>
    <x v="4"/>
    <s v="Female"/>
    <n v="26"/>
    <x v="3"/>
    <x v="103"/>
    <x v="2"/>
    <x v="2"/>
    <x v="1"/>
    <n v="1314"/>
    <x v="4"/>
  </r>
  <r>
    <n v="1105"/>
    <s v="Nena Gonzales Bondoc"/>
    <x v="3"/>
    <s v="Female"/>
    <n v="24"/>
    <x v="3"/>
    <x v="104"/>
    <x v="46"/>
    <x v="0"/>
    <x v="0"/>
    <n v="972"/>
    <x v="7"/>
  </r>
  <r>
    <n v="1106"/>
    <s v="Jessa Go Narvasa"/>
    <x v="1"/>
    <s v="Female"/>
    <n v="45"/>
    <x v="2"/>
    <x v="105"/>
    <x v="2"/>
    <x v="2"/>
    <x v="1"/>
    <n v="553"/>
    <x v="5"/>
  </r>
  <r>
    <n v="1107"/>
    <s v="Oscar Vega Aguilar"/>
    <x v="0"/>
    <s v="Male"/>
    <n v="21"/>
    <x v="3"/>
    <x v="106"/>
    <x v="2"/>
    <x v="2"/>
    <x v="1"/>
    <n v="1186"/>
    <x v="4"/>
  </r>
  <r>
    <n v="1108"/>
    <s v="Sarah Rivera Umali"/>
    <x v="3"/>
    <s v="Female"/>
    <n v="48"/>
    <x v="2"/>
    <x v="107"/>
    <x v="47"/>
    <x v="0"/>
    <x v="0"/>
    <n v="167"/>
    <x v="1"/>
  </r>
  <r>
    <n v="1109"/>
    <s v="Nathan Bautista Ang"/>
    <x v="0"/>
    <s v="Male"/>
    <n v="39"/>
    <x v="0"/>
    <x v="108"/>
    <x v="2"/>
    <x v="2"/>
    <x v="1"/>
    <n v="3002"/>
    <x v="8"/>
  </r>
  <r>
    <n v="1110"/>
    <s v="Efren Tan"/>
    <x v="3"/>
    <s v="Other"/>
    <n v="39"/>
    <x v="0"/>
    <x v="109"/>
    <x v="2"/>
    <x v="2"/>
    <x v="1"/>
    <n v="2149"/>
    <x v="2"/>
  </r>
  <r>
    <n v="1111"/>
    <s v="Christian Santiago Manalo"/>
    <x v="0"/>
    <s v="Male"/>
    <n v="29"/>
    <x v="3"/>
    <x v="110"/>
    <x v="48"/>
    <x v="7"/>
    <x v="0"/>
    <n v="411"/>
    <x v="5"/>
  </r>
  <r>
    <n v="1112"/>
    <s v="Jacqueline Santiago Vega"/>
    <x v="5"/>
    <s v="Female"/>
    <n v="39"/>
    <x v="0"/>
    <x v="111"/>
    <x v="2"/>
    <x v="2"/>
    <x v="1"/>
    <n v="1753"/>
    <x v="0"/>
  </r>
  <r>
    <n v="1113"/>
    <s v="Elena Chua"/>
    <x v="0"/>
    <s v="Other"/>
    <n v="31"/>
    <x v="0"/>
    <x v="112"/>
    <x v="2"/>
    <x v="2"/>
    <x v="1"/>
    <n v="2039"/>
    <x v="2"/>
  </r>
  <r>
    <n v="1114"/>
    <s v="Pacita Figueroa"/>
    <x v="4"/>
    <s v="Female"/>
    <n v="25"/>
    <x v="3"/>
    <x v="113"/>
    <x v="2"/>
    <x v="2"/>
    <x v="1"/>
    <n v="2515"/>
    <x v="6"/>
  </r>
  <r>
    <n v="1115"/>
    <s v="Gloria Domingo Castro"/>
    <x v="3"/>
    <s v="Other"/>
    <n v="56"/>
    <x v="1"/>
    <x v="114"/>
    <x v="49"/>
    <x v="0"/>
    <x v="0"/>
    <n v="898"/>
    <x v="7"/>
  </r>
  <r>
    <n v="1116"/>
    <s v="Elena Bautista"/>
    <x v="0"/>
    <s v="Other"/>
    <n v="44"/>
    <x v="2"/>
    <x v="115"/>
    <x v="2"/>
    <x v="2"/>
    <x v="1"/>
    <n v="2648"/>
    <x v="3"/>
  </r>
  <r>
    <n v="1117"/>
    <s v="Bryan Ramos Corpuz"/>
    <x v="3"/>
    <s v="Male"/>
    <n v="35"/>
    <x v="0"/>
    <x v="116"/>
    <x v="50"/>
    <x v="3"/>
    <x v="0"/>
    <n v="327"/>
    <x v="1"/>
  </r>
  <r>
    <n v="1118"/>
    <s v="Patricia Enriquez"/>
    <x v="1"/>
    <s v="Female"/>
    <n v="52"/>
    <x v="1"/>
    <x v="117"/>
    <x v="51"/>
    <x v="5"/>
    <x v="0"/>
    <n v="645"/>
    <x v="5"/>
  </r>
  <r>
    <n v="1119"/>
    <s v="Efren Viray"/>
    <x v="5"/>
    <s v="Male"/>
    <n v="58"/>
    <x v="1"/>
    <x v="118"/>
    <x v="2"/>
    <x v="2"/>
    <x v="1"/>
    <n v="2459"/>
    <x v="6"/>
  </r>
  <r>
    <n v="1120"/>
    <s v="Rosalinda Santiago Evangelista"/>
    <x v="3"/>
    <s v="Female"/>
    <n v="44"/>
    <x v="2"/>
    <x v="119"/>
    <x v="2"/>
    <x v="2"/>
    <x v="1"/>
    <n v="2202"/>
    <x v="6"/>
  </r>
  <r>
    <n v="1121"/>
    <s v="Miguel Castro"/>
    <x v="0"/>
    <s v="Other"/>
    <n v="43"/>
    <x v="2"/>
    <x v="120"/>
    <x v="2"/>
    <x v="2"/>
    <x v="1"/>
    <n v="2843"/>
    <x v="3"/>
  </r>
  <r>
    <n v="1122"/>
    <s v="Rosa Mendoza"/>
    <x v="2"/>
    <s v="Female"/>
    <n v="34"/>
    <x v="0"/>
    <x v="121"/>
    <x v="2"/>
    <x v="2"/>
    <x v="1"/>
    <n v="463"/>
    <x v="5"/>
  </r>
  <r>
    <n v="1123"/>
    <s v="Queenie Mangubat"/>
    <x v="4"/>
    <s v="Female"/>
    <n v="57"/>
    <x v="1"/>
    <x v="122"/>
    <x v="52"/>
    <x v="7"/>
    <x v="0"/>
    <n v="938"/>
    <x v="7"/>
  </r>
  <r>
    <n v="1124"/>
    <s v="Oscar Go"/>
    <x v="2"/>
    <s v="Male"/>
    <n v="38"/>
    <x v="0"/>
    <x v="123"/>
    <x v="2"/>
    <x v="2"/>
    <x v="1"/>
    <n v="2499"/>
    <x v="6"/>
  </r>
  <r>
    <n v="1125"/>
    <s v="Sam Ramos Soriano"/>
    <x v="1"/>
    <s v="Other"/>
    <n v="29"/>
    <x v="3"/>
    <x v="124"/>
    <x v="53"/>
    <x v="7"/>
    <x v="0"/>
    <n v="1064"/>
    <x v="7"/>
  </r>
  <r>
    <n v="1126"/>
    <s v="Jerome Uy Cueto"/>
    <x v="5"/>
    <s v="Male"/>
    <n v="25"/>
    <x v="3"/>
    <x v="125"/>
    <x v="2"/>
    <x v="2"/>
    <x v="1"/>
    <n v="1141"/>
    <x v="4"/>
  </r>
  <r>
    <n v="1127"/>
    <s v="Carmen Bayani"/>
    <x v="0"/>
    <s v="Other"/>
    <n v="23"/>
    <x v="3"/>
    <x v="126"/>
    <x v="2"/>
    <x v="2"/>
    <x v="1"/>
    <n v="393"/>
    <x v="5"/>
  </r>
  <r>
    <n v="1128"/>
    <s v="Gani Miranda"/>
    <x v="1"/>
    <s v="Male"/>
    <n v="46"/>
    <x v="2"/>
    <x v="127"/>
    <x v="2"/>
    <x v="2"/>
    <x v="1"/>
    <n v="1345"/>
    <x v="4"/>
  </r>
  <r>
    <n v="1129"/>
    <s v="Nena Sy Chua"/>
    <x v="1"/>
    <s v="Female"/>
    <n v="30"/>
    <x v="0"/>
    <x v="128"/>
    <x v="54"/>
    <x v="5"/>
    <x v="0"/>
    <n v="1421"/>
    <x v="4"/>
  </r>
  <r>
    <n v="1130"/>
    <s v="Antonio Go Bondoc"/>
    <x v="1"/>
    <s v="Other"/>
    <n v="56"/>
    <x v="1"/>
    <x v="129"/>
    <x v="2"/>
    <x v="2"/>
    <x v="1"/>
    <n v="2211"/>
    <x v="6"/>
  </r>
  <r>
    <n v="1131"/>
    <s v="Cameron Guevarra"/>
    <x v="4"/>
    <s v="Other"/>
    <n v="41"/>
    <x v="2"/>
    <x v="130"/>
    <x v="55"/>
    <x v="5"/>
    <x v="0"/>
    <n v="612"/>
    <x v="5"/>
  </r>
  <r>
    <n v="1132"/>
    <s v="Rowena Diaz Torres"/>
    <x v="1"/>
    <s v="Other"/>
    <n v="26"/>
    <x v="3"/>
    <x v="131"/>
    <x v="56"/>
    <x v="3"/>
    <x v="0"/>
    <n v="853"/>
    <x v="7"/>
  </r>
  <r>
    <n v="1133"/>
    <s v="Zeus Flores Yap"/>
    <x v="5"/>
    <s v="Male"/>
    <n v="48"/>
    <x v="2"/>
    <x v="132"/>
    <x v="2"/>
    <x v="2"/>
    <x v="1"/>
    <n v="2881"/>
    <x v="3"/>
  </r>
  <r>
    <n v="1134"/>
    <s v="Kevin Gonzales"/>
    <x v="1"/>
    <s v="Male"/>
    <n v="27"/>
    <x v="3"/>
    <x v="133"/>
    <x v="2"/>
    <x v="2"/>
    <x v="1"/>
    <n v="1657"/>
    <x v="0"/>
  </r>
  <r>
    <n v="1135"/>
    <s v="Rowena Bautista"/>
    <x v="0"/>
    <s v="Other"/>
    <n v="56"/>
    <x v="1"/>
    <x v="134"/>
    <x v="2"/>
    <x v="2"/>
    <x v="1"/>
    <n v="545"/>
    <x v="5"/>
  </r>
  <r>
    <n v="1136"/>
    <s v="Efren Fernandez Santos"/>
    <x v="5"/>
    <s v="Other"/>
    <n v="22"/>
    <x v="3"/>
    <x v="135"/>
    <x v="57"/>
    <x v="4"/>
    <x v="0"/>
    <n v="1355"/>
    <x v="4"/>
  </r>
  <r>
    <n v="1137"/>
    <s v="Danilo Rivera Del Rosario"/>
    <x v="0"/>
    <s v="Male"/>
    <n v="30"/>
    <x v="0"/>
    <x v="136"/>
    <x v="2"/>
    <x v="2"/>
    <x v="1"/>
    <n v="498"/>
    <x v="5"/>
  </r>
  <r>
    <n v="1138"/>
    <s v="Sonny Bautista Perez"/>
    <x v="4"/>
    <s v="Male"/>
    <n v="44"/>
    <x v="2"/>
    <x v="137"/>
    <x v="2"/>
    <x v="2"/>
    <x v="1"/>
    <n v="1815"/>
    <x v="0"/>
  </r>
  <r>
    <n v="1139"/>
    <s v="Isabel Aguilar Quiambao"/>
    <x v="1"/>
    <s v="Other"/>
    <n v="24"/>
    <x v="3"/>
    <x v="138"/>
    <x v="58"/>
    <x v="7"/>
    <x v="0"/>
    <n v="203"/>
    <x v="1"/>
  </r>
  <r>
    <n v="1140"/>
    <s v="Christian Bautista Garcia"/>
    <x v="1"/>
    <s v="Male"/>
    <n v="43"/>
    <x v="2"/>
    <x v="139"/>
    <x v="59"/>
    <x v="8"/>
    <x v="0"/>
    <n v="1304"/>
    <x v="4"/>
  </r>
  <r>
    <n v="1141"/>
    <s v="Estrella Ang Dalisay"/>
    <x v="1"/>
    <s v="Female"/>
    <n v="34"/>
    <x v="0"/>
    <x v="140"/>
    <x v="2"/>
    <x v="2"/>
    <x v="1"/>
    <n v="2529"/>
    <x v="6"/>
  </r>
  <r>
    <n v="1142"/>
    <s v="Kath Jacinto"/>
    <x v="5"/>
    <s v="Female"/>
    <n v="45"/>
    <x v="2"/>
    <x v="16"/>
    <x v="2"/>
    <x v="2"/>
    <x v="1"/>
    <n v="910"/>
    <x v="7"/>
  </r>
  <r>
    <n v="1143"/>
    <s v="Aileen Lim Macapagal"/>
    <x v="5"/>
    <s v="Female"/>
    <n v="23"/>
    <x v="3"/>
    <x v="141"/>
    <x v="60"/>
    <x v="3"/>
    <x v="0"/>
    <n v="249"/>
    <x v="1"/>
  </r>
  <r>
    <n v="1144"/>
    <s v="Alvin Hernandez"/>
    <x v="4"/>
    <s v="Male"/>
    <n v="41"/>
    <x v="2"/>
    <x v="142"/>
    <x v="2"/>
    <x v="2"/>
    <x v="1"/>
    <n v="2388"/>
    <x v="6"/>
  </r>
  <r>
    <n v="1145"/>
    <s v="Teresa Soriano Ramos"/>
    <x v="1"/>
    <s v="Other"/>
    <n v="36"/>
    <x v="0"/>
    <x v="143"/>
    <x v="2"/>
    <x v="2"/>
    <x v="1"/>
    <n v="1307"/>
    <x v="4"/>
  </r>
  <r>
    <n v="1146"/>
    <s v="Josephine Vega Elegado"/>
    <x v="5"/>
    <s v="Female"/>
    <n v="31"/>
    <x v="0"/>
    <x v="144"/>
    <x v="2"/>
    <x v="2"/>
    <x v="1"/>
    <n v="2779"/>
    <x v="3"/>
  </r>
  <r>
    <n v="1147"/>
    <s v="Cristina Domingo"/>
    <x v="4"/>
    <s v="Other"/>
    <n v="30"/>
    <x v="0"/>
    <x v="145"/>
    <x v="61"/>
    <x v="0"/>
    <x v="0"/>
    <n v="614"/>
    <x v="5"/>
  </r>
  <r>
    <n v="1148"/>
    <s v="Daisy Guevarra"/>
    <x v="5"/>
    <s v="Female"/>
    <n v="52"/>
    <x v="1"/>
    <x v="146"/>
    <x v="2"/>
    <x v="2"/>
    <x v="1"/>
    <n v="1191"/>
    <x v="4"/>
  </r>
  <r>
    <n v="1149"/>
    <s v="Victor Aguilar Valencia"/>
    <x v="0"/>
    <s v="Male"/>
    <n v="41"/>
    <x v="2"/>
    <x v="147"/>
    <x v="62"/>
    <x v="0"/>
    <x v="0"/>
    <n v="315"/>
    <x v="1"/>
  </r>
  <r>
    <n v="1150"/>
    <s v="Antonio Pascual Torres"/>
    <x v="0"/>
    <s v="Male"/>
    <n v="25"/>
    <x v="3"/>
    <x v="148"/>
    <x v="2"/>
    <x v="2"/>
    <x v="1"/>
    <n v="1820"/>
    <x v="0"/>
  </r>
  <r>
    <n v="1151"/>
    <s v="Arnel Cruz Suarez"/>
    <x v="1"/>
    <s v="Other"/>
    <n v="26"/>
    <x v="3"/>
    <x v="149"/>
    <x v="2"/>
    <x v="2"/>
    <x v="1"/>
    <n v="572"/>
    <x v="5"/>
  </r>
  <r>
    <n v="1152"/>
    <s v="Pilar Domingo"/>
    <x v="4"/>
    <s v="Other"/>
    <n v="33"/>
    <x v="0"/>
    <x v="150"/>
    <x v="2"/>
    <x v="2"/>
    <x v="1"/>
    <n v="1775"/>
    <x v="0"/>
  </r>
  <r>
    <n v="1153"/>
    <s v="Jose Uy Garcia"/>
    <x v="4"/>
    <s v="Other"/>
    <n v="42"/>
    <x v="2"/>
    <x v="151"/>
    <x v="2"/>
    <x v="2"/>
    <x v="1"/>
    <n v="2746"/>
    <x v="3"/>
  </r>
  <r>
    <n v="1154"/>
    <s v="Gerald Diaz Figueroa"/>
    <x v="3"/>
    <s v="Male"/>
    <n v="31"/>
    <x v="0"/>
    <x v="152"/>
    <x v="63"/>
    <x v="5"/>
    <x v="0"/>
    <n v="669"/>
    <x v="5"/>
  </r>
  <r>
    <n v="1155"/>
    <s v="Florinda Fernandez Mangubat"/>
    <x v="1"/>
    <s v="Female"/>
    <n v="45"/>
    <x v="2"/>
    <x v="153"/>
    <x v="64"/>
    <x v="7"/>
    <x v="0"/>
    <n v="1834"/>
    <x v="2"/>
  </r>
  <r>
    <n v="1156"/>
    <s v="Rowena Diaz Yap"/>
    <x v="3"/>
    <s v="Female"/>
    <n v="46"/>
    <x v="2"/>
    <x v="154"/>
    <x v="2"/>
    <x v="2"/>
    <x v="1"/>
    <n v="2563"/>
    <x v="3"/>
  </r>
  <r>
    <n v="1157"/>
    <s v="Samuel Santiago Cueto"/>
    <x v="2"/>
    <s v="Male"/>
    <n v="54"/>
    <x v="1"/>
    <x v="47"/>
    <x v="2"/>
    <x v="2"/>
    <x v="1"/>
    <n v="2709"/>
    <x v="3"/>
  </r>
  <r>
    <n v="1158"/>
    <s v="Carlos Cruz Fernandez"/>
    <x v="4"/>
    <s v="Other"/>
    <n v="42"/>
    <x v="2"/>
    <x v="155"/>
    <x v="65"/>
    <x v="0"/>
    <x v="0"/>
    <n v="230"/>
    <x v="1"/>
  </r>
  <r>
    <n v="1159"/>
    <s v="Josephine Pascual"/>
    <x v="5"/>
    <s v="Other"/>
    <n v="29"/>
    <x v="3"/>
    <x v="156"/>
    <x v="66"/>
    <x v="0"/>
    <x v="0"/>
    <n v="256"/>
    <x v="1"/>
  </r>
  <r>
    <n v="1160"/>
    <s v="Warren Soriano Lim"/>
    <x v="1"/>
    <s v="Male"/>
    <n v="36"/>
    <x v="0"/>
    <x v="157"/>
    <x v="2"/>
    <x v="2"/>
    <x v="1"/>
    <n v="1272"/>
    <x v="4"/>
  </r>
  <r>
    <n v="1161"/>
    <s v="Maricel Pascual Manalo"/>
    <x v="3"/>
    <s v="Other"/>
    <n v="33"/>
    <x v="0"/>
    <x v="158"/>
    <x v="2"/>
    <x v="2"/>
    <x v="1"/>
    <n v="1585"/>
    <x v="0"/>
  </r>
  <r>
    <n v="1162"/>
    <s v="Bong Ramirez"/>
    <x v="5"/>
    <s v="Male"/>
    <n v="47"/>
    <x v="2"/>
    <x v="159"/>
    <x v="2"/>
    <x v="2"/>
    <x v="1"/>
    <n v="2428"/>
    <x v="6"/>
  </r>
  <r>
    <n v="1163"/>
    <s v="Larry Lopez Castro"/>
    <x v="1"/>
    <s v="Male"/>
    <n v="44"/>
    <x v="2"/>
    <x v="160"/>
    <x v="2"/>
    <x v="2"/>
    <x v="1"/>
    <n v="820"/>
    <x v="7"/>
  </r>
  <r>
    <n v="1164"/>
    <s v="Efren Tan Bautista"/>
    <x v="4"/>
    <s v="Other"/>
    <n v="30"/>
    <x v="0"/>
    <x v="161"/>
    <x v="67"/>
    <x v="3"/>
    <x v="0"/>
    <n v="544"/>
    <x v="5"/>
  </r>
  <r>
    <n v="1165"/>
    <s v="Joy Pascual Mercado"/>
    <x v="0"/>
    <s v="Female"/>
    <n v="26"/>
    <x v="3"/>
    <x v="162"/>
    <x v="68"/>
    <x v="4"/>
    <x v="0"/>
    <n v="742"/>
    <x v="7"/>
  </r>
  <r>
    <n v="1166"/>
    <s v="Juan Flores Ramos"/>
    <x v="3"/>
    <s v="Male"/>
    <n v="29"/>
    <x v="3"/>
    <x v="163"/>
    <x v="2"/>
    <x v="2"/>
    <x v="1"/>
    <n v="202"/>
    <x v="1"/>
  </r>
  <r>
    <n v="1167"/>
    <s v="Roberto Go Sy"/>
    <x v="2"/>
    <s v="Male"/>
    <n v="53"/>
    <x v="1"/>
    <x v="164"/>
    <x v="69"/>
    <x v="6"/>
    <x v="0"/>
    <n v="680"/>
    <x v="5"/>
  </r>
  <r>
    <n v="1168"/>
    <s v="Pilar Fernandez Macapagal"/>
    <x v="1"/>
    <s v="Other"/>
    <n v="52"/>
    <x v="1"/>
    <x v="74"/>
    <x v="2"/>
    <x v="2"/>
    <x v="1"/>
    <n v="647"/>
    <x v="5"/>
  </r>
  <r>
    <n v="1169"/>
    <s v="Kristina Enriquez"/>
    <x v="4"/>
    <s v="Female"/>
    <n v="43"/>
    <x v="2"/>
    <x v="165"/>
    <x v="2"/>
    <x v="2"/>
    <x v="1"/>
    <n v="2106"/>
    <x v="2"/>
  </r>
  <r>
    <n v="1170"/>
    <s v="Jimmy Chan Hilario"/>
    <x v="0"/>
    <s v="Male"/>
    <n v="54"/>
    <x v="1"/>
    <x v="166"/>
    <x v="2"/>
    <x v="2"/>
    <x v="1"/>
    <n v="863"/>
    <x v="7"/>
  </r>
  <r>
    <n v="1171"/>
    <s v="Ivan Mendoza Aquino"/>
    <x v="1"/>
    <s v="Male"/>
    <n v="44"/>
    <x v="2"/>
    <x v="167"/>
    <x v="2"/>
    <x v="2"/>
    <x v="1"/>
    <n v="2053"/>
    <x v="2"/>
  </r>
  <r>
    <n v="1172"/>
    <s v="Jose Chan Guevarra"/>
    <x v="5"/>
    <s v="Other"/>
    <n v="42"/>
    <x v="2"/>
    <x v="168"/>
    <x v="70"/>
    <x v="3"/>
    <x v="0"/>
    <n v="1476"/>
    <x v="0"/>
  </r>
  <r>
    <n v="1173"/>
    <s v="Miguel Soriano Garcia"/>
    <x v="0"/>
    <s v="Other"/>
    <n v="25"/>
    <x v="3"/>
    <x v="169"/>
    <x v="71"/>
    <x v="0"/>
    <x v="0"/>
    <n v="502"/>
    <x v="5"/>
  </r>
  <r>
    <n v="1174"/>
    <s v="Danilo Santiago Wong"/>
    <x v="0"/>
    <s v="Other"/>
    <n v="51"/>
    <x v="1"/>
    <x v="170"/>
    <x v="72"/>
    <x v="6"/>
    <x v="0"/>
    <n v="481"/>
    <x v="5"/>
  </r>
  <r>
    <n v="1175"/>
    <s v="Ian Ignacio"/>
    <x v="4"/>
    <s v="Male"/>
    <n v="49"/>
    <x v="2"/>
    <x v="171"/>
    <x v="73"/>
    <x v="8"/>
    <x v="0"/>
    <n v="472"/>
    <x v="5"/>
  </r>
  <r>
    <n v="1176"/>
    <s v="Jose Mendoza Guerrero"/>
    <x v="0"/>
    <s v="Other"/>
    <n v="48"/>
    <x v="2"/>
    <x v="172"/>
    <x v="2"/>
    <x v="2"/>
    <x v="1"/>
    <n v="2768"/>
    <x v="3"/>
  </r>
  <r>
    <n v="1177"/>
    <s v="Samuel Pascual"/>
    <x v="1"/>
    <s v="Male"/>
    <n v="40"/>
    <x v="2"/>
    <x v="173"/>
    <x v="2"/>
    <x v="2"/>
    <x v="1"/>
    <n v="1265"/>
    <x v="4"/>
  </r>
  <r>
    <n v="1178"/>
    <s v="Celine Zulueta"/>
    <x v="4"/>
    <s v="Female"/>
    <n v="43"/>
    <x v="2"/>
    <x v="174"/>
    <x v="2"/>
    <x v="2"/>
    <x v="1"/>
    <n v="573"/>
    <x v="5"/>
  </r>
  <r>
    <n v="1179"/>
    <s v="Herminia Uy Bautista"/>
    <x v="3"/>
    <s v="Female"/>
    <n v="46"/>
    <x v="2"/>
    <x v="175"/>
    <x v="2"/>
    <x v="2"/>
    <x v="1"/>
    <n v="1603"/>
    <x v="0"/>
  </r>
  <r>
    <n v="1180"/>
    <s v="Tess Ocampo"/>
    <x v="1"/>
    <s v="Female"/>
    <n v="44"/>
    <x v="2"/>
    <x v="176"/>
    <x v="2"/>
    <x v="2"/>
    <x v="1"/>
    <n v="1608"/>
    <x v="0"/>
  </r>
  <r>
    <n v="1181"/>
    <s v="Maricel Tan Ramirez"/>
    <x v="5"/>
    <s v="Other"/>
    <n v="44"/>
    <x v="2"/>
    <x v="177"/>
    <x v="2"/>
    <x v="2"/>
    <x v="1"/>
    <n v="1273"/>
    <x v="4"/>
  </r>
  <r>
    <n v="1182"/>
    <s v="Jessa Torres Delmendo"/>
    <x v="4"/>
    <s v="Female"/>
    <n v="28"/>
    <x v="3"/>
    <x v="178"/>
    <x v="2"/>
    <x v="2"/>
    <x v="1"/>
    <n v="2985"/>
    <x v="8"/>
  </r>
  <r>
    <n v="1183"/>
    <s v="Diana Hernandez"/>
    <x v="4"/>
    <s v="Female"/>
    <n v="49"/>
    <x v="2"/>
    <x v="179"/>
    <x v="2"/>
    <x v="2"/>
    <x v="1"/>
    <n v="2213"/>
    <x v="6"/>
  </r>
  <r>
    <n v="1184"/>
    <s v="Hope Ocampo Enriquez"/>
    <x v="0"/>
    <s v="Female"/>
    <n v="25"/>
    <x v="3"/>
    <x v="180"/>
    <x v="74"/>
    <x v="4"/>
    <x v="0"/>
    <n v="1001"/>
    <x v="7"/>
  </r>
  <r>
    <n v="1185"/>
    <s v="Jacqueline Torres Evangelista"/>
    <x v="0"/>
    <s v="Female"/>
    <n v="40"/>
    <x v="2"/>
    <x v="181"/>
    <x v="2"/>
    <x v="2"/>
    <x v="1"/>
    <n v="2446"/>
    <x v="6"/>
  </r>
  <r>
    <n v="1186"/>
    <s v="Carmen Garcia Hilario"/>
    <x v="3"/>
    <s v="Other"/>
    <n v="36"/>
    <x v="0"/>
    <x v="182"/>
    <x v="75"/>
    <x v="8"/>
    <x v="0"/>
    <n v="657"/>
    <x v="5"/>
  </r>
  <r>
    <n v="1187"/>
    <s v="Paolo Navarro Macapagal"/>
    <x v="1"/>
    <s v="Male"/>
    <n v="51"/>
    <x v="1"/>
    <x v="183"/>
    <x v="2"/>
    <x v="2"/>
    <x v="1"/>
    <n v="938"/>
    <x v="7"/>
  </r>
  <r>
    <n v="1188"/>
    <s v="Ismael Bautista Flores"/>
    <x v="5"/>
    <s v="Male"/>
    <n v="54"/>
    <x v="1"/>
    <x v="184"/>
    <x v="76"/>
    <x v="7"/>
    <x v="0"/>
    <n v="1219"/>
    <x v="4"/>
  </r>
  <r>
    <n v="1189"/>
    <s v="Larry Co"/>
    <x v="2"/>
    <s v="Male"/>
    <n v="40"/>
    <x v="2"/>
    <x v="24"/>
    <x v="77"/>
    <x v="5"/>
    <x v="0"/>
    <n v="1013"/>
    <x v="7"/>
  </r>
  <r>
    <n v="1190"/>
    <s v="Danilo Bagtas"/>
    <x v="4"/>
    <s v="Male"/>
    <n v="56"/>
    <x v="1"/>
    <x v="185"/>
    <x v="78"/>
    <x v="7"/>
    <x v="0"/>
    <n v="710"/>
    <x v="5"/>
  </r>
  <r>
    <n v="1191"/>
    <s v="Bong Buenaventura"/>
    <x v="0"/>
    <s v="Male"/>
    <n v="31"/>
    <x v="0"/>
    <x v="126"/>
    <x v="2"/>
    <x v="2"/>
    <x v="1"/>
    <n v="393"/>
    <x v="5"/>
  </r>
  <r>
    <n v="1192"/>
    <s v="Maricel Camacho"/>
    <x v="0"/>
    <s v="Other"/>
    <n v="22"/>
    <x v="3"/>
    <x v="186"/>
    <x v="79"/>
    <x v="7"/>
    <x v="0"/>
    <n v="1174"/>
    <x v="4"/>
  </r>
  <r>
    <n v="1193"/>
    <s v="Manuel Tan Umali"/>
    <x v="1"/>
    <s v="Other"/>
    <n v="55"/>
    <x v="1"/>
    <x v="187"/>
    <x v="2"/>
    <x v="2"/>
    <x v="1"/>
    <n v="1905"/>
    <x v="2"/>
  </r>
  <r>
    <n v="1194"/>
    <s v="Hazel Fernandez Suarez"/>
    <x v="4"/>
    <s v="Female"/>
    <n v="24"/>
    <x v="3"/>
    <x v="188"/>
    <x v="2"/>
    <x v="2"/>
    <x v="1"/>
    <n v="2444"/>
    <x v="6"/>
  </r>
  <r>
    <n v="1195"/>
    <s v="Taylor Torres Macaraeg"/>
    <x v="4"/>
    <s v="Other"/>
    <n v="43"/>
    <x v="2"/>
    <x v="189"/>
    <x v="80"/>
    <x v="8"/>
    <x v="0"/>
    <n v="848"/>
    <x v="7"/>
  </r>
  <r>
    <n v="1196"/>
    <s v="Yvonne Uy"/>
    <x v="4"/>
    <s v="Female"/>
    <n v="27"/>
    <x v="3"/>
    <x v="190"/>
    <x v="81"/>
    <x v="3"/>
    <x v="0"/>
    <n v="1663"/>
    <x v="0"/>
  </r>
  <r>
    <n v="1197"/>
    <s v="Pilar Soriano Suarez"/>
    <x v="3"/>
    <s v="Other"/>
    <n v="57"/>
    <x v="1"/>
    <x v="191"/>
    <x v="82"/>
    <x v="8"/>
    <x v="0"/>
    <n v="416"/>
    <x v="5"/>
  </r>
  <r>
    <n v="1198"/>
    <s v="Rosalinda Bautista Rivera"/>
    <x v="0"/>
    <s v="Female"/>
    <n v="46"/>
    <x v="2"/>
    <x v="192"/>
    <x v="2"/>
    <x v="2"/>
    <x v="1"/>
    <n v="1021"/>
    <x v="7"/>
  </r>
  <r>
    <n v="1199"/>
    <s v="Ronaldo Domingo Lacson"/>
    <x v="1"/>
    <s v="Male"/>
    <n v="51"/>
    <x v="1"/>
    <x v="193"/>
    <x v="2"/>
    <x v="2"/>
    <x v="1"/>
    <n v="1921"/>
    <x v="2"/>
  </r>
  <r>
    <n v="1200"/>
    <s v="Maricel Pascual Jacinto"/>
    <x v="5"/>
    <s v="Other"/>
    <n v="44"/>
    <x v="2"/>
    <x v="194"/>
    <x v="2"/>
    <x v="2"/>
    <x v="1"/>
    <n v="2906"/>
    <x v="3"/>
  </r>
  <r>
    <n v="1201"/>
    <s v="Joselito Flores"/>
    <x v="1"/>
    <s v="Male"/>
    <n v="56"/>
    <x v="1"/>
    <x v="195"/>
    <x v="2"/>
    <x v="2"/>
    <x v="1"/>
    <n v="1946"/>
    <x v="2"/>
  </r>
  <r>
    <n v="1202"/>
    <s v="Cameron Vega"/>
    <x v="4"/>
    <s v="Other"/>
    <n v="42"/>
    <x v="2"/>
    <x v="196"/>
    <x v="2"/>
    <x v="2"/>
    <x v="1"/>
    <n v="807"/>
    <x v="7"/>
  </r>
  <r>
    <n v="1203"/>
    <s v="Gina Ramos Delmendo"/>
    <x v="4"/>
    <s v="Female"/>
    <n v="23"/>
    <x v="3"/>
    <x v="197"/>
    <x v="2"/>
    <x v="2"/>
    <x v="1"/>
    <n v="2530"/>
    <x v="6"/>
  </r>
  <r>
    <n v="1204"/>
    <s v="Bryan Ang Ong"/>
    <x v="4"/>
    <s v="Male"/>
    <n v="31"/>
    <x v="0"/>
    <x v="198"/>
    <x v="2"/>
    <x v="2"/>
    <x v="1"/>
    <n v="1482"/>
    <x v="0"/>
  </r>
  <r>
    <n v="1205"/>
    <s v="Grace Obispo"/>
    <x v="5"/>
    <s v="Female"/>
    <n v="22"/>
    <x v="3"/>
    <x v="199"/>
    <x v="34"/>
    <x v="4"/>
    <x v="0"/>
    <n v="314"/>
    <x v="1"/>
  </r>
  <r>
    <n v="1206"/>
    <s v="Willy Bautista Macapagal"/>
    <x v="0"/>
    <s v="Male"/>
    <n v="37"/>
    <x v="0"/>
    <x v="200"/>
    <x v="2"/>
    <x v="2"/>
    <x v="1"/>
    <n v="406"/>
    <x v="5"/>
  </r>
  <r>
    <n v="1207"/>
    <s v="Teresita Torres Ocampo"/>
    <x v="0"/>
    <s v="Female"/>
    <n v="45"/>
    <x v="2"/>
    <x v="201"/>
    <x v="2"/>
    <x v="2"/>
    <x v="1"/>
    <n v="2486"/>
    <x v="6"/>
  </r>
  <r>
    <n v="1208"/>
    <s v="Lorenzo Chan Bondoc"/>
    <x v="1"/>
    <s v="Male"/>
    <n v="47"/>
    <x v="2"/>
    <x v="202"/>
    <x v="2"/>
    <x v="2"/>
    <x v="1"/>
    <n v="2471"/>
    <x v="6"/>
  </r>
  <r>
    <n v="1209"/>
    <s v="Elena Gonzales Elegado"/>
    <x v="2"/>
    <s v="Other"/>
    <n v="24"/>
    <x v="3"/>
    <x v="203"/>
    <x v="83"/>
    <x v="8"/>
    <x v="0"/>
    <n v="116"/>
    <x v="1"/>
  </r>
  <r>
    <n v="1210"/>
    <s v="Teodoro Mercado Solis"/>
    <x v="4"/>
    <s v="Male"/>
    <n v="55"/>
    <x v="1"/>
    <x v="21"/>
    <x v="2"/>
    <x v="2"/>
    <x v="1"/>
    <n v="1640"/>
    <x v="0"/>
  </r>
  <r>
    <n v="1211"/>
    <s v="Ivy Aguilar Macaraeg"/>
    <x v="4"/>
    <s v="Female"/>
    <n v="40"/>
    <x v="2"/>
    <x v="204"/>
    <x v="2"/>
    <x v="2"/>
    <x v="1"/>
    <n v="1908"/>
    <x v="2"/>
  </r>
  <r>
    <n v="1212"/>
    <s v="Nathan Manalang"/>
    <x v="4"/>
    <s v="Male"/>
    <n v="55"/>
    <x v="1"/>
    <x v="205"/>
    <x v="2"/>
    <x v="2"/>
    <x v="1"/>
    <n v="1536"/>
    <x v="0"/>
  </r>
  <r>
    <n v="1213"/>
    <s v="Hazel Aguilar Rivera"/>
    <x v="2"/>
    <s v="Female"/>
    <n v="39"/>
    <x v="0"/>
    <x v="172"/>
    <x v="84"/>
    <x v="7"/>
    <x v="0"/>
    <n v="1901"/>
    <x v="2"/>
  </r>
  <r>
    <n v="1214"/>
    <s v="Lourdes Ramirez Sy"/>
    <x v="3"/>
    <s v="Other"/>
    <n v="29"/>
    <x v="3"/>
    <x v="206"/>
    <x v="2"/>
    <x v="2"/>
    <x v="1"/>
    <n v="2644"/>
    <x v="3"/>
  </r>
  <r>
    <n v="1215"/>
    <s v="Lourdes Guevarra"/>
    <x v="0"/>
    <s v="Female"/>
    <n v="47"/>
    <x v="2"/>
    <x v="207"/>
    <x v="2"/>
    <x v="2"/>
    <x v="1"/>
    <n v="1739"/>
    <x v="0"/>
  </r>
  <r>
    <n v="1216"/>
    <s v="Eddie Umali"/>
    <x v="1"/>
    <s v="Male"/>
    <n v="31"/>
    <x v="0"/>
    <x v="208"/>
    <x v="2"/>
    <x v="2"/>
    <x v="1"/>
    <n v="1425"/>
    <x v="4"/>
  </r>
  <r>
    <n v="1217"/>
    <s v="Queenie Fajardo"/>
    <x v="5"/>
    <s v="Female"/>
    <n v="39"/>
    <x v="0"/>
    <x v="209"/>
    <x v="85"/>
    <x v="7"/>
    <x v="0"/>
    <n v="135"/>
    <x v="1"/>
  </r>
  <r>
    <n v="1218"/>
    <s v="Jacqueline Ocampo"/>
    <x v="2"/>
    <s v="Female"/>
    <n v="32"/>
    <x v="0"/>
    <x v="210"/>
    <x v="2"/>
    <x v="2"/>
    <x v="1"/>
    <n v="1380"/>
    <x v="4"/>
  </r>
  <r>
    <n v="1219"/>
    <s v="Francis Ang Co"/>
    <x v="4"/>
    <s v="Male"/>
    <n v="39"/>
    <x v="0"/>
    <x v="211"/>
    <x v="86"/>
    <x v="4"/>
    <x v="0"/>
    <n v="529"/>
    <x v="5"/>
  </r>
  <r>
    <n v="1220"/>
    <s v="Violeta Diaz Miranda"/>
    <x v="2"/>
    <s v="Female"/>
    <n v="64"/>
    <x v="4"/>
    <x v="212"/>
    <x v="87"/>
    <x v="6"/>
    <x v="0"/>
    <n v="320"/>
    <x v="1"/>
  </r>
  <r>
    <n v="1221"/>
    <s v="Oliver Garcia Estrada"/>
    <x v="2"/>
    <s v="Male"/>
    <n v="32"/>
    <x v="0"/>
    <x v="213"/>
    <x v="2"/>
    <x v="2"/>
    <x v="1"/>
    <n v="2373"/>
    <x v="6"/>
  </r>
  <r>
    <n v="1222"/>
    <s v="Sarah Aguilar Sy"/>
    <x v="4"/>
    <s v="Female"/>
    <n v="29"/>
    <x v="3"/>
    <x v="214"/>
    <x v="88"/>
    <x v="0"/>
    <x v="0"/>
    <n v="598"/>
    <x v="5"/>
  </r>
  <r>
    <n v="1223"/>
    <s v="Pilar Soriano Enriquez"/>
    <x v="3"/>
    <s v="Female"/>
    <n v="57"/>
    <x v="1"/>
    <x v="215"/>
    <x v="89"/>
    <x v="1"/>
    <x v="0"/>
    <n v="1562"/>
    <x v="0"/>
  </r>
  <r>
    <n v="1224"/>
    <s v="Antonio Tan"/>
    <x v="1"/>
    <s v="Other"/>
    <n v="40"/>
    <x v="2"/>
    <x v="107"/>
    <x v="90"/>
    <x v="5"/>
    <x v="0"/>
    <n v="165"/>
    <x v="1"/>
  </r>
  <r>
    <n v="1225"/>
    <s v="Eddie Fajardo"/>
    <x v="0"/>
    <s v="Male"/>
    <n v="44"/>
    <x v="2"/>
    <x v="216"/>
    <x v="2"/>
    <x v="2"/>
    <x v="1"/>
    <n v="1388"/>
    <x v="4"/>
  </r>
  <r>
    <n v="1226"/>
    <s v="Ronaldo Villanueva"/>
    <x v="2"/>
    <s v="Other"/>
    <n v="26"/>
    <x v="3"/>
    <x v="217"/>
    <x v="2"/>
    <x v="2"/>
    <x v="1"/>
    <n v="939"/>
    <x v="7"/>
  </r>
  <r>
    <n v="1227"/>
    <s v="Cameron Uy Pascual"/>
    <x v="1"/>
    <s v="Other"/>
    <n v="53"/>
    <x v="1"/>
    <x v="218"/>
    <x v="2"/>
    <x v="2"/>
    <x v="1"/>
    <n v="2263"/>
    <x v="6"/>
  </r>
  <r>
    <n v="1228"/>
    <s v="Pilar Lim Roque"/>
    <x v="1"/>
    <s v="Female"/>
    <n v="58"/>
    <x v="1"/>
    <x v="219"/>
    <x v="91"/>
    <x v="5"/>
    <x v="0"/>
    <n v="612"/>
    <x v="5"/>
  </r>
  <r>
    <n v="1229"/>
    <s v="Rosa Santos Tolentino"/>
    <x v="4"/>
    <s v="Female"/>
    <n v="50"/>
    <x v="1"/>
    <x v="220"/>
    <x v="2"/>
    <x v="2"/>
    <x v="1"/>
    <n v="336"/>
    <x v="1"/>
  </r>
  <r>
    <n v="1230"/>
    <s v="Fernando Aquino"/>
    <x v="5"/>
    <s v="Male"/>
    <n v="23"/>
    <x v="3"/>
    <x v="221"/>
    <x v="92"/>
    <x v="8"/>
    <x v="0"/>
    <n v="220"/>
    <x v="1"/>
  </r>
  <r>
    <n v="1231"/>
    <s v="Yvonne Ignacio"/>
    <x v="0"/>
    <s v="Female"/>
    <n v="32"/>
    <x v="0"/>
    <x v="222"/>
    <x v="2"/>
    <x v="2"/>
    <x v="1"/>
    <n v="2537"/>
    <x v="6"/>
  </r>
  <r>
    <n v="1232"/>
    <s v="Avery Corpuz"/>
    <x v="4"/>
    <s v="Other"/>
    <n v="45"/>
    <x v="2"/>
    <x v="223"/>
    <x v="93"/>
    <x v="3"/>
    <x v="0"/>
    <n v="1445"/>
    <x v="4"/>
  </r>
  <r>
    <n v="1233"/>
    <s v="Sam Sy Sia"/>
    <x v="1"/>
    <s v="Other"/>
    <n v="46"/>
    <x v="2"/>
    <x v="224"/>
    <x v="94"/>
    <x v="3"/>
    <x v="0"/>
    <n v="318"/>
    <x v="1"/>
  </r>
  <r>
    <n v="1234"/>
    <s v="Morgan Ocampo"/>
    <x v="0"/>
    <s v="Other"/>
    <n v="36"/>
    <x v="0"/>
    <x v="225"/>
    <x v="95"/>
    <x v="0"/>
    <x v="0"/>
    <n v="654"/>
    <x v="5"/>
  </r>
  <r>
    <n v="1235"/>
    <s v="Luisa Perez"/>
    <x v="4"/>
    <s v="Other"/>
    <n v="22"/>
    <x v="3"/>
    <x v="165"/>
    <x v="96"/>
    <x v="7"/>
    <x v="0"/>
    <n v="296"/>
    <x v="1"/>
  </r>
  <r>
    <n v="1236"/>
    <s v="Paz Rivera"/>
    <x v="2"/>
    <s v="Female"/>
    <n v="23"/>
    <x v="3"/>
    <x v="226"/>
    <x v="2"/>
    <x v="2"/>
    <x v="1"/>
    <n v="1444"/>
    <x v="4"/>
  </r>
  <r>
    <n v="1237"/>
    <s v="Hope Navarro Macapagal"/>
    <x v="5"/>
    <s v="Female"/>
    <n v="39"/>
    <x v="0"/>
    <x v="227"/>
    <x v="2"/>
    <x v="2"/>
    <x v="1"/>
    <n v="2132"/>
    <x v="2"/>
  </r>
  <r>
    <n v="1238"/>
    <s v="Fernando Gonzales Torres"/>
    <x v="1"/>
    <s v="Other"/>
    <n v="54"/>
    <x v="1"/>
    <x v="228"/>
    <x v="2"/>
    <x v="2"/>
    <x v="1"/>
    <n v="2186"/>
    <x v="2"/>
  </r>
  <r>
    <n v="1239"/>
    <s v="Leonard Lim Elegado"/>
    <x v="0"/>
    <s v="Male"/>
    <n v="52"/>
    <x v="1"/>
    <x v="229"/>
    <x v="2"/>
    <x v="2"/>
    <x v="1"/>
    <n v="2899"/>
    <x v="3"/>
  </r>
  <r>
    <n v="1240"/>
    <s v="Pacita Sia"/>
    <x v="4"/>
    <s v="Female"/>
    <n v="32"/>
    <x v="0"/>
    <x v="230"/>
    <x v="2"/>
    <x v="2"/>
    <x v="1"/>
    <n v="888"/>
    <x v="7"/>
  </r>
  <r>
    <n v="1241"/>
    <s v="Rafael Rivera Jacinto"/>
    <x v="1"/>
    <s v="Male"/>
    <n v="24"/>
    <x v="3"/>
    <x v="231"/>
    <x v="2"/>
    <x v="2"/>
    <x v="1"/>
    <n v="788"/>
    <x v="7"/>
  </r>
  <r>
    <n v="1242"/>
    <s v="Maricel Fajardo"/>
    <x v="4"/>
    <s v="Female"/>
    <n v="26"/>
    <x v="3"/>
    <x v="232"/>
    <x v="2"/>
    <x v="2"/>
    <x v="1"/>
    <n v="1249"/>
    <x v="4"/>
  </r>
  <r>
    <n v="1243"/>
    <s v="Joy Sia"/>
    <x v="1"/>
    <s v="Female"/>
    <n v="23"/>
    <x v="3"/>
    <x v="233"/>
    <x v="97"/>
    <x v="5"/>
    <x v="0"/>
    <n v="978"/>
    <x v="7"/>
  </r>
  <r>
    <n v="1244"/>
    <s v="Cristina Mercado Lazo"/>
    <x v="1"/>
    <s v="Other"/>
    <n v="28"/>
    <x v="3"/>
    <x v="234"/>
    <x v="2"/>
    <x v="2"/>
    <x v="1"/>
    <n v="1130"/>
    <x v="4"/>
  </r>
  <r>
    <n v="1245"/>
    <s v="Efren Ang Yap"/>
    <x v="0"/>
    <s v="Other"/>
    <n v="45"/>
    <x v="2"/>
    <x v="235"/>
    <x v="2"/>
    <x v="2"/>
    <x v="1"/>
    <n v="1182"/>
    <x v="4"/>
  </r>
  <r>
    <n v="1246"/>
    <s v="Ronaldo Ramirez Macaraeg"/>
    <x v="0"/>
    <s v="Other"/>
    <n v="51"/>
    <x v="1"/>
    <x v="236"/>
    <x v="2"/>
    <x v="2"/>
    <x v="1"/>
    <n v="1780"/>
    <x v="0"/>
  </r>
  <r>
    <n v="1247"/>
    <s v="Yvonne Diaz Chua"/>
    <x v="5"/>
    <s v="Female"/>
    <n v="56"/>
    <x v="1"/>
    <x v="237"/>
    <x v="2"/>
    <x v="2"/>
    <x v="1"/>
    <n v="699"/>
    <x v="5"/>
  </r>
  <r>
    <n v="1248"/>
    <s v="Gerald Go"/>
    <x v="1"/>
    <s v="Male"/>
    <n v="36"/>
    <x v="0"/>
    <x v="238"/>
    <x v="2"/>
    <x v="2"/>
    <x v="1"/>
    <n v="1046"/>
    <x v="7"/>
  </r>
  <r>
    <n v="1249"/>
    <s v="Gloria Bautista Viray"/>
    <x v="0"/>
    <s v="Other"/>
    <n v="52"/>
    <x v="1"/>
    <x v="239"/>
    <x v="98"/>
    <x v="0"/>
    <x v="0"/>
    <n v="811"/>
    <x v="7"/>
  </r>
  <r>
    <n v="1250"/>
    <s v="Antonio Aquino"/>
    <x v="0"/>
    <s v="Other"/>
    <n v="25"/>
    <x v="3"/>
    <x v="240"/>
    <x v="99"/>
    <x v="5"/>
    <x v="0"/>
    <n v="93"/>
    <x v="1"/>
  </r>
  <r>
    <n v="1251"/>
    <s v="Ferdi Santos Delos Reyes"/>
    <x v="1"/>
    <s v="Male"/>
    <n v="44"/>
    <x v="2"/>
    <x v="241"/>
    <x v="2"/>
    <x v="2"/>
    <x v="1"/>
    <n v="2844"/>
    <x v="3"/>
  </r>
  <r>
    <n v="1252"/>
    <s v="Neil Sy Co"/>
    <x v="0"/>
    <s v="Male"/>
    <n v="22"/>
    <x v="3"/>
    <x v="242"/>
    <x v="2"/>
    <x v="2"/>
    <x v="1"/>
    <n v="923"/>
    <x v="7"/>
  </r>
  <r>
    <n v="1253"/>
    <s v="Eduardo Diaz"/>
    <x v="2"/>
    <s v="Other"/>
    <n v="27"/>
    <x v="3"/>
    <x v="243"/>
    <x v="2"/>
    <x v="2"/>
    <x v="1"/>
    <n v="2697"/>
    <x v="3"/>
  </r>
  <r>
    <n v="1254"/>
    <s v="Renato Garcia Jimenez"/>
    <x v="4"/>
    <s v="Male"/>
    <n v="46"/>
    <x v="2"/>
    <x v="172"/>
    <x v="100"/>
    <x v="5"/>
    <x v="0"/>
    <n v="1753"/>
    <x v="0"/>
  </r>
  <r>
    <n v="1255"/>
    <s v="Arnel Santos Hilario"/>
    <x v="5"/>
    <s v="Other"/>
    <n v="23"/>
    <x v="3"/>
    <x v="47"/>
    <x v="2"/>
    <x v="2"/>
    <x v="1"/>
    <n v="2709"/>
    <x v="3"/>
  </r>
  <r>
    <n v="1256"/>
    <s v="Tess Fernandez"/>
    <x v="5"/>
    <s v="Female"/>
    <n v="48"/>
    <x v="2"/>
    <x v="244"/>
    <x v="2"/>
    <x v="2"/>
    <x v="1"/>
    <n v="450"/>
    <x v="5"/>
  </r>
  <r>
    <n v="1257"/>
    <s v="Celine Cruz Guerrero"/>
    <x v="3"/>
    <s v="Female"/>
    <n v="57"/>
    <x v="1"/>
    <x v="245"/>
    <x v="101"/>
    <x v="1"/>
    <x v="0"/>
    <n v="242"/>
    <x v="1"/>
  </r>
  <r>
    <n v="1258"/>
    <s v="Maria Mercado Villanueva"/>
    <x v="1"/>
    <s v="Other"/>
    <n v="22"/>
    <x v="3"/>
    <x v="246"/>
    <x v="2"/>
    <x v="2"/>
    <x v="1"/>
    <n v="2243"/>
    <x v="6"/>
  </r>
  <r>
    <n v="1259"/>
    <s v="Avery Hernandez"/>
    <x v="0"/>
    <s v="Other"/>
    <n v="55"/>
    <x v="1"/>
    <x v="247"/>
    <x v="2"/>
    <x v="2"/>
    <x v="1"/>
    <n v="1733"/>
    <x v="0"/>
  </r>
  <r>
    <n v="1260"/>
    <s v="Jordan Buenaventura"/>
    <x v="0"/>
    <s v="Other"/>
    <n v="24"/>
    <x v="3"/>
    <x v="248"/>
    <x v="2"/>
    <x v="2"/>
    <x v="1"/>
    <n v="2691"/>
    <x v="3"/>
  </r>
  <r>
    <n v="1261"/>
    <s v="Warren Rivera Viray"/>
    <x v="0"/>
    <s v="Male"/>
    <n v="41"/>
    <x v="2"/>
    <x v="249"/>
    <x v="2"/>
    <x v="2"/>
    <x v="1"/>
    <n v="2970"/>
    <x v="8"/>
  </r>
  <r>
    <n v="1262"/>
    <s v="Aldrin Uy"/>
    <x v="4"/>
    <s v="Male"/>
    <n v="45"/>
    <x v="2"/>
    <x v="250"/>
    <x v="2"/>
    <x v="2"/>
    <x v="1"/>
    <n v="2740"/>
    <x v="3"/>
  </r>
  <r>
    <n v="1263"/>
    <s v="Grace Aguilar Manalo"/>
    <x v="1"/>
    <s v="Female"/>
    <n v="30"/>
    <x v="0"/>
    <x v="251"/>
    <x v="102"/>
    <x v="0"/>
    <x v="0"/>
    <n v="308"/>
    <x v="1"/>
  </r>
  <r>
    <n v="1264"/>
    <s v="Lea Garcia Bondoc"/>
    <x v="1"/>
    <s v="Female"/>
    <n v="48"/>
    <x v="2"/>
    <x v="252"/>
    <x v="2"/>
    <x v="2"/>
    <x v="1"/>
    <n v="1253"/>
    <x v="4"/>
  </r>
  <r>
    <n v="1265"/>
    <s v="Rowena Obispo"/>
    <x v="4"/>
    <s v="Female"/>
    <n v="41"/>
    <x v="2"/>
    <x v="253"/>
    <x v="103"/>
    <x v="5"/>
    <x v="0"/>
    <n v="937"/>
    <x v="7"/>
  </r>
  <r>
    <n v="1266"/>
    <s v="Fernando Fernandez Sia"/>
    <x v="3"/>
    <s v="Other"/>
    <n v="57"/>
    <x v="1"/>
    <x v="254"/>
    <x v="104"/>
    <x v="0"/>
    <x v="0"/>
    <n v="479"/>
    <x v="5"/>
  </r>
  <r>
    <n v="1267"/>
    <s v="Manuel Mercado Evangelista"/>
    <x v="1"/>
    <s v="Male"/>
    <n v="47"/>
    <x v="2"/>
    <x v="255"/>
    <x v="2"/>
    <x v="2"/>
    <x v="1"/>
    <n v="1864"/>
    <x v="2"/>
  </r>
  <r>
    <n v="1268"/>
    <s v="Nathan Mangubat"/>
    <x v="5"/>
    <s v="Male"/>
    <n v="33"/>
    <x v="0"/>
    <x v="256"/>
    <x v="105"/>
    <x v="0"/>
    <x v="0"/>
    <n v="713"/>
    <x v="5"/>
  </r>
  <r>
    <n v="1269"/>
    <s v="Cristina Castro Ramirez"/>
    <x v="4"/>
    <s v="Other"/>
    <n v="49"/>
    <x v="2"/>
    <x v="257"/>
    <x v="2"/>
    <x v="2"/>
    <x v="1"/>
    <n v="1720"/>
    <x v="0"/>
  </r>
  <r>
    <n v="1270"/>
    <s v="Teresita Tan Dalisay"/>
    <x v="0"/>
    <s v="Female"/>
    <n v="46"/>
    <x v="2"/>
    <x v="258"/>
    <x v="106"/>
    <x v="7"/>
    <x v="0"/>
    <n v="1513"/>
    <x v="0"/>
  </r>
  <r>
    <n v="1271"/>
    <s v="Jose Guevarra"/>
    <x v="4"/>
    <s v="Other"/>
    <n v="33"/>
    <x v="0"/>
    <x v="259"/>
    <x v="2"/>
    <x v="2"/>
    <x v="1"/>
    <n v="666"/>
    <x v="5"/>
  </r>
  <r>
    <n v="1272"/>
    <s v="Jordan Bondoc"/>
    <x v="1"/>
    <s v="Other"/>
    <n v="34"/>
    <x v="0"/>
    <x v="260"/>
    <x v="2"/>
    <x v="2"/>
    <x v="1"/>
    <n v="1296"/>
    <x v="4"/>
  </r>
  <r>
    <n v="1273"/>
    <s v="Gloria Natividad"/>
    <x v="1"/>
    <s v="Female"/>
    <n v="37"/>
    <x v="0"/>
    <x v="261"/>
    <x v="107"/>
    <x v="3"/>
    <x v="0"/>
    <n v="306"/>
    <x v="1"/>
  </r>
  <r>
    <n v="1274"/>
    <s v="Antonio Evangelista"/>
    <x v="0"/>
    <s v="Male"/>
    <n v="53"/>
    <x v="1"/>
    <x v="262"/>
    <x v="2"/>
    <x v="2"/>
    <x v="1"/>
    <n v="258"/>
    <x v="1"/>
  </r>
  <r>
    <n v="1275"/>
    <s v="Ivan Pascual"/>
    <x v="2"/>
    <s v="Male"/>
    <n v="26"/>
    <x v="3"/>
    <x v="206"/>
    <x v="2"/>
    <x v="2"/>
    <x v="1"/>
    <n v="2644"/>
    <x v="3"/>
  </r>
  <r>
    <n v="1276"/>
    <s v="Rosa Domingo Lopez"/>
    <x v="1"/>
    <s v="Other"/>
    <n v="46"/>
    <x v="2"/>
    <x v="247"/>
    <x v="2"/>
    <x v="2"/>
    <x v="1"/>
    <n v="1733"/>
    <x v="0"/>
  </r>
  <r>
    <n v="1277"/>
    <s v="Antonio Go Natividad"/>
    <x v="1"/>
    <s v="Other"/>
    <n v="56"/>
    <x v="1"/>
    <x v="263"/>
    <x v="2"/>
    <x v="2"/>
    <x v="1"/>
    <n v="714"/>
    <x v="5"/>
  </r>
  <r>
    <n v="1278"/>
    <s v="Aldrin Camacho"/>
    <x v="5"/>
    <s v="Male"/>
    <n v="53"/>
    <x v="1"/>
    <x v="264"/>
    <x v="108"/>
    <x v="8"/>
    <x v="0"/>
    <n v="190"/>
    <x v="1"/>
  </r>
  <r>
    <n v="1279"/>
    <s v="Teresa Mendoza Umali"/>
    <x v="1"/>
    <s v="Other"/>
    <n v="30"/>
    <x v="0"/>
    <x v="265"/>
    <x v="109"/>
    <x v="3"/>
    <x v="0"/>
    <n v="1022"/>
    <x v="7"/>
  </r>
  <r>
    <n v="1280"/>
    <s v="Danilo Lopez Bayani"/>
    <x v="4"/>
    <s v="Other"/>
    <n v="41"/>
    <x v="2"/>
    <x v="266"/>
    <x v="110"/>
    <x v="0"/>
    <x v="0"/>
    <n v="561"/>
    <x v="5"/>
  </r>
  <r>
    <n v="1281"/>
    <s v="Danilo Go Jacinto"/>
    <x v="3"/>
    <s v="Other"/>
    <n v="54"/>
    <x v="1"/>
    <x v="267"/>
    <x v="2"/>
    <x v="2"/>
    <x v="1"/>
    <n v="2377"/>
    <x v="6"/>
  </r>
  <r>
    <n v="1282"/>
    <s v="Timothy Castro Tolentino"/>
    <x v="1"/>
    <s v="Male"/>
    <n v="32"/>
    <x v="0"/>
    <x v="268"/>
    <x v="2"/>
    <x v="2"/>
    <x v="1"/>
    <n v="2328"/>
    <x v="6"/>
  </r>
  <r>
    <n v="1283"/>
    <s v="Carlos Gonzales Macapagal"/>
    <x v="4"/>
    <s v="Male"/>
    <n v="21"/>
    <x v="3"/>
    <x v="269"/>
    <x v="111"/>
    <x v="1"/>
    <x v="0"/>
    <n v="125"/>
    <x v="1"/>
  </r>
  <r>
    <n v="1284"/>
    <s v="Ivy Elegado"/>
    <x v="4"/>
    <s v="Female"/>
    <n v="28"/>
    <x v="3"/>
    <x v="270"/>
    <x v="2"/>
    <x v="2"/>
    <x v="1"/>
    <n v="2017"/>
    <x v="2"/>
  </r>
  <r>
    <n v="1285"/>
    <s v="Hernando Figueroa"/>
    <x v="4"/>
    <s v="Male"/>
    <n v="46"/>
    <x v="2"/>
    <x v="271"/>
    <x v="112"/>
    <x v="3"/>
    <x v="0"/>
    <n v="450"/>
    <x v="5"/>
  </r>
  <r>
    <n v="1286"/>
    <s v="Ismael Ignacio"/>
    <x v="4"/>
    <s v="Male"/>
    <n v="53"/>
    <x v="1"/>
    <x v="272"/>
    <x v="113"/>
    <x v="6"/>
    <x v="0"/>
    <n v="120"/>
    <x v="1"/>
  </r>
  <r>
    <n v="1287"/>
    <s v="Ismael Viray"/>
    <x v="0"/>
    <s v="Male"/>
    <n v="29"/>
    <x v="3"/>
    <x v="273"/>
    <x v="2"/>
    <x v="2"/>
    <x v="1"/>
    <n v="737"/>
    <x v="7"/>
  </r>
  <r>
    <n v="1288"/>
    <s v="Dennis Natividad"/>
    <x v="5"/>
    <s v="Male"/>
    <n v="32"/>
    <x v="0"/>
    <x v="274"/>
    <x v="114"/>
    <x v="0"/>
    <x v="0"/>
    <n v="385"/>
    <x v="5"/>
  </r>
  <r>
    <n v="1289"/>
    <s v="Pilar Ang Corpuz"/>
    <x v="2"/>
    <s v="Other"/>
    <n v="52"/>
    <x v="1"/>
    <x v="275"/>
    <x v="65"/>
    <x v="4"/>
    <x v="0"/>
    <n v="1662"/>
    <x v="0"/>
  </r>
  <r>
    <n v="1290"/>
    <s v="Antonio Ramirez Chua"/>
    <x v="4"/>
    <s v="Other"/>
    <n v="52"/>
    <x v="1"/>
    <x v="276"/>
    <x v="115"/>
    <x v="3"/>
    <x v="0"/>
    <n v="216"/>
    <x v="1"/>
  </r>
  <r>
    <n v="1291"/>
    <s v="Jessa Torres Hilario"/>
    <x v="0"/>
    <s v="Female"/>
    <n v="50"/>
    <x v="1"/>
    <x v="277"/>
    <x v="2"/>
    <x v="2"/>
    <x v="1"/>
    <n v="775"/>
    <x v="7"/>
  </r>
  <r>
    <n v="1292"/>
    <s v="Eduardo Flores Obispo"/>
    <x v="4"/>
    <s v="Male"/>
    <n v="44"/>
    <x v="2"/>
    <x v="278"/>
    <x v="2"/>
    <x v="2"/>
    <x v="1"/>
    <n v="871"/>
    <x v="7"/>
  </r>
  <r>
    <n v="1293"/>
    <s v="Carmen Garcia Natividad"/>
    <x v="3"/>
    <s v="Female"/>
    <n v="36"/>
    <x v="0"/>
    <x v="279"/>
    <x v="2"/>
    <x v="2"/>
    <x v="1"/>
    <n v="1872"/>
    <x v="2"/>
  </r>
  <r>
    <n v="1294"/>
    <s v="Lourdes Sy Hernandez"/>
    <x v="4"/>
    <s v="Other"/>
    <n v="36"/>
    <x v="0"/>
    <x v="280"/>
    <x v="2"/>
    <x v="2"/>
    <x v="1"/>
    <n v="2232"/>
    <x v="6"/>
  </r>
  <r>
    <n v="1295"/>
    <s v="Tess Lopez Manalang"/>
    <x v="1"/>
    <s v="Female"/>
    <n v="34"/>
    <x v="0"/>
    <x v="281"/>
    <x v="2"/>
    <x v="2"/>
    <x v="1"/>
    <n v="2244"/>
    <x v="6"/>
  </r>
  <r>
    <n v="1296"/>
    <s v="Taylor Ramirez"/>
    <x v="4"/>
    <s v="Other"/>
    <n v="39"/>
    <x v="0"/>
    <x v="282"/>
    <x v="116"/>
    <x v="4"/>
    <x v="0"/>
    <n v="616"/>
    <x v="5"/>
  </r>
  <r>
    <n v="1297"/>
    <s v="Eduardo Fernandez Figueroa"/>
    <x v="2"/>
    <s v="Other"/>
    <n v="60"/>
    <x v="4"/>
    <x v="283"/>
    <x v="117"/>
    <x v="6"/>
    <x v="0"/>
    <n v="157"/>
    <x v="1"/>
  </r>
  <r>
    <n v="1298"/>
    <s v="Maricel Aguilar Vergara"/>
    <x v="0"/>
    <s v="Female"/>
    <n v="47"/>
    <x v="2"/>
    <x v="284"/>
    <x v="2"/>
    <x v="2"/>
    <x v="1"/>
    <n v="1555"/>
    <x v="0"/>
  </r>
  <r>
    <n v="1299"/>
    <s v="Casey Dela Torre"/>
    <x v="5"/>
    <s v="Other"/>
    <n v="50"/>
    <x v="1"/>
    <x v="285"/>
    <x v="118"/>
    <x v="3"/>
    <x v="0"/>
    <n v="92"/>
    <x v="1"/>
  </r>
  <r>
    <n v="1300"/>
    <s v="Rosa Navarro Rivera"/>
    <x v="0"/>
    <s v="Other"/>
    <n v="25"/>
    <x v="3"/>
    <x v="286"/>
    <x v="2"/>
    <x v="2"/>
    <x v="1"/>
    <n v="902"/>
    <x v="7"/>
  </r>
  <r>
    <n v="1301"/>
    <s v="Gani Buenaventura"/>
    <x v="2"/>
    <s v="Male"/>
    <n v="57"/>
    <x v="1"/>
    <x v="287"/>
    <x v="2"/>
    <x v="2"/>
    <x v="1"/>
    <n v="2557"/>
    <x v="3"/>
  </r>
  <r>
    <n v="1302"/>
    <s v="Maria Ramos Estrada"/>
    <x v="5"/>
    <s v="Female"/>
    <n v="50"/>
    <x v="1"/>
    <x v="288"/>
    <x v="119"/>
    <x v="5"/>
    <x v="0"/>
    <n v="737"/>
    <x v="7"/>
  </r>
  <r>
    <n v="1303"/>
    <s v="Violeta Lopez Ramos"/>
    <x v="2"/>
    <s v="Female"/>
    <n v="38"/>
    <x v="0"/>
    <x v="47"/>
    <x v="2"/>
    <x v="2"/>
    <x v="1"/>
    <n v="2709"/>
    <x v="3"/>
  </r>
  <r>
    <n v="1304"/>
    <s v="Efren Ocampo Santos"/>
    <x v="1"/>
    <s v="Male"/>
    <n v="35"/>
    <x v="0"/>
    <x v="289"/>
    <x v="2"/>
    <x v="2"/>
    <x v="1"/>
    <n v="1333"/>
    <x v="4"/>
  </r>
  <r>
    <n v="1305"/>
    <s v="Aileen Ocampo Hernandez"/>
    <x v="1"/>
    <s v="Female"/>
    <n v="49"/>
    <x v="2"/>
    <x v="290"/>
    <x v="120"/>
    <x v="3"/>
    <x v="0"/>
    <n v="1497"/>
    <x v="0"/>
  </r>
  <r>
    <n v="1306"/>
    <s v="Corazon Bayani"/>
    <x v="1"/>
    <s v="Female"/>
    <n v="27"/>
    <x v="3"/>
    <x v="291"/>
    <x v="121"/>
    <x v="0"/>
    <x v="0"/>
    <n v="1315"/>
    <x v="4"/>
  </r>
  <r>
    <n v="1307"/>
    <s v="Victor Manalang"/>
    <x v="1"/>
    <s v="Male"/>
    <n v="21"/>
    <x v="3"/>
    <x v="292"/>
    <x v="2"/>
    <x v="2"/>
    <x v="1"/>
    <n v="592"/>
    <x v="5"/>
  </r>
  <r>
    <n v="1308"/>
    <s v="Ofelia Dela Cruz"/>
    <x v="0"/>
    <s v="Female"/>
    <n v="47"/>
    <x v="2"/>
    <x v="293"/>
    <x v="2"/>
    <x v="2"/>
    <x v="1"/>
    <n v="568"/>
    <x v="5"/>
  </r>
  <r>
    <n v="1309"/>
    <s v="Hope Garcia Ramirez"/>
    <x v="1"/>
    <s v="Female"/>
    <n v="45"/>
    <x v="2"/>
    <x v="294"/>
    <x v="2"/>
    <x v="2"/>
    <x v="1"/>
    <n v="1652"/>
    <x v="0"/>
  </r>
  <r>
    <n v="1310"/>
    <s v="Bong Tan Cueto"/>
    <x v="4"/>
    <s v="Male"/>
    <n v="39"/>
    <x v="0"/>
    <x v="295"/>
    <x v="122"/>
    <x v="0"/>
    <x v="0"/>
    <n v="167"/>
    <x v="1"/>
  </r>
  <r>
    <n v="1311"/>
    <s v="Rosalinda Zamora"/>
    <x v="4"/>
    <s v="Female"/>
    <n v="36"/>
    <x v="0"/>
    <x v="296"/>
    <x v="2"/>
    <x v="2"/>
    <x v="1"/>
    <n v="1064"/>
    <x v="7"/>
  </r>
  <r>
    <n v="1312"/>
    <s v="Avery Salazar"/>
    <x v="1"/>
    <s v="Other"/>
    <n v="21"/>
    <x v="3"/>
    <x v="297"/>
    <x v="2"/>
    <x v="2"/>
    <x v="1"/>
    <n v="1612"/>
    <x v="0"/>
  </r>
  <r>
    <n v="1313"/>
    <s v="Manuel Santos Cruz"/>
    <x v="0"/>
    <s v="Male"/>
    <n v="32"/>
    <x v="0"/>
    <x v="298"/>
    <x v="2"/>
    <x v="2"/>
    <x v="1"/>
    <n v="1162"/>
    <x v="4"/>
  </r>
  <r>
    <n v="1314"/>
    <s v="Kath Tan Camacho"/>
    <x v="4"/>
    <s v="Female"/>
    <n v="24"/>
    <x v="3"/>
    <x v="299"/>
    <x v="2"/>
    <x v="2"/>
    <x v="1"/>
    <n v="1461"/>
    <x v="0"/>
  </r>
  <r>
    <n v="1315"/>
    <s v="Lorenzo Tan Domingo"/>
    <x v="1"/>
    <s v="Male"/>
    <n v="30"/>
    <x v="0"/>
    <x v="300"/>
    <x v="123"/>
    <x v="8"/>
    <x v="0"/>
    <n v="251"/>
    <x v="1"/>
  </r>
  <r>
    <n v="1316"/>
    <s v="Eduardo Sy Torres"/>
    <x v="0"/>
    <s v="Other"/>
    <n v="25"/>
    <x v="3"/>
    <x v="301"/>
    <x v="2"/>
    <x v="2"/>
    <x v="1"/>
    <n v="1821"/>
    <x v="0"/>
  </r>
  <r>
    <n v="1317"/>
    <s v="Hernando Ramos Castro"/>
    <x v="1"/>
    <s v="Male"/>
    <n v="24"/>
    <x v="3"/>
    <x v="302"/>
    <x v="2"/>
    <x v="2"/>
    <x v="1"/>
    <n v="1825"/>
    <x v="0"/>
  </r>
  <r>
    <n v="1318"/>
    <s v="Abigail Aguilar Pascual"/>
    <x v="5"/>
    <s v="Female"/>
    <n v="43"/>
    <x v="2"/>
    <x v="303"/>
    <x v="2"/>
    <x v="2"/>
    <x v="1"/>
    <n v="949"/>
    <x v="7"/>
  </r>
  <r>
    <n v="1319"/>
    <s v="Beatriz Ocampo Elegado"/>
    <x v="5"/>
    <s v="Female"/>
    <n v="22"/>
    <x v="3"/>
    <x v="304"/>
    <x v="2"/>
    <x v="2"/>
    <x v="1"/>
    <n v="1719"/>
    <x v="0"/>
  </r>
  <r>
    <n v="1320"/>
    <s v="Gregorio Mendoza Ignacio"/>
    <x v="0"/>
    <s v="Male"/>
    <n v="24"/>
    <x v="3"/>
    <x v="305"/>
    <x v="2"/>
    <x v="2"/>
    <x v="1"/>
    <n v="1045"/>
    <x v="7"/>
  </r>
  <r>
    <n v="1321"/>
    <s v="Juan Garcia"/>
    <x v="2"/>
    <s v="Male"/>
    <n v="28"/>
    <x v="3"/>
    <x v="306"/>
    <x v="2"/>
    <x v="2"/>
    <x v="1"/>
    <n v="2156"/>
    <x v="2"/>
  </r>
  <r>
    <n v="1322"/>
    <s v="Jacqueline Lim Ocampo"/>
    <x v="1"/>
    <s v="Female"/>
    <n v="44"/>
    <x v="2"/>
    <x v="307"/>
    <x v="2"/>
    <x v="2"/>
    <x v="1"/>
    <n v="1523"/>
    <x v="0"/>
  </r>
  <r>
    <n v="1323"/>
    <s v="Patricia Bautista Castro"/>
    <x v="1"/>
    <s v="Female"/>
    <n v="41"/>
    <x v="2"/>
    <x v="308"/>
    <x v="2"/>
    <x v="2"/>
    <x v="1"/>
    <n v="1980"/>
    <x v="2"/>
  </r>
  <r>
    <n v="1324"/>
    <s v="Manuel Go Dalisay"/>
    <x v="1"/>
    <s v="Other"/>
    <n v="23"/>
    <x v="3"/>
    <x v="309"/>
    <x v="124"/>
    <x v="3"/>
    <x v="0"/>
    <n v="1042"/>
    <x v="7"/>
  </r>
  <r>
    <n v="1325"/>
    <s v="Teresita Ang Suarez"/>
    <x v="1"/>
    <s v="Female"/>
    <n v="57"/>
    <x v="1"/>
    <x v="78"/>
    <x v="2"/>
    <x v="2"/>
    <x v="1"/>
    <n v="1847"/>
    <x v="2"/>
  </r>
  <r>
    <n v="1326"/>
    <s v="Antonio Santos Guerrero"/>
    <x v="3"/>
    <s v="Other"/>
    <n v="55"/>
    <x v="1"/>
    <x v="310"/>
    <x v="107"/>
    <x v="5"/>
    <x v="0"/>
    <n v="1999"/>
    <x v="2"/>
  </r>
  <r>
    <n v="1327"/>
    <s v="Yvonne Viray"/>
    <x v="3"/>
    <s v="Female"/>
    <n v="45"/>
    <x v="2"/>
    <x v="311"/>
    <x v="125"/>
    <x v="4"/>
    <x v="0"/>
    <n v="1175"/>
    <x v="4"/>
  </r>
  <r>
    <n v="1328"/>
    <s v="Mae Bondoc"/>
    <x v="3"/>
    <s v="Female"/>
    <n v="38"/>
    <x v="0"/>
    <x v="312"/>
    <x v="126"/>
    <x v="3"/>
    <x v="0"/>
    <n v="1038"/>
    <x v="7"/>
  </r>
  <r>
    <n v="1329"/>
    <s v="Maria Bautista Villanueva"/>
    <x v="4"/>
    <s v="Other"/>
    <n v="26"/>
    <x v="3"/>
    <x v="40"/>
    <x v="127"/>
    <x v="7"/>
    <x v="0"/>
    <n v="226"/>
    <x v="1"/>
  </r>
  <r>
    <n v="1330"/>
    <s v="Maria Jimenez"/>
    <x v="4"/>
    <s v="Other"/>
    <n v="36"/>
    <x v="0"/>
    <x v="313"/>
    <x v="128"/>
    <x v="4"/>
    <x v="0"/>
    <n v="735"/>
    <x v="7"/>
  </r>
  <r>
    <n v="1331"/>
    <s v="Crisanto Mendoza Narvasa"/>
    <x v="4"/>
    <s v="Male"/>
    <n v="35"/>
    <x v="0"/>
    <x v="314"/>
    <x v="2"/>
    <x v="2"/>
    <x v="1"/>
    <n v="2786"/>
    <x v="3"/>
  </r>
  <r>
    <n v="1332"/>
    <s v="Lorenzo Domingo Natividad"/>
    <x v="1"/>
    <s v="Male"/>
    <n v="47"/>
    <x v="2"/>
    <x v="315"/>
    <x v="2"/>
    <x v="2"/>
    <x v="1"/>
    <n v="2597"/>
    <x v="3"/>
  </r>
  <r>
    <n v="1333"/>
    <s v="Elena Rivera"/>
    <x v="2"/>
    <s v="Female"/>
    <n v="40"/>
    <x v="2"/>
    <x v="269"/>
    <x v="2"/>
    <x v="2"/>
    <x v="1"/>
    <n v="205"/>
    <x v="1"/>
  </r>
  <r>
    <n v="1334"/>
    <s v="Isabel Gonzales Figueroa"/>
    <x v="4"/>
    <s v="Female"/>
    <n v="36"/>
    <x v="0"/>
    <x v="316"/>
    <x v="2"/>
    <x v="2"/>
    <x v="1"/>
    <n v="1634"/>
    <x v="0"/>
  </r>
  <r>
    <n v="1335"/>
    <s v="Renato Ramos Fernandez"/>
    <x v="1"/>
    <s v="Male"/>
    <n v="49"/>
    <x v="2"/>
    <x v="317"/>
    <x v="2"/>
    <x v="2"/>
    <x v="1"/>
    <n v="814"/>
    <x v="7"/>
  </r>
  <r>
    <n v="1336"/>
    <s v="Rowena Ocampo Narvasa"/>
    <x v="1"/>
    <s v="Female"/>
    <n v="35"/>
    <x v="0"/>
    <x v="318"/>
    <x v="129"/>
    <x v="5"/>
    <x v="0"/>
    <n v="1730"/>
    <x v="0"/>
  </r>
  <r>
    <n v="1337"/>
    <s v="Fe Sy Mendoza"/>
    <x v="1"/>
    <s v="Female"/>
    <n v="49"/>
    <x v="2"/>
    <x v="319"/>
    <x v="130"/>
    <x v="0"/>
    <x v="0"/>
    <n v="1448"/>
    <x v="4"/>
  </r>
  <r>
    <n v="1338"/>
    <s v="Hernando Gonzales Crisostomo"/>
    <x v="2"/>
    <s v="Male"/>
    <n v="22"/>
    <x v="3"/>
    <x v="320"/>
    <x v="2"/>
    <x v="2"/>
    <x v="1"/>
    <n v="1524"/>
    <x v="0"/>
  </r>
  <r>
    <n v="1339"/>
    <s v="Renato Lim Bayani"/>
    <x v="4"/>
    <s v="Male"/>
    <n v="30"/>
    <x v="0"/>
    <x v="321"/>
    <x v="2"/>
    <x v="2"/>
    <x v="1"/>
    <n v="2950"/>
    <x v="8"/>
  </r>
  <r>
    <n v="1340"/>
    <s v="Rafael Vega"/>
    <x v="2"/>
    <s v="Male"/>
    <n v="26"/>
    <x v="3"/>
    <x v="195"/>
    <x v="2"/>
    <x v="2"/>
    <x v="1"/>
    <n v="1946"/>
    <x v="2"/>
  </r>
  <r>
    <n v="1341"/>
    <s v="Mylene Ang Umali"/>
    <x v="2"/>
    <s v="Female"/>
    <n v="55"/>
    <x v="1"/>
    <x v="322"/>
    <x v="2"/>
    <x v="2"/>
    <x v="1"/>
    <n v="3012"/>
    <x v="8"/>
  </r>
  <r>
    <n v="1342"/>
    <s v="Ramon Chan Ang"/>
    <x v="4"/>
    <s v="Male"/>
    <n v="57"/>
    <x v="1"/>
    <x v="323"/>
    <x v="131"/>
    <x v="6"/>
    <x v="0"/>
    <n v="143"/>
    <x v="1"/>
  </r>
  <r>
    <n v="1343"/>
    <s v="Antonio Macapagal"/>
    <x v="0"/>
    <s v="Other"/>
    <n v="51"/>
    <x v="1"/>
    <x v="324"/>
    <x v="132"/>
    <x v="6"/>
    <x v="0"/>
    <n v="1077"/>
    <x v="7"/>
  </r>
  <r>
    <n v="1344"/>
    <s v="Ivan Vega Ong"/>
    <x v="2"/>
    <s v="Male"/>
    <n v="32"/>
    <x v="0"/>
    <x v="325"/>
    <x v="133"/>
    <x v="3"/>
    <x v="0"/>
    <n v="1392"/>
    <x v="4"/>
  </r>
  <r>
    <n v="1345"/>
    <s v="Ian Ang Guerrero"/>
    <x v="3"/>
    <s v="Male"/>
    <n v="57"/>
    <x v="1"/>
    <x v="326"/>
    <x v="2"/>
    <x v="2"/>
    <x v="1"/>
    <n v="2320"/>
    <x v="6"/>
  </r>
  <r>
    <n v="1346"/>
    <s v="Maria Mangubat"/>
    <x v="1"/>
    <s v="Female"/>
    <n v="35"/>
    <x v="0"/>
    <x v="327"/>
    <x v="2"/>
    <x v="2"/>
    <x v="1"/>
    <n v="3010"/>
    <x v="8"/>
  </r>
  <r>
    <n v="1347"/>
    <s v="Erlinda Gonzales"/>
    <x v="1"/>
    <s v="Female"/>
    <n v="32"/>
    <x v="0"/>
    <x v="328"/>
    <x v="134"/>
    <x v="7"/>
    <x v="0"/>
    <n v="392"/>
    <x v="5"/>
  </r>
  <r>
    <n v="1348"/>
    <s v="Maria Soriano Ong"/>
    <x v="2"/>
    <s v="Other"/>
    <n v="44"/>
    <x v="2"/>
    <x v="329"/>
    <x v="2"/>
    <x v="2"/>
    <x v="1"/>
    <n v="206"/>
    <x v="1"/>
  </r>
  <r>
    <n v="1349"/>
    <s v="Rodel Soriano"/>
    <x v="4"/>
    <s v="Other"/>
    <n v="48"/>
    <x v="2"/>
    <x v="330"/>
    <x v="2"/>
    <x v="2"/>
    <x v="1"/>
    <n v="473"/>
    <x v="5"/>
  </r>
  <r>
    <n v="1350"/>
    <s v="Jose Pascual Panganiban"/>
    <x v="0"/>
    <s v="Other"/>
    <n v="43"/>
    <x v="2"/>
    <x v="331"/>
    <x v="2"/>
    <x v="2"/>
    <x v="1"/>
    <n v="2177"/>
    <x v="2"/>
  </r>
  <r>
    <n v="1351"/>
    <s v="Maricel Navarro Ocampo"/>
    <x v="1"/>
    <s v="Other"/>
    <n v="57"/>
    <x v="1"/>
    <x v="332"/>
    <x v="2"/>
    <x v="2"/>
    <x v="1"/>
    <n v="1488"/>
    <x v="0"/>
  </r>
  <r>
    <n v="1352"/>
    <s v="Isabel Ocampo Mercado"/>
    <x v="3"/>
    <s v="Other"/>
    <n v="35"/>
    <x v="0"/>
    <x v="333"/>
    <x v="2"/>
    <x v="2"/>
    <x v="1"/>
    <n v="472"/>
    <x v="5"/>
  </r>
  <r>
    <n v="1353"/>
    <s v="Casey Lazo"/>
    <x v="1"/>
    <s v="Other"/>
    <n v="31"/>
    <x v="0"/>
    <x v="334"/>
    <x v="2"/>
    <x v="2"/>
    <x v="1"/>
    <n v="486"/>
    <x v="5"/>
  </r>
  <r>
    <n v="1354"/>
    <s v="Severino Lopez"/>
    <x v="5"/>
    <s v="Male"/>
    <n v="21"/>
    <x v="3"/>
    <x v="335"/>
    <x v="135"/>
    <x v="0"/>
    <x v="0"/>
    <n v="1509"/>
    <x v="0"/>
  </r>
  <r>
    <n v="1355"/>
    <s v="Ian Rivera Panganiban"/>
    <x v="1"/>
    <s v="Male"/>
    <n v="47"/>
    <x v="2"/>
    <x v="336"/>
    <x v="2"/>
    <x v="2"/>
    <x v="1"/>
    <n v="2410"/>
    <x v="6"/>
  </r>
  <r>
    <n v="1356"/>
    <s v="Nicanor Cruz Aguilar"/>
    <x v="1"/>
    <s v="Male"/>
    <n v="57"/>
    <x v="1"/>
    <x v="337"/>
    <x v="2"/>
    <x v="2"/>
    <x v="1"/>
    <n v="425"/>
    <x v="5"/>
  </r>
  <r>
    <n v="1357"/>
    <s v="Gloria Hilario"/>
    <x v="4"/>
    <s v="Female"/>
    <n v="27"/>
    <x v="3"/>
    <x v="338"/>
    <x v="136"/>
    <x v="0"/>
    <x v="0"/>
    <n v="1627"/>
    <x v="0"/>
  </r>
  <r>
    <n v="1358"/>
    <s v="Timothy Diaz Aguilar"/>
    <x v="3"/>
    <s v="Male"/>
    <n v="51"/>
    <x v="1"/>
    <x v="329"/>
    <x v="137"/>
    <x v="0"/>
    <x v="0"/>
    <n v="173"/>
    <x v="1"/>
  </r>
  <r>
    <n v="1359"/>
    <s v="Isabel Ang Tolentino"/>
    <x v="1"/>
    <s v="Female"/>
    <n v="53"/>
    <x v="1"/>
    <x v="339"/>
    <x v="138"/>
    <x v="6"/>
    <x v="0"/>
    <n v="378"/>
    <x v="5"/>
  </r>
  <r>
    <n v="1360"/>
    <s v="Ramon Pascual Santiago"/>
    <x v="1"/>
    <s v="Male"/>
    <n v="48"/>
    <x v="2"/>
    <x v="340"/>
    <x v="139"/>
    <x v="0"/>
    <x v="0"/>
    <n v="2057"/>
    <x v="2"/>
  </r>
  <r>
    <n v="1361"/>
    <s v="Eddie Viray"/>
    <x v="3"/>
    <s v="Male"/>
    <n v="28"/>
    <x v="3"/>
    <x v="341"/>
    <x v="2"/>
    <x v="2"/>
    <x v="1"/>
    <n v="1828"/>
    <x v="2"/>
  </r>
  <r>
    <n v="1362"/>
    <s v="Warren Go Garcia"/>
    <x v="4"/>
    <s v="Male"/>
    <n v="45"/>
    <x v="2"/>
    <x v="342"/>
    <x v="140"/>
    <x v="5"/>
    <x v="0"/>
    <n v="1652"/>
    <x v="0"/>
  </r>
  <r>
    <n v="1363"/>
    <s v="Efren Ramirez Guerrero"/>
    <x v="4"/>
    <s v="Other"/>
    <n v="57"/>
    <x v="1"/>
    <x v="343"/>
    <x v="141"/>
    <x v="0"/>
    <x v="0"/>
    <n v="486"/>
    <x v="5"/>
  </r>
  <r>
    <n v="1364"/>
    <s v="Elena Macapagal"/>
    <x v="0"/>
    <s v="Other"/>
    <n v="54"/>
    <x v="1"/>
    <x v="344"/>
    <x v="2"/>
    <x v="2"/>
    <x v="1"/>
    <n v="1377"/>
    <x v="4"/>
  </r>
  <r>
    <n v="1365"/>
    <s v="Mae Macapagal"/>
    <x v="0"/>
    <s v="Female"/>
    <n v="23"/>
    <x v="3"/>
    <x v="345"/>
    <x v="2"/>
    <x v="2"/>
    <x v="1"/>
    <n v="1035"/>
    <x v="7"/>
  </r>
  <r>
    <n v="1366"/>
    <s v="Imelda Rivera"/>
    <x v="0"/>
    <s v="Female"/>
    <n v="49"/>
    <x v="2"/>
    <x v="346"/>
    <x v="2"/>
    <x v="2"/>
    <x v="1"/>
    <n v="2383"/>
    <x v="6"/>
  </r>
  <r>
    <n v="1367"/>
    <s v="Diosdado Ocampo Perez"/>
    <x v="1"/>
    <s v="Male"/>
    <n v="48"/>
    <x v="2"/>
    <x v="347"/>
    <x v="2"/>
    <x v="2"/>
    <x v="1"/>
    <n v="2264"/>
    <x v="6"/>
  </r>
  <r>
    <n v="1368"/>
    <s v="Larry Roque"/>
    <x v="1"/>
    <s v="Male"/>
    <n v="56"/>
    <x v="1"/>
    <x v="348"/>
    <x v="2"/>
    <x v="2"/>
    <x v="1"/>
    <n v="1756"/>
    <x v="0"/>
  </r>
  <r>
    <n v="1369"/>
    <s v="Morgan Mendoza Camacho"/>
    <x v="1"/>
    <s v="Other"/>
    <n v="58"/>
    <x v="1"/>
    <x v="349"/>
    <x v="2"/>
    <x v="2"/>
    <x v="1"/>
    <n v="951"/>
    <x v="7"/>
  </r>
  <r>
    <n v="1370"/>
    <s v="Harold Ang Bondoc"/>
    <x v="3"/>
    <s v="Male"/>
    <n v="27"/>
    <x v="3"/>
    <x v="350"/>
    <x v="2"/>
    <x v="2"/>
    <x v="1"/>
    <n v="1920"/>
    <x v="2"/>
  </r>
  <r>
    <n v="1371"/>
    <s v="Bong Guevarra"/>
    <x v="0"/>
    <s v="Male"/>
    <n v="32"/>
    <x v="0"/>
    <x v="351"/>
    <x v="2"/>
    <x v="2"/>
    <x v="1"/>
    <n v="1963"/>
    <x v="2"/>
  </r>
  <r>
    <n v="1372"/>
    <s v="Ronaldo Soriano Cruz"/>
    <x v="1"/>
    <s v="Other"/>
    <n v="42"/>
    <x v="2"/>
    <x v="295"/>
    <x v="142"/>
    <x v="4"/>
    <x v="0"/>
    <n v="211"/>
    <x v="1"/>
  </r>
  <r>
    <n v="1373"/>
    <s v="Rodel Wong"/>
    <x v="4"/>
    <s v="Other"/>
    <n v="27"/>
    <x v="3"/>
    <x v="352"/>
    <x v="143"/>
    <x v="1"/>
    <x v="0"/>
    <n v="1904"/>
    <x v="2"/>
  </r>
  <r>
    <n v="1374"/>
    <s v="Wendy Santiago San Pedro"/>
    <x v="0"/>
    <s v="Female"/>
    <n v="49"/>
    <x v="2"/>
    <x v="353"/>
    <x v="2"/>
    <x v="2"/>
    <x v="1"/>
    <n v="2226"/>
    <x v="6"/>
  </r>
  <r>
    <n v="1375"/>
    <s v="Mark Castro Lozano"/>
    <x v="2"/>
    <s v="Male"/>
    <n v="31"/>
    <x v="0"/>
    <x v="354"/>
    <x v="144"/>
    <x v="5"/>
    <x v="0"/>
    <n v="2165"/>
    <x v="2"/>
  </r>
  <r>
    <n v="1376"/>
    <s v="Maribel Go Ang"/>
    <x v="2"/>
    <s v="Female"/>
    <n v="24"/>
    <x v="3"/>
    <x v="355"/>
    <x v="145"/>
    <x v="3"/>
    <x v="0"/>
    <n v="193"/>
    <x v="1"/>
  </r>
  <r>
    <n v="1377"/>
    <s v="Warren Soriano"/>
    <x v="0"/>
    <s v="Male"/>
    <n v="28"/>
    <x v="3"/>
    <x v="356"/>
    <x v="146"/>
    <x v="8"/>
    <x v="0"/>
    <n v="185"/>
    <x v="1"/>
  </r>
  <r>
    <n v="1378"/>
    <s v="Teodoro Del Rosario"/>
    <x v="0"/>
    <s v="Male"/>
    <n v="43"/>
    <x v="2"/>
    <x v="357"/>
    <x v="2"/>
    <x v="2"/>
    <x v="1"/>
    <n v="2422"/>
    <x v="6"/>
  </r>
  <r>
    <n v="1379"/>
    <s v="Ofelia Tan"/>
    <x v="1"/>
    <s v="Female"/>
    <n v="24"/>
    <x v="3"/>
    <x v="358"/>
    <x v="2"/>
    <x v="2"/>
    <x v="1"/>
    <n v="2424"/>
    <x v="6"/>
  </r>
  <r>
    <n v="1380"/>
    <s v="Ana Tuazon"/>
    <x v="5"/>
    <s v="Female"/>
    <n v="47"/>
    <x v="2"/>
    <x v="359"/>
    <x v="147"/>
    <x v="4"/>
    <x v="0"/>
    <n v="889"/>
    <x v="7"/>
  </r>
  <r>
    <n v="1381"/>
    <s v="Vicente Estrada"/>
    <x v="5"/>
    <s v="Male"/>
    <n v="21"/>
    <x v="3"/>
    <x v="360"/>
    <x v="148"/>
    <x v="1"/>
    <x v="0"/>
    <n v="1341"/>
    <x v="4"/>
  </r>
  <r>
    <n v="1382"/>
    <s v="Nathan Santiago Narvasa"/>
    <x v="2"/>
    <s v="Male"/>
    <n v="34"/>
    <x v="0"/>
    <x v="361"/>
    <x v="149"/>
    <x v="3"/>
    <x v="0"/>
    <n v="1156"/>
    <x v="4"/>
  </r>
  <r>
    <n v="1383"/>
    <s v="Ferdi Aguilar Aquino"/>
    <x v="0"/>
    <s v="Male"/>
    <n v="39"/>
    <x v="0"/>
    <x v="362"/>
    <x v="2"/>
    <x v="2"/>
    <x v="1"/>
    <n v="1869"/>
    <x v="2"/>
  </r>
  <r>
    <n v="1384"/>
    <s v="Manuel Mercado Diaz"/>
    <x v="5"/>
    <s v="Other"/>
    <n v="37"/>
    <x v="0"/>
    <x v="363"/>
    <x v="2"/>
    <x v="2"/>
    <x v="1"/>
    <n v="404"/>
    <x v="5"/>
  </r>
  <r>
    <n v="1385"/>
    <s v="Isabel Lim Chua"/>
    <x v="2"/>
    <s v="Other"/>
    <n v="46"/>
    <x v="2"/>
    <x v="364"/>
    <x v="150"/>
    <x v="1"/>
    <x v="0"/>
    <n v="161"/>
    <x v="1"/>
  </r>
  <r>
    <n v="1386"/>
    <s v="Miguel Buenaventura"/>
    <x v="4"/>
    <s v="Other"/>
    <n v="58"/>
    <x v="1"/>
    <x v="365"/>
    <x v="2"/>
    <x v="2"/>
    <x v="1"/>
    <n v="191"/>
    <x v="1"/>
  </r>
  <r>
    <n v="1387"/>
    <s v="Roy Chan Navarro"/>
    <x v="1"/>
    <s v="Male"/>
    <n v="51"/>
    <x v="1"/>
    <x v="366"/>
    <x v="151"/>
    <x v="3"/>
    <x v="0"/>
    <n v="166"/>
    <x v="1"/>
  </r>
  <r>
    <n v="1388"/>
    <s v="Joy Vega Corpuz"/>
    <x v="1"/>
    <s v="Female"/>
    <n v="56"/>
    <x v="1"/>
    <x v="367"/>
    <x v="2"/>
    <x v="2"/>
    <x v="1"/>
    <n v="2342"/>
    <x v="6"/>
  </r>
  <r>
    <n v="1389"/>
    <s v="Elena Mendoza"/>
    <x v="1"/>
    <s v="Other"/>
    <n v="53"/>
    <x v="1"/>
    <x v="368"/>
    <x v="152"/>
    <x v="6"/>
    <x v="0"/>
    <n v="1289"/>
    <x v="4"/>
  </r>
  <r>
    <n v="1390"/>
    <s v="Pilar Castro"/>
    <x v="0"/>
    <s v="Other"/>
    <n v="25"/>
    <x v="3"/>
    <x v="369"/>
    <x v="2"/>
    <x v="2"/>
    <x v="1"/>
    <n v="1157"/>
    <x v="4"/>
  </r>
  <r>
    <n v="1391"/>
    <s v="Tess Gonzales Roque"/>
    <x v="4"/>
    <s v="Female"/>
    <n v="24"/>
    <x v="3"/>
    <x v="264"/>
    <x v="153"/>
    <x v="5"/>
    <x v="0"/>
    <n v="910"/>
    <x v="7"/>
  </r>
  <r>
    <n v="1392"/>
    <s v="Juan Lopez Natividad"/>
    <x v="5"/>
    <s v="Male"/>
    <n v="32"/>
    <x v="0"/>
    <x v="370"/>
    <x v="2"/>
    <x v="2"/>
    <x v="1"/>
    <n v="1808"/>
    <x v="0"/>
  </r>
  <r>
    <n v="1393"/>
    <s v="Aileen Chan Vergara"/>
    <x v="0"/>
    <s v="Female"/>
    <n v="26"/>
    <x v="3"/>
    <x v="371"/>
    <x v="2"/>
    <x v="2"/>
    <x v="1"/>
    <n v="2561"/>
    <x v="3"/>
  </r>
  <r>
    <n v="1394"/>
    <s v="Iris Santos Elegado"/>
    <x v="4"/>
    <s v="Female"/>
    <n v="33"/>
    <x v="0"/>
    <x v="372"/>
    <x v="2"/>
    <x v="2"/>
    <x v="1"/>
    <n v="1563"/>
    <x v="0"/>
  </r>
  <r>
    <n v="1395"/>
    <s v="Grace Cruz Pascual"/>
    <x v="0"/>
    <s v="Female"/>
    <n v="43"/>
    <x v="2"/>
    <x v="373"/>
    <x v="154"/>
    <x v="8"/>
    <x v="0"/>
    <n v="875"/>
    <x v="7"/>
  </r>
  <r>
    <n v="1396"/>
    <s v="Bea Guevarra"/>
    <x v="4"/>
    <s v="Female"/>
    <n v="54"/>
    <x v="1"/>
    <x v="374"/>
    <x v="2"/>
    <x v="2"/>
    <x v="1"/>
    <n v="649"/>
    <x v="5"/>
  </r>
  <r>
    <n v="1397"/>
    <s v="Antonio Dela Torre"/>
    <x v="4"/>
    <s v="Other"/>
    <n v="43"/>
    <x v="2"/>
    <x v="326"/>
    <x v="155"/>
    <x v="0"/>
    <x v="0"/>
    <n v="1742"/>
    <x v="0"/>
  </r>
  <r>
    <n v="1398"/>
    <s v="Violeta Fajardo"/>
    <x v="1"/>
    <s v="Female"/>
    <n v="53"/>
    <x v="1"/>
    <x v="375"/>
    <x v="156"/>
    <x v="5"/>
    <x v="0"/>
    <n v="243"/>
    <x v="1"/>
  </r>
  <r>
    <n v="1399"/>
    <s v="Isabel Uy Hernandez"/>
    <x v="0"/>
    <s v="Female"/>
    <n v="27"/>
    <x v="3"/>
    <x v="376"/>
    <x v="2"/>
    <x v="2"/>
    <x v="1"/>
    <n v="414"/>
    <x v="5"/>
  </r>
  <r>
    <n v="1400"/>
    <s v="Jose Mendoza Sia"/>
    <x v="4"/>
    <s v="Male"/>
    <n v="51"/>
    <x v="1"/>
    <x v="6"/>
    <x v="157"/>
    <x v="1"/>
    <x v="0"/>
    <n v="178"/>
    <x v="1"/>
  </r>
  <r>
    <n v="1401"/>
    <s v="Cristina Cueto"/>
    <x v="5"/>
    <s v="Female"/>
    <n v="29"/>
    <x v="3"/>
    <x v="377"/>
    <x v="2"/>
    <x v="2"/>
    <x v="1"/>
    <n v="1376"/>
    <x v="4"/>
  </r>
  <r>
    <n v="1402"/>
    <s v="Mae Lim Vega"/>
    <x v="1"/>
    <s v="Female"/>
    <n v="27"/>
    <x v="3"/>
    <x v="378"/>
    <x v="158"/>
    <x v="1"/>
    <x v="0"/>
    <n v="294"/>
    <x v="1"/>
  </r>
  <r>
    <n v="1403"/>
    <s v="Hazel Santos Mangubat"/>
    <x v="4"/>
    <s v="Female"/>
    <n v="52"/>
    <x v="1"/>
    <x v="379"/>
    <x v="2"/>
    <x v="2"/>
    <x v="1"/>
    <n v="2241"/>
    <x v="6"/>
  </r>
  <r>
    <n v="1404"/>
    <s v="Casey Mendoza Cueto"/>
    <x v="5"/>
    <s v="Other"/>
    <n v="57"/>
    <x v="1"/>
    <x v="380"/>
    <x v="2"/>
    <x v="2"/>
    <x v="1"/>
    <n v="351"/>
    <x v="1"/>
  </r>
  <r>
    <n v="1405"/>
    <s v="Hernando Garcia"/>
    <x v="3"/>
    <s v="Male"/>
    <n v="50"/>
    <x v="1"/>
    <x v="381"/>
    <x v="159"/>
    <x v="0"/>
    <x v="0"/>
    <n v="192"/>
    <x v="1"/>
  </r>
  <r>
    <n v="1406"/>
    <s v="Crisanto Delos Reyes"/>
    <x v="4"/>
    <s v="Male"/>
    <n v="48"/>
    <x v="2"/>
    <x v="382"/>
    <x v="160"/>
    <x v="0"/>
    <x v="0"/>
    <n v="277"/>
    <x v="1"/>
  </r>
  <r>
    <n v="1407"/>
    <s v="Maria Vergara"/>
    <x v="4"/>
    <s v="Other"/>
    <n v="38"/>
    <x v="0"/>
    <x v="383"/>
    <x v="161"/>
    <x v="0"/>
    <x v="0"/>
    <n v="1493"/>
    <x v="0"/>
  </r>
  <r>
    <n v="1408"/>
    <s v="Gregorio Bautista Gonzales"/>
    <x v="4"/>
    <s v="Male"/>
    <n v="51"/>
    <x v="1"/>
    <x v="384"/>
    <x v="2"/>
    <x v="2"/>
    <x v="1"/>
    <n v="1364"/>
    <x v="4"/>
  </r>
  <r>
    <n v="1409"/>
    <s v="Elena Lozano"/>
    <x v="3"/>
    <s v="Other"/>
    <n v="27"/>
    <x v="3"/>
    <x v="385"/>
    <x v="2"/>
    <x v="2"/>
    <x v="1"/>
    <n v="1387"/>
    <x v="4"/>
  </r>
  <r>
    <n v="1410"/>
    <s v="Bernardo Umali"/>
    <x v="1"/>
    <s v="Male"/>
    <n v="43"/>
    <x v="2"/>
    <x v="386"/>
    <x v="162"/>
    <x v="3"/>
    <x v="0"/>
    <n v="440"/>
    <x v="5"/>
  </r>
  <r>
    <n v="1411"/>
    <s v="Mark Ramirez Del Rosario"/>
    <x v="1"/>
    <s v="Male"/>
    <n v="23"/>
    <x v="3"/>
    <x v="387"/>
    <x v="163"/>
    <x v="0"/>
    <x v="0"/>
    <n v="1377"/>
    <x v="4"/>
  </r>
  <r>
    <n v="1412"/>
    <s v="Efren Lacson"/>
    <x v="3"/>
    <s v="Male"/>
    <n v="42"/>
    <x v="2"/>
    <x v="388"/>
    <x v="2"/>
    <x v="2"/>
    <x v="1"/>
    <n v="965"/>
    <x v="7"/>
  </r>
  <r>
    <n v="1413"/>
    <s v="Roy Lopez Solis"/>
    <x v="4"/>
    <s v="Male"/>
    <n v="45"/>
    <x v="2"/>
    <x v="389"/>
    <x v="2"/>
    <x v="2"/>
    <x v="1"/>
    <n v="2483"/>
    <x v="6"/>
  </r>
  <r>
    <n v="1414"/>
    <s v="Vicente Rivera Mendoza"/>
    <x v="0"/>
    <s v="Male"/>
    <n v="60"/>
    <x v="4"/>
    <x v="390"/>
    <x v="85"/>
    <x v="6"/>
    <x v="0"/>
    <n v="2103"/>
    <x v="2"/>
  </r>
  <r>
    <n v="1415"/>
    <s v="Daisy Dela Cruz"/>
    <x v="4"/>
    <s v="Female"/>
    <n v="50"/>
    <x v="1"/>
    <x v="157"/>
    <x v="2"/>
    <x v="2"/>
    <x v="1"/>
    <n v="1272"/>
    <x v="4"/>
  </r>
  <r>
    <n v="1416"/>
    <s v="Sue Garcia Hilario"/>
    <x v="4"/>
    <s v="Female"/>
    <n v="52"/>
    <x v="1"/>
    <x v="391"/>
    <x v="164"/>
    <x v="5"/>
    <x v="0"/>
    <n v="296"/>
    <x v="1"/>
  </r>
  <r>
    <n v="1417"/>
    <s v="Carmen Bautista Buenaventura"/>
    <x v="2"/>
    <s v="Other"/>
    <n v="40"/>
    <x v="2"/>
    <x v="392"/>
    <x v="2"/>
    <x v="2"/>
    <x v="1"/>
    <n v="1009"/>
    <x v="7"/>
  </r>
  <r>
    <n v="1418"/>
    <s v="Cristina Tuazon"/>
    <x v="2"/>
    <s v="Other"/>
    <n v="42"/>
    <x v="2"/>
    <x v="393"/>
    <x v="2"/>
    <x v="2"/>
    <x v="1"/>
    <n v="797"/>
    <x v="7"/>
  </r>
  <r>
    <n v="1419"/>
    <s v="Aldrin Mendoza Hilario"/>
    <x v="4"/>
    <s v="Male"/>
    <n v="27"/>
    <x v="3"/>
    <x v="126"/>
    <x v="165"/>
    <x v="5"/>
    <x v="0"/>
    <n v="264"/>
    <x v="1"/>
  </r>
  <r>
    <n v="1420"/>
    <s v="Annaliza Castro Tolentino"/>
    <x v="1"/>
    <s v="Female"/>
    <n v="29"/>
    <x v="3"/>
    <x v="394"/>
    <x v="166"/>
    <x v="0"/>
    <x v="0"/>
    <n v="1341"/>
    <x v="4"/>
  </r>
  <r>
    <n v="1421"/>
    <s v="Annaliza Ramos Natividad"/>
    <x v="5"/>
    <s v="Female"/>
    <n v="47"/>
    <x v="2"/>
    <x v="395"/>
    <x v="2"/>
    <x v="2"/>
    <x v="1"/>
    <n v="2901"/>
    <x v="3"/>
  </r>
  <r>
    <n v="1422"/>
    <s v="Hazel Cueto"/>
    <x v="3"/>
    <s v="Female"/>
    <n v="24"/>
    <x v="3"/>
    <x v="396"/>
    <x v="2"/>
    <x v="2"/>
    <x v="1"/>
    <n v="825"/>
    <x v="7"/>
  </r>
  <r>
    <n v="1423"/>
    <s v="Arnel Camacho"/>
    <x v="3"/>
    <s v="Other"/>
    <n v="32"/>
    <x v="0"/>
    <x v="397"/>
    <x v="167"/>
    <x v="8"/>
    <x v="0"/>
    <n v="1408"/>
    <x v="4"/>
  </r>
  <r>
    <n v="1424"/>
    <s v="Carlos Natividad"/>
    <x v="3"/>
    <s v="Other"/>
    <n v="38"/>
    <x v="0"/>
    <x v="398"/>
    <x v="2"/>
    <x v="2"/>
    <x v="1"/>
    <n v="1462"/>
    <x v="0"/>
  </r>
  <r>
    <n v="1425"/>
    <s v="Pete Macaraeg"/>
    <x v="1"/>
    <s v="Male"/>
    <n v="53"/>
    <x v="1"/>
    <x v="399"/>
    <x v="2"/>
    <x v="2"/>
    <x v="1"/>
    <n v="1867"/>
    <x v="2"/>
  </r>
  <r>
    <n v="1426"/>
    <s v="Aldrin Ramos Guevarra"/>
    <x v="3"/>
    <s v="Male"/>
    <n v="33"/>
    <x v="0"/>
    <x v="400"/>
    <x v="2"/>
    <x v="2"/>
    <x v="1"/>
    <n v="2233"/>
    <x v="6"/>
  </r>
  <r>
    <n v="1427"/>
    <s v="Elmer Vega Lazo"/>
    <x v="3"/>
    <s v="Male"/>
    <n v="32"/>
    <x v="0"/>
    <x v="401"/>
    <x v="2"/>
    <x v="2"/>
    <x v="1"/>
    <n v="1028"/>
    <x v="7"/>
  </r>
  <r>
    <n v="1428"/>
    <s v="Neil Co"/>
    <x v="0"/>
    <s v="Male"/>
    <n v="47"/>
    <x v="2"/>
    <x v="402"/>
    <x v="2"/>
    <x v="2"/>
    <x v="1"/>
    <n v="330"/>
    <x v="1"/>
  </r>
  <r>
    <n v="1429"/>
    <s v="Isabel Aguilar Enriquez"/>
    <x v="4"/>
    <s v="Female"/>
    <n v="27"/>
    <x v="3"/>
    <x v="403"/>
    <x v="2"/>
    <x v="2"/>
    <x v="1"/>
    <n v="2988"/>
    <x v="8"/>
  </r>
  <r>
    <n v="1430"/>
    <s v="Estrella Santiago"/>
    <x v="5"/>
    <s v="Female"/>
    <n v="39"/>
    <x v="0"/>
    <x v="404"/>
    <x v="168"/>
    <x v="1"/>
    <x v="0"/>
    <n v="105"/>
    <x v="1"/>
  </r>
  <r>
    <n v="1431"/>
    <s v="Rowena Tan"/>
    <x v="1"/>
    <s v="Other"/>
    <n v="27"/>
    <x v="3"/>
    <x v="293"/>
    <x v="2"/>
    <x v="2"/>
    <x v="1"/>
    <n v="568"/>
    <x v="5"/>
  </r>
  <r>
    <n v="1432"/>
    <s v="Rachel Navarro Salazar"/>
    <x v="0"/>
    <s v="Female"/>
    <n v="39"/>
    <x v="0"/>
    <x v="405"/>
    <x v="2"/>
    <x v="2"/>
    <x v="1"/>
    <n v="253"/>
    <x v="1"/>
  </r>
  <r>
    <n v="1433"/>
    <s v="Cherry Tan"/>
    <x v="3"/>
    <s v="Female"/>
    <n v="37"/>
    <x v="0"/>
    <x v="406"/>
    <x v="2"/>
    <x v="2"/>
    <x v="1"/>
    <n v="2260"/>
    <x v="6"/>
  </r>
  <r>
    <n v="1434"/>
    <s v="Kristoffer Obispo"/>
    <x v="5"/>
    <s v="Male"/>
    <n v="58"/>
    <x v="1"/>
    <x v="407"/>
    <x v="2"/>
    <x v="2"/>
    <x v="1"/>
    <n v="853"/>
    <x v="7"/>
  </r>
  <r>
    <n v="1435"/>
    <s v="Lea Sy Castro"/>
    <x v="4"/>
    <s v="Female"/>
    <n v="25"/>
    <x v="3"/>
    <x v="408"/>
    <x v="2"/>
    <x v="2"/>
    <x v="1"/>
    <n v="2326"/>
    <x v="6"/>
  </r>
  <r>
    <n v="1436"/>
    <s v="Maria Fernandez Mangubat"/>
    <x v="4"/>
    <s v="Female"/>
    <n v="31"/>
    <x v="0"/>
    <x v="237"/>
    <x v="2"/>
    <x v="2"/>
    <x v="1"/>
    <n v="699"/>
    <x v="5"/>
  </r>
  <r>
    <n v="1437"/>
    <s v="Manuel Viray"/>
    <x v="1"/>
    <s v="Other"/>
    <n v="24"/>
    <x v="3"/>
    <x v="409"/>
    <x v="2"/>
    <x v="2"/>
    <x v="1"/>
    <n v="530"/>
    <x v="5"/>
  </r>
  <r>
    <n v="1438"/>
    <s v="Kath Tan Aguilar"/>
    <x v="0"/>
    <s v="Female"/>
    <n v="41"/>
    <x v="2"/>
    <x v="217"/>
    <x v="169"/>
    <x v="8"/>
    <x v="0"/>
    <n v="278"/>
    <x v="1"/>
  </r>
  <r>
    <n v="1439"/>
    <s v="Sue Vega Corpuz"/>
    <x v="1"/>
    <s v="Female"/>
    <n v="65"/>
    <x v="4"/>
    <x v="410"/>
    <x v="147"/>
    <x v="6"/>
    <x v="0"/>
    <n v="274"/>
    <x v="1"/>
  </r>
  <r>
    <n v="1440"/>
    <s v="Rodel Panganiban"/>
    <x v="4"/>
    <s v="Other"/>
    <n v="36"/>
    <x v="0"/>
    <x v="411"/>
    <x v="2"/>
    <x v="2"/>
    <x v="1"/>
    <n v="2928"/>
    <x v="8"/>
  </r>
  <r>
    <n v="1441"/>
    <s v="Kevin Cueto"/>
    <x v="3"/>
    <s v="Male"/>
    <n v="55"/>
    <x v="1"/>
    <x v="412"/>
    <x v="170"/>
    <x v="3"/>
    <x v="0"/>
    <n v="1148"/>
    <x v="4"/>
  </r>
  <r>
    <n v="1442"/>
    <s v="Lourdes Pascual"/>
    <x v="4"/>
    <s v="Female"/>
    <n v="33"/>
    <x v="0"/>
    <x v="413"/>
    <x v="2"/>
    <x v="2"/>
    <x v="1"/>
    <n v="1779"/>
    <x v="0"/>
  </r>
  <r>
    <n v="1443"/>
    <s v="Marcelo Mendoza Guevarra"/>
    <x v="5"/>
    <s v="Male"/>
    <n v="25"/>
    <x v="3"/>
    <x v="414"/>
    <x v="2"/>
    <x v="2"/>
    <x v="1"/>
    <n v="2228"/>
    <x v="6"/>
  </r>
  <r>
    <n v="1444"/>
    <s v="Jordan Del Rosario"/>
    <x v="1"/>
    <s v="Other"/>
    <n v="48"/>
    <x v="2"/>
    <x v="415"/>
    <x v="2"/>
    <x v="2"/>
    <x v="1"/>
    <n v="443"/>
    <x v="5"/>
  </r>
  <r>
    <n v="1445"/>
    <s v="Rowena Ramirez Villanueva"/>
    <x v="1"/>
    <s v="Other"/>
    <n v="23"/>
    <x v="3"/>
    <x v="340"/>
    <x v="171"/>
    <x v="3"/>
    <x v="0"/>
    <n v="819"/>
    <x v="7"/>
  </r>
  <r>
    <n v="1446"/>
    <s v="Dennis Torres Cruz"/>
    <x v="3"/>
    <s v="Male"/>
    <n v="49"/>
    <x v="2"/>
    <x v="416"/>
    <x v="2"/>
    <x v="2"/>
    <x v="1"/>
    <n v="510"/>
    <x v="5"/>
  </r>
  <r>
    <n v="1447"/>
    <s v="Jimmy Soriano Lopez"/>
    <x v="0"/>
    <s v="Male"/>
    <n v="25"/>
    <x v="3"/>
    <x v="417"/>
    <x v="172"/>
    <x v="5"/>
    <x v="0"/>
    <n v="164"/>
    <x v="1"/>
  </r>
  <r>
    <n v="1448"/>
    <s v="Luisa Ramirez Tuazon"/>
    <x v="0"/>
    <s v="Female"/>
    <n v="49"/>
    <x v="2"/>
    <x v="418"/>
    <x v="2"/>
    <x v="2"/>
    <x v="1"/>
    <n v="1529"/>
    <x v="0"/>
  </r>
  <r>
    <n v="1449"/>
    <s v="Diosdado Sia"/>
    <x v="1"/>
    <s v="Male"/>
    <n v="55"/>
    <x v="1"/>
    <x v="419"/>
    <x v="2"/>
    <x v="2"/>
    <x v="1"/>
    <n v="1883"/>
    <x v="2"/>
  </r>
  <r>
    <n v="1450"/>
    <s v="Rowena Santos Mercado"/>
    <x v="3"/>
    <s v="Other"/>
    <n v="44"/>
    <x v="2"/>
    <x v="420"/>
    <x v="2"/>
    <x v="2"/>
    <x v="1"/>
    <n v="3046"/>
    <x v="8"/>
  </r>
  <r>
    <n v="1451"/>
    <s v="Kim Ramirez Mercado"/>
    <x v="0"/>
    <s v="Male"/>
    <n v="56"/>
    <x v="1"/>
    <x v="421"/>
    <x v="173"/>
    <x v="0"/>
    <x v="0"/>
    <n v="1498"/>
    <x v="0"/>
  </r>
  <r>
    <n v="1452"/>
    <s v="Tess Mendoza"/>
    <x v="0"/>
    <s v="Female"/>
    <n v="28"/>
    <x v="3"/>
    <x v="422"/>
    <x v="2"/>
    <x v="2"/>
    <x v="1"/>
    <n v="2349"/>
    <x v="6"/>
  </r>
  <r>
    <n v="1453"/>
    <s v="Carlos Mendoza Enriquez"/>
    <x v="3"/>
    <s v="Other"/>
    <n v="50"/>
    <x v="1"/>
    <x v="423"/>
    <x v="2"/>
    <x v="2"/>
    <x v="1"/>
    <n v="451"/>
    <x v="5"/>
  </r>
  <r>
    <n v="1454"/>
    <s v="Carlos Uy Diaz"/>
    <x v="1"/>
    <s v="Male"/>
    <n v="59"/>
    <x v="1"/>
    <x v="424"/>
    <x v="174"/>
    <x v="6"/>
    <x v="0"/>
    <n v="1432"/>
    <x v="4"/>
  </r>
  <r>
    <n v="1455"/>
    <s v="Jerome Macaraeg"/>
    <x v="4"/>
    <s v="Male"/>
    <n v="58"/>
    <x v="1"/>
    <x v="425"/>
    <x v="2"/>
    <x v="2"/>
    <x v="1"/>
    <n v="2467"/>
    <x v="6"/>
  </r>
  <r>
    <n v="1456"/>
    <s v="Nina Ramirez"/>
    <x v="1"/>
    <s v="Female"/>
    <n v="35"/>
    <x v="0"/>
    <x v="426"/>
    <x v="2"/>
    <x v="2"/>
    <x v="1"/>
    <n v="467"/>
    <x v="5"/>
  </r>
  <r>
    <n v="1457"/>
    <s v="Gani Garcia Hilario"/>
    <x v="4"/>
    <s v="Male"/>
    <n v="49"/>
    <x v="2"/>
    <x v="427"/>
    <x v="2"/>
    <x v="2"/>
    <x v="1"/>
    <n v="1622"/>
    <x v="0"/>
  </r>
  <r>
    <n v="1458"/>
    <s v="Jordan Reyes Dela Torre"/>
    <x v="2"/>
    <s v="Other"/>
    <n v="29"/>
    <x v="3"/>
    <x v="428"/>
    <x v="175"/>
    <x v="3"/>
    <x v="0"/>
    <n v="841"/>
    <x v="7"/>
  </r>
  <r>
    <n v="1459"/>
    <s v="Xander Rivera"/>
    <x v="2"/>
    <s v="Male"/>
    <n v="58"/>
    <x v="1"/>
    <x v="429"/>
    <x v="2"/>
    <x v="2"/>
    <x v="1"/>
    <n v="720"/>
    <x v="5"/>
  </r>
  <r>
    <n v="1460"/>
    <s v="Ernesto Pascual Evangelista"/>
    <x v="0"/>
    <s v="Male"/>
    <n v="55"/>
    <x v="1"/>
    <x v="430"/>
    <x v="2"/>
    <x v="2"/>
    <x v="1"/>
    <n v="1158"/>
    <x v="4"/>
  </r>
  <r>
    <n v="1461"/>
    <s v="Gregorio Lopez Cueto"/>
    <x v="1"/>
    <s v="Male"/>
    <n v="26"/>
    <x v="3"/>
    <x v="431"/>
    <x v="176"/>
    <x v="7"/>
    <x v="0"/>
    <n v="111"/>
    <x v="1"/>
  </r>
  <r>
    <n v="1462"/>
    <s v="Jamie Tan"/>
    <x v="1"/>
    <s v="Other"/>
    <n v="30"/>
    <x v="0"/>
    <x v="432"/>
    <x v="2"/>
    <x v="2"/>
    <x v="1"/>
    <n v="1111"/>
    <x v="4"/>
  </r>
  <r>
    <n v="1463"/>
    <s v="Mae Go Evangelista"/>
    <x v="1"/>
    <s v="Female"/>
    <n v="35"/>
    <x v="0"/>
    <x v="433"/>
    <x v="2"/>
    <x v="2"/>
    <x v="1"/>
    <n v="2916"/>
    <x v="3"/>
  </r>
  <r>
    <n v="1464"/>
    <s v="Mae Zulueta"/>
    <x v="2"/>
    <s v="Female"/>
    <n v="41"/>
    <x v="2"/>
    <x v="291"/>
    <x v="2"/>
    <x v="2"/>
    <x v="1"/>
    <n v="2669"/>
    <x v="3"/>
  </r>
  <r>
    <n v="1465"/>
    <s v="Gloria Ramirez Delmendo"/>
    <x v="2"/>
    <s v="Female"/>
    <n v="55"/>
    <x v="1"/>
    <x v="434"/>
    <x v="177"/>
    <x v="5"/>
    <x v="0"/>
    <n v="477"/>
    <x v="5"/>
  </r>
  <r>
    <n v="1466"/>
    <s v="Bong Ramos Santos"/>
    <x v="0"/>
    <s v="Male"/>
    <n v="43"/>
    <x v="2"/>
    <x v="435"/>
    <x v="2"/>
    <x v="2"/>
    <x v="1"/>
    <n v="1097"/>
    <x v="4"/>
  </r>
  <r>
    <n v="1467"/>
    <s v="Nina Quiambao"/>
    <x v="4"/>
    <s v="Female"/>
    <n v="53"/>
    <x v="1"/>
    <x v="436"/>
    <x v="178"/>
    <x v="0"/>
    <x v="0"/>
    <n v="166"/>
    <x v="1"/>
  </r>
  <r>
    <n v="1468"/>
    <s v="Hazel Lopez Umali"/>
    <x v="1"/>
    <s v="Female"/>
    <n v="42"/>
    <x v="2"/>
    <x v="437"/>
    <x v="2"/>
    <x v="2"/>
    <x v="1"/>
    <n v="2627"/>
    <x v="3"/>
  </r>
  <r>
    <n v="1469"/>
    <s v="Kim Garcia"/>
    <x v="5"/>
    <s v="Male"/>
    <n v="36"/>
    <x v="0"/>
    <x v="438"/>
    <x v="179"/>
    <x v="0"/>
    <x v="0"/>
    <n v="749"/>
    <x v="7"/>
  </r>
  <r>
    <n v="1470"/>
    <s v="Tess Pascual Zulueta"/>
    <x v="1"/>
    <s v="Female"/>
    <n v="32"/>
    <x v="0"/>
    <x v="439"/>
    <x v="2"/>
    <x v="2"/>
    <x v="1"/>
    <n v="975"/>
    <x v="7"/>
  </r>
  <r>
    <n v="1471"/>
    <s v="Erlinda Narvasa"/>
    <x v="3"/>
    <s v="Female"/>
    <n v="51"/>
    <x v="1"/>
    <x v="440"/>
    <x v="180"/>
    <x v="5"/>
    <x v="0"/>
    <n v="940"/>
    <x v="7"/>
  </r>
  <r>
    <n v="1472"/>
    <s v="Gerald Ocampo Roque"/>
    <x v="1"/>
    <s v="Male"/>
    <n v="37"/>
    <x v="0"/>
    <x v="441"/>
    <x v="2"/>
    <x v="2"/>
    <x v="1"/>
    <n v="2405"/>
    <x v="6"/>
  </r>
  <r>
    <n v="1473"/>
    <s v="Ernesto Chan Quiambao"/>
    <x v="1"/>
    <s v="Male"/>
    <n v="27"/>
    <x v="3"/>
    <x v="442"/>
    <x v="181"/>
    <x v="1"/>
    <x v="0"/>
    <n v="2155"/>
    <x v="2"/>
  </r>
  <r>
    <n v="1474"/>
    <s v="Danilo Umali"/>
    <x v="3"/>
    <s v="Male"/>
    <n v="55"/>
    <x v="1"/>
    <x v="443"/>
    <x v="2"/>
    <x v="2"/>
    <x v="1"/>
    <n v="1030"/>
    <x v="7"/>
  </r>
  <r>
    <n v="1475"/>
    <s v="Larry Cruz Camacho"/>
    <x v="3"/>
    <s v="Male"/>
    <n v="21"/>
    <x v="3"/>
    <x v="444"/>
    <x v="2"/>
    <x v="2"/>
    <x v="1"/>
    <n v="312"/>
    <x v="1"/>
  </r>
  <r>
    <n v="1476"/>
    <s v="Samuel Ramirez Ramirez"/>
    <x v="5"/>
    <s v="Male"/>
    <n v="51"/>
    <x v="1"/>
    <x v="445"/>
    <x v="182"/>
    <x v="8"/>
    <x v="0"/>
    <n v="1516"/>
    <x v="0"/>
  </r>
  <r>
    <n v="1477"/>
    <s v="Maria Santos Macapagal"/>
    <x v="3"/>
    <s v="Female"/>
    <n v="55"/>
    <x v="1"/>
    <x v="446"/>
    <x v="183"/>
    <x v="1"/>
    <x v="0"/>
    <n v="101"/>
    <x v="1"/>
  </r>
  <r>
    <n v="1478"/>
    <s v="Violeta Chan"/>
    <x v="4"/>
    <s v="Female"/>
    <n v="41"/>
    <x v="2"/>
    <x v="447"/>
    <x v="184"/>
    <x v="5"/>
    <x v="0"/>
    <n v="406"/>
    <x v="5"/>
  </r>
  <r>
    <n v="1479"/>
    <s v="Lorenzo Chan Bondoc"/>
    <x v="4"/>
    <s v="Male"/>
    <n v="38"/>
    <x v="0"/>
    <x v="11"/>
    <x v="2"/>
    <x v="2"/>
    <x v="1"/>
    <n v="304"/>
    <x v="1"/>
  </r>
  <r>
    <n v="1480"/>
    <s v="Vince Manalang"/>
    <x v="1"/>
    <s v="Male"/>
    <n v="51"/>
    <x v="1"/>
    <x v="448"/>
    <x v="2"/>
    <x v="2"/>
    <x v="1"/>
    <n v="2052"/>
    <x v="2"/>
  </r>
  <r>
    <n v="1481"/>
    <s v="Herminia Tan Fernandez"/>
    <x v="4"/>
    <s v="Female"/>
    <n v="28"/>
    <x v="3"/>
    <x v="449"/>
    <x v="2"/>
    <x v="2"/>
    <x v="1"/>
    <n v="2150"/>
    <x v="2"/>
  </r>
  <r>
    <n v="1482"/>
    <s v="Alex Dela Cruz"/>
    <x v="2"/>
    <s v="Other"/>
    <n v="24"/>
    <x v="3"/>
    <x v="450"/>
    <x v="2"/>
    <x v="2"/>
    <x v="1"/>
    <n v="2433"/>
    <x v="6"/>
  </r>
  <r>
    <n v="1483"/>
    <s v="Antonio Tan Obispo"/>
    <x v="0"/>
    <s v="Male"/>
    <n v="26"/>
    <x v="3"/>
    <x v="451"/>
    <x v="81"/>
    <x v="0"/>
    <x v="0"/>
    <n v="1608"/>
    <x v="0"/>
  </r>
  <r>
    <n v="1484"/>
    <s v="Victor Pascual Reyes"/>
    <x v="0"/>
    <s v="Male"/>
    <n v="24"/>
    <x v="3"/>
    <x v="452"/>
    <x v="2"/>
    <x v="2"/>
    <x v="1"/>
    <n v="2374"/>
    <x v="6"/>
  </r>
  <r>
    <n v="1485"/>
    <s v="Josephine Pascual"/>
    <x v="1"/>
    <s v="Other"/>
    <n v="53"/>
    <x v="1"/>
    <x v="453"/>
    <x v="2"/>
    <x v="2"/>
    <x v="1"/>
    <n v="979"/>
    <x v="7"/>
  </r>
  <r>
    <n v="1486"/>
    <s v="Oliver Crisostomo"/>
    <x v="4"/>
    <s v="Male"/>
    <n v="31"/>
    <x v="0"/>
    <x v="454"/>
    <x v="2"/>
    <x v="2"/>
    <x v="1"/>
    <n v="2736"/>
    <x v="3"/>
  </r>
  <r>
    <n v="1487"/>
    <s v="Sue Aguilar Narvasa"/>
    <x v="4"/>
    <s v="Female"/>
    <n v="21"/>
    <x v="3"/>
    <x v="455"/>
    <x v="93"/>
    <x v="8"/>
    <x v="0"/>
    <n v="101"/>
    <x v="1"/>
  </r>
  <r>
    <n v="1488"/>
    <s v="Roberto Mendoza Soriano"/>
    <x v="1"/>
    <s v="Other"/>
    <n v="50"/>
    <x v="1"/>
    <x v="456"/>
    <x v="2"/>
    <x v="2"/>
    <x v="1"/>
    <n v="1437"/>
    <x v="4"/>
  </r>
  <r>
    <n v="1489"/>
    <s v="Severino Fajardo"/>
    <x v="0"/>
    <s v="Male"/>
    <n v="42"/>
    <x v="2"/>
    <x v="457"/>
    <x v="2"/>
    <x v="2"/>
    <x v="1"/>
    <n v="2612"/>
    <x v="3"/>
  </r>
  <r>
    <n v="1490"/>
    <s v="Eduardo Buenaventura"/>
    <x v="0"/>
    <s v="Other"/>
    <n v="45"/>
    <x v="2"/>
    <x v="458"/>
    <x v="2"/>
    <x v="2"/>
    <x v="1"/>
    <n v="785"/>
    <x v="7"/>
  </r>
  <r>
    <n v="1491"/>
    <s v="Teodoro Ramirez Aquino"/>
    <x v="4"/>
    <s v="Male"/>
    <n v="58"/>
    <x v="1"/>
    <x v="459"/>
    <x v="2"/>
    <x v="2"/>
    <x v="1"/>
    <n v="2979"/>
    <x v="8"/>
  </r>
  <r>
    <n v="1492"/>
    <s v="Mae Domingo Fajardo"/>
    <x v="5"/>
    <s v="Female"/>
    <n v="41"/>
    <x v="2"/>
    <x v="460"/>
    <x v="2"/>
    <x v="2"/>
    <x v="1"/>
    <n v="1402"/>
    <x v="4"/>
  </r>
  <r>
    <n v="1493"/>
    <s v="Jacqueline Flores Tuazon"/>
    <x v="4"/>
    <s v="Female"/>
    <n v="42"/>
    <x v="2"/>
    <x v="64"/>
    <x v="2"/>
    <x v="2"/>
    <x v="1"/>
    <n v="2780"/>
    <x v="3"/>
  </r>
  <r>
    <n v="1494"/>
    <s v="Rosalinda Domingo San Pedro"/>
    <x v="2"/>
    <s v="Female"/>
    <n v="33"/>
    <x v="0"/>
    <x v="461"/>
    <x v="2"/>
    <x v="2"/>
    <x v="1"/>
    <n v="1048"/>
    <x v="7"/>
  </r>
  <r>
    <n v="1495"/>
    <s v="Rowena Figueroa"/>
    <x v="1"/>
    <s v="Female"/>
    <n v="36"/>
    <x v="0"/>
    <x v="462"/>
    <x v="185"/>
    <x v="0"/>
    <x v="0"/>
    <n v="488"/>
    <x v="5"/>
  </r>
  <r>
    <n v="1496"/>
    <s v="Patricia Aguilar Trinidad"/>
    <x v="0"/>
    <s v="Female"/>
    <n v="55"/>
    <x v="1"/>
    <x v="463"/>
    <x v="2"/>
    <x v="2"/>
    <x v="1"/>
    <n v="2918"/>
    <x v="3"/>
  </r>
  <r>
    <n v="1497"/>
    <s v="Maricel Sy Flores"/>
    <x v="0"/>
    <s v="Other"/>
    <n v="53"/>
    <x v="1"/>
    <x v="464"/>
    <x v="2"/>
    <x v="2"/>
    <x v="1"/>
    <n v="1944"/>
    <x v="2"/>
  </r>
  <r>
    <n v="1498"/>
    <s v="Hernando Roque"/>
    <x v="0"/>
    <s v="Male"/>
    <n v="53"/>
    <x v="1"/>
    <x v="465"/>
    <x v="2"/>
    <x v="2"/>
    <x v="1"/>
    <n v="1669"/>
    <x v="0"/>
  </r>
  <r>
    <n v="1499"/>
    <s v="Leonard Santiago Narvasa"/>
    <x v="5"/>
    <s v="Male"/>
    <n v="21"/>
    <x v="3"/>
    <x v="466"/>
    <x v="2"/>
    <x v="2"/>
    <x v="1"/>
    <n v="3043"/>
    <x v="8"/>
  </r>
  <r>
    <n v="1500"/>
    <s v="Karen Sy Evangelista"/>
    <x v="0"/>
    <s v="Female"/>
    <n v="56"/>
    <x v="1"/>
    <x v="467"/>
    <x v="186"/>
    <x v="4"/>
    <x v="0"/>
    <n v="1055"/>
    <x v="7"/>
  </r>
  <r>
    <n v="1501"/>
    <s v="Fernando Ramos Natividad"/>
    <x v="1"/>
    <s v="Other"/>
    <n v="44"/>
    <x v="2"/>
    <x v="468"/>
    <x v="2"/>
    <x v="2"/>
    <x v="1"/>
    <n v="1596"/>
    <x v="0"/>
  </r>
  <r>
    <n v="1502"/>
    <s v="Rowena Lacson"/>
    <x v="3"/>
    <s v="Other"/>
    <n v="27"/>
    <x v="3"/>
    <x v="469"/>
    <x v="2"/>
    <x v="2"/>
    <x v="1"/>
    <n v="1986"/>
    <x v="2"/>
  </r>
  <r>
    <n v="1503"/>
    <s v="Jose Navarro Camacho"/>
    <x v="1"/>
    <s v="Other"/>
    <n v="30"/>
    <x v="0"/>
    <x v="470"/>
    <x v="2"/>
    <x v="2"/>
    <x v="1"/>
    <n v="1154"/>
    <x v="4"/>
  </r>
  <r>
    <n v="1504"/>
    <s v="Pilar Rivera"/>
    <x v="2"/>
    <s v="Female"/>
    <n v="56"/>
    <x v="1"/>
    <x v="471"/>
    <x v="187"/>
    <x v="1"/>
    <x v="0"/>
    <n v="191"/>
    <x v="1"/>
  </r>
  <r>
    <n v="1505"/>
    <s v="Severino Torres Manalang"/>
    <x v="0"/>
    <s v="Male"/>
    <n v="49"/>
    <x v="2"/>
    <x v="472"/>
    <x v="188"/>
    <x v="8"/>
    <x v="0"/>
    <n v="827"/>
    <x v="7"/>
  </r>
  <r>
    <n v="1506"/>
    <s v="Neil Soriano"/>
    <x v="4"/>
    <s v="Male"/>
    <n v="33"/>
    <x v="0"/>
    <x v="473"/>
    <x v="2"/>
    <x v="2"/>
    <x v="1"/>
    <n v="729"/>
    <x v="5"/>
  </r>
  <r>
    <n v="1507"/>
    <s v="Warren Pascual Ramos"/>
    <x v="4"/>
    <s v="Male"/>
    <n v="53"/>
    <x v="1"/>
    <x v="474"/>
    <x v="2"/>
    <x v="2"/>
    <x v="1"/>
    <n v="1095"/>
    <x v="7"/>
  </r>
  <r>
    <n v="1508"/>
    <s v="Danilo Camacho"/>
    <x v="0"/>
    <s v="Other"/>
    <n v="31"/>
    <x v="0"/>
    <x v="475"/>
    <x v="2"/>
    <x v="2"/>
    <x v="1"/>
    <n v="468"/>
    <x v="5"/>
  </r>
  <r>
    <n v="1509"/>
    <s v="Fernando Quiambao"/>
    <x v="0"/>
    <s v="Other"/>
    <n v="59"/>
    <x v="1"/>
    <x v="476"/>
    <x v="189"/>
    <x v="6"/>
    <x v="0"/>
    <n v="1024"/>
    <x v="7"/>
  </r>
  <r>
    <n v="1510"/>
    <s v="Warren Reyes Bondoc"/>
    <x v="4"/>
    <s v="Male"/>
    <n v="44"/>
    <x v="2"/>
    <x v="271"/>
    <x v="2"/>
    <x v="2"/>
    <x v="1"/>
    <n v="687"/>
    <x v="5"/>
  </r>
  <r>
    <n v="1511"/>
    <s v="Natividad Mendoza Pascual"/>
    <x v="1"/>
    <s v="Female"/>
    <n v="37"/>
    <x v="0"/>
    <x v="477"/>
    <x v="2"/>
    <x v="2"/>
    <x v="1"/>
    <n v="221"/>
    <x v="1"/>
  </r>
  <r>
    <n v="1512"/>
    <s v="Casey Fernandez Lopez"/>
    <x v="1"/>
    <s v="Other"/>
    <n v="56"/>
    <x v="1"/>
    <x v="478"/>
    <x v="190"/>
    <x v="8"/>
    <x v="0"/>
    <n v="1716"/>
    <x v="0"/>
  </r>
  <r>
    <n v="1513"/>
    <s v="Avery Elegado"/>
    <x v="1"/>
    <s v="Other"/>
    <n v="54"/>
    <x v="1"/>
    <x v="479"/>
    <x v="191"/>
    <x v="6"/>
    <x v="0"/>
    <n v="1600"/>
    <x v="0"/>
  </r>
  <r>
    <n v="1514"/>
    <s v="Oscar Ramos Wong"/>
    <x v="1"/>
    <s v="Male"/>
    <n v="41"/>
    <x v="2"/>
    <x v="125"/>
    <x v="2"/>
    <x v="2"/>
    <x v="1"/>
    <n v="1141"/>
    <x v="4"/>
  </r>
  <r>
    <n v="1515"/>
    <s v="Maricel Soriano Lacson"/>
    <x v="3"/>
    <s v="Other"/>
    <n v="32"/>
    <x v="0"/>
    <x v="480"/>
    <x v="2"/>
    <x v="2"/>
    <x v="1"/>
    <n v="671"/>
    <x v="5"/>
  </r>
  <r>
    <n v="1516"/>
    <s v="Jerome Soriano Bondoc"/>
    <x v="3"/>
    <s v="Male"/>
    <n v="35"/>
    <x v="0"/>
    <x v="481"/>
    <x v="2"/>
    <x v="2"/>
    <x v="1"/>
    <n v="2725"/>
    <x v="3"/>
  </r>
  <r>
    <n v="1517"/>
    <s v="Gani Sy Umali"/>
    <x v="1"/>
    <s v="Male"/>
    <n v="29"/>
    <x v="3"/>
    <x v="3"/>
    <x v="192"/>
    <x v="0"/>
    <x v="0"/>
    <n v="1185"/>
    <x v="4"/>
  </r>
  <r>
    <n v="1518"/>
    <s v="Timothy Rivera Tolentino"/>
    <x v="2"/>
    <s v="Male"/>
    <n v="21"/>
    <x v="3"/>
    <x v="482"/>
    <x v="193"/>
    <x v="3"/>
    <x v="0"/>
    <n v="511"/>
    <x v="5"/>
  </r>
  <r>
    <n v="1519"/>
    <s v="Mae Solis"/>
    <x v="2"/>
    <s v="Female"/>
    <n v="26"/>
    <x v="3"/>
    <x v="483"/>
    <x v="2"/>
    <x v="2"/>
    <x v="1"/>
    <n v="1362"/>
    <x v="4"/>
  </r>
  <r>
    <n v="1520"/>
    <s v="Teresa Torres Navarro"/>
    <x v="5"/>
    <s v="Female"/>
    <n v="55"/>
    <x v="1"/>
    <x v="484"/>
    <x v="2"/>
    <x v="2"/>
    <x v="1"/>
    <n v="1990"/>
    <x v="2"/>
  </r>
  <r>
    <n v="1521"/>
    <s v="Jaime Bautista Dalisay"/>
    <x v="0"/>
    <s v="Male"/>
    <n v="38"/>
    <x v="0"/>
    <x v="485"/>
    <x v="2"/>
    <x v="2"/>
    <x v="1"/>
    <n v="222"/>
    <x v="1"/>
  </r>
  <r>
    <n v="1522"/>
    <s v="Ana Santos Lim"/>
    <x v="3"/>
    <s v="Female"/>
    <n v="27"/>
    <x v="3"/>
    <x v="486"/>
    <x v="194"/>
    <x v="5"/>
    <x v="0"/>
    <n v="1554"/>
    <x v="0"/>
  </r>
  <r>
    <n v="1523"/>
    <s v="Cardo Jimenez"/>
    <x v="0"/>
    <s v="Male"/>
    <n v="40"/>
    <x v="2"/>
    <x v="487"/>
    <x v="2"/>
    <x v="2"/>
    <x v="1"/>
    <n v="1050"/>
    <x v="7"/>
  </r>
  <r>
    <n v="1524"/>
    <s v="Elena Domingo Navarro"/>
    <x v="4"/>
    <s v="Other"/>
    <n v="30"/>
    <x v="0"/>
    <x v="488"/>
    <x v="195"/>
    <x v="0"/>
    <x v="0"/>
    <n v="1697"/>
    <x v="0"/>
  </r>
  <r>
    <n v="1525"/>
    <s v="Luisa Uy"/>
    <x v="2"/>
    <s v="Other"/>
    <n v="28"/>
    <x v="3"/>
    <x v="489"/>
    <x v="2"/>
    <x v="2"/>
    <x v="1"/>
    <n v="2072"/>
    <x v="2"/>
  </r>
  <r>
    <n v="1526"/>
    <s v="Lorenzo Soriano Tuazon"/>
    <x v="1"/>
    <s v="Male"/>
    <n v="27"/>
    <x v="3"/>
    <x v="254"/>
    <x v="2"/>
    <x v="2"/>
    <x v="1"/>
    <n v="957"/>
    <x v="7"/>
  </r>
  <r>
    <n v="1527"/>
    <s v="Violeta Umali"/>
    <x v="3"/>
    <s v="Female"/>
    <n v="23"/>
    <x v="3"/>
    <x v="490"/>
    <x v="2"/>
    <x v="2"/>
    <x v="1"/>
    <n v="840"/>
    <x v="7"/>
  </r>
  <r>
    <n v="1528"/>
    <s v="Fernando Mercado Narvasa"/>
    <x v="1"/>
    <s v="Other"/>
    <n v="55"/>
    <x v="1"/>
    <x v="491"/>
    <x v="196"/>
    <x v="6"/>
    <x v="0"/>
    <n v="1868"/>
    <x v="2"/>
  </r>
  <r>
    <n v="1529"/>
    <s v="Patricia Ang Dela Cruz"/>
    <x v="1"/>
    <s v="Female"/>
    <n v="51"/>
    <x v="1"/>
    <x v="492"/>
    <x v="2"/>
    <x v="2"/>
    <x v="1"/>
    <n v="272"/>
    <x v="1"/>
  </r>
  <r>
    <n v="1530"/>
    <s v="Ronaldo Navarro Flores"/>
    <x v="1"/>
    <s v="Male"/>
    <n v="24"/>
    <x v="3"/>
    <x v="493"/>
    <x v="197"/>
    <x v="1"/>
    <x v="0"/>
    <n v="720"/>
    <x v="5"/>
  </r>
  <r>
    <n v="1531"/>
    <s v="Sam Ramos Hernandez"/>
    <x v="3"/>
    <s v="Other"/>
    <n v="43"/>
    <x v="2"/>
    <x v="494"/>
    <x v="2"/>
    <x v="2"/>
    <x v="1"/>
    <n v="1295"/>
    <x v="4"/>
  </r>
  <r>
    <n v="1532"/>
    <s v="Kristina Go Guerrero"/>
    <x v="4"/>
    <s v="Female"/>
    <n v="49"/>
    <x v="2"/>
    <x v="495"/>
    <x v="198"/>
    <x v="0"/>
    <x v="0"/>
    <n v="591"/>
    <x v="5"/>
  </r>
  <r>
    <n v="1533"/>
    <s v="Roberto Santos Guerrero"/>
    <x v="4"/>
    <s v="Other"/>
    <n v="56"/>
    <x v="1"/>
    <x v="496"/>
    <x v="199"/>
    <x v="5"/>
    <x v="0"/>
    <n v="724"/>
    <x v="5"/>
  </r>
  <r>
    <n v="1534"/>
    <s v="Jerome Ocampo Trinidad"/>
    <x v="5"/>
    <s v="Male"/>
    <n v="32"/>
    <x v="0"/>
    <x v="497"/>
    <x v="2"/>
    <x v="2"/>
    <x v="1"/>
    <n v="3015"/>
    <x v="8"/>
  </r>
  <r>
    <n v="1535"/>
    <s v="Ian Pascual Hilario"/>
    <x v="5"/>
    <s v="Male"/>
    <n v="45"/>
    <x v="2"/>
    <x v="498"/>
    <x v="2"/>
    <x v="2"/>
    <x v="1"/>
    <n v="2314"/>
    <x v="6"/>
  </r>
  <r>
    <n v="1536"/>
    <s v="Carlos Garcia"/>
    <x v="4"/>
    <s v="Male"/>
    <n v="28"/>
    <x v="3"/>
    <x v="243"/>
    <x v="2"/>
    <x v="2"/>
    <x v="1"/>
    <n v="2697"/>
    <x v="3"/>
  </r>
  <r>
    <n v="1537"/>
    <s v="Taylor Rivera Ocampo"/>
    <x v="1"/>
    <s v="Other"/>
    <n v="33"/>
    <x v="0"/>
    <x v="499"/>
    <x v="2"/>
    <x v="2"/>
    <x v="1"/>
    <n v="2653"/>
    <x v="3"/>
  </r>
  <r>
    <n v="1538"/>
    <s v="Manuel Reyes"/>
    <x v="5"/>
    <s v="Male"/>
    <n v="58"/>
    <x v="1"/>
    <x v="500"/>
    <x v="200"/>
    <x v="7"/>
    <x v="0"/>
    <n v="542"/>
    <x v="5"/>
  </r>
  <r>
    <n v="1539"/>
    <s v="Fernando Lim Evangelista"/>
    <x v="1"/>
    <s v="Male"/>
    <n v="26"/>
    <x v="3"/>
    <x v="212"/>
    <x v="2"/>
    <x v="2"/>
    <x v="1"/>
    <n v="1174"/>
    <x v="4"/>
  </r>
  <r>
    <n v="1540"/>
    <s v="Manuel Villanueva"/>
    <x v="2"/>
    <s v="Other"/>
    <n v="24"/>
    <x v="3"/>
    <x v="501"/>
    <x v="35"/>
    <x v="1"/>
    <x v="0"/>
    <n v="110"/>
    <x v="1"/>
  </r>
  <r>
    <n v="1541"/>
    <s v="Leonora Elegado"/>
    <x v="3"/>
    <s v="Female"/>
    <n v="35"/>
    <x v="0"/>
    <x v="502"/>
    <x v="2"/>
    <x v="2"/>
    <x v="1"/>
    <n v="914"/>
    <x v="7"/>
  </r>
  <r>
    <n v="1542"/>
    <s v="Taylor Go Zulueta"/>
    <x v="0"/>
    <s v="Other"/>
    <n v="56"/>
    <x v="1"/>
    <x v="503"/>
    <x v="2"/>
    <x v="2"/>
    <x v="1"/>
    <n v="805"/>
    <x v="7"/>
  </r>
  <r>
    <n v="1543"/>
    <s v="Pete Lopez Vergara"/>
    <x v="5"/>
    <s v="Male"/>
    <n v="27"/>
    <x v="3"/>
    <x v="504"/>
    <x v="2"/>
    <x v="2"/>
    <x v="1"/>
    <n v="2408"/>
    <x v="6"/>
  </r>
  <r>
    <n v="1544"/>
    <s v="Elmer Sy Ignacio"/>
    <x v="0"/>
    <s v="Male"/>
    <n v="43"/>
    <x v="2"/>
    <x v="505"/>
    <x v="2"/>
    <x v="2"/>
    <x v="1"/>
    <n v="1801"/>
    <x v="0"/>
  </r>
  <r>
    <n v="1545"/>
    <s v="Leonard Hilario"/>
    <x v="2"/>
    <s v="Male"/>
    <n v="36"/>
    <x v="0"/>
    <x v="458"/>
    <x v="2"/>
    <x v="2"/>
    <x v="1"/>
    <n v="785"/>
    <x v="7"/>
  </r>
  <r>
    <n v="1546"/>
    <s v="Cristina Soriano Cruz"/>
    <x v="4"/>
    <s v="Other"/>
    <n v="49"/>
    <x v="2"/>
    <x v="506"/>
    <x v="201"/>
    <x v="4"/>
    <x v="0"/>
    <n v="160"/>
    <x v="1"/>
  </r>
  <r>
    <n v="1547"/>
    <s v="Fernando Fernandez Hilario"/>
    <x v="1"/>
    <s v="Other"/>
    <n v="34"/>
    <x v="0"/>
    <x v="507"/>
    <x v="202"/>
    <x v="4"/>
    <x v="0"/>
    <n v="1773"/>
    <x v="0"/>
  </r>
  <r>
    <n v="1548"/>
    <s v="Danilo Flores Macapagal"/>
    <x v="1"/>
    <s v="Male"/>
    <n v="59"/>
    <x v="1"/>
    <x v="508"/>
    <x v="203"/>
    <x v="6"/>
    <x v="0"/>
    <n v="1113"/>
    <x v="4"/>
  </r>
  <r>
    <n v="1549"/>
    <s v="Maricel Soriano Fernandez"/>
    <x v="5"/>
    <s v="Other"/>
    <n v="51"/>
    <x v="1"/>
    <x v="346"/>
    <x v="2"/>
    <x v="2"/>
    <x v="1"/>
    <n v="2383"/>
    <x v="6"/>
  </r>
  <r>
    <n v="1550"/>
    <s v="Danilo Manalang"/>
    <x v="1"/>
    <s v="Other"/>
    <n v="45"/>
    <x v="2"/>
    <x v="509"/>
    <x v="2"/>
    <x v="2"/>
    <x v="1"/>
    <n v="2770"/>
    <x v="3"/>
  </r>
  <r>
    <n v="1551"/>
    <s v="Cristina Reyes"/>
    <x v="4"/>
    <s v="Other"/>
    <n v="28"/>
    <x v="3"/>
    <x v="510"/>
    <x v="2"/>
    <x v="2"/>
    <x v="1"/>
    <n v="2163"/>
    <x v="2"/>
  </r>
  <r>
    <n v="1552"/>
    <s v="Florinda Mendoza"/>
    <x v="0"/>
    <s v="Female"/>
    <n v="57"/>
    <x v="1"/>
    <x v="511"/>
    <x v="204"/>
    <x v="6"/>
    <x v="0"/>
    <n v="702"/>
    <x v="5"/>
  </r>
  <r>
    <n v="1553"/>
    <s v="Cameron Chan Flores"/>
    <x v="3"/>
    <s v="Other"/>
    <n v="62"/>
    <x v="4"/>
    <x v="512"/>
    <x v="205"/>
    <x v="6"/>
    <x v="0"/>
    <n v="532"/>
    <x v="5"/>
  </r>
  <r>
    <n v="1554"/>
    <s v="Belinda Castro Ramirez"/>
    <x v="0"/>
    <s v="Female"/>
    <n v="46"/>
    <x v="2"/>
    <x v="513"/>
    <x v="206"/>
    <x v="5"/>
    <x v="0"/>
    <n v="1117"/>
    <x v="4"/>
  </r>
  <r>
    <n v="1555"/>
    <s v="Mark Aguilar Uy"/>
    <x v="0"/>
    <s v="Male"/>
    <n v="33"/>
    <x v="0"/>
    <x v="514"/>
    <x v="2"/>
    <x v="2"/>
    <x v="1"/>
    <n v="793"/>
    <x v="7"/>
  </r>
  <r>
    <n v="1556"/>
    <s v="Harold Reyes Diaz"/>
    <x v="5"/>
    <s v="Male"/>
    <n v="57"/>
    <x v="1"/>
    <x v="481"/>
    <x v="207"/>
    <x v="5"/>
    <x v="0"/>
    <n v="1784"/>
    <x v="0"/>
  </r>
  <r>
    <n v="1557"/>
    <s v="Cherry Cruz Trinidad"/>
    <x v="5"/>
    <s v="Female"/>
    <n v="43"/>
    <x v="2"/>
    <x v="515"/>
    <x v="2"/>
    <x v="2"/>
    <x v="1"/>
    <n v="567"/>
    <x v="5"/>
  </r>
  <r>
    <n v="1558"/>
    <s v="Rowena Gonzales"/>
    <x v="3"/>
    <s v="Female"/>
    <n v="44"/>
    <x v="2"/>
    <x v="516"/>
    <x v="2"/>
    <x v="2"/>
    <x v="1"/>
    <n v="2453"/>
    <x v="6"/>
  </r>
  <r>
    <n v="1559"/>
    <s v="Christian Diaz Natividad"/>
    <x v="4"/>
    <s v="Male"/>
    <n v="30"/>
    <x v="0"/>
    <x v="517"/>
    <x v="208"/>
    <x v="3"/>
    <x v="0"/>
    <n v="1510"/>
    <x v="0"/>
  </r>
  <r>
    <n v="1560"/>
    <s v="Teodoro Fernandez Hilario"/>
    <x v="1"/>
    <s v="Male"/>
    <n v="34"/>
    <x v="0"/>
    <x v="407"/>
    <x v="2"/>
    <x v="2"/>
    <x v="1"/>
    <n v="853"/>
    <x v="7"/>
  </r>
  <r>
    <n v="1561"/>
    <s v="Mark Bautista Garcia"/>
    <x v="5"/>
    <s v="Male"/>
    <n v="45"/>
    <x v="2"/>
    <x v="518"/>
    <x v="2"/>
    <x v="2"/>
    <x v="1"/>
    <n v="704"/>
    <x v="5"/>
  </r>
  <r>
    <n v="1562"/>
    <s v="Alex Aguilar Aquino"/>
    <x v="4"/>
    <s v="Other"/>
    <n v="38"/>
    <x v="0"/>
    <x v="519"/>
    <x v="2"/>
    <x v="2"/>
    <x v="1"/>
    <n v="2874"/>
    <x v="3"/>
  </r>
  <r>
    <n v="1563"/>
    <s v="Pilar Navarro Lazo"/>
    <x v="5"/>
    <s v="Other"/>
    <n v="62"/>
    <x v="4"/>
    <x v="520"/>
    <x v="209"/>
    <x v="6"/>
    <x v="0"/>
    <n v="1673"/>
    <x v="0"/>
  </r>
  <r>
    <n v="1564"/>
    <s v="Miguel Soriano Garcia"/>
    <x v="0"/>
    <s v="Male"/>
    <n v="26"/>
    <x v="3"/>
    <x v="268"/>
    <x v="210"/>
    <x v="8"/>
    <x v="0"/>
    <n v="1965"/>
    <x v="2"/>
  </r>
  <r>
    <n v="1565"/>
    <s v="Bryan Sy"/>
    <x v="4"/>
    <s v="Male"/>
    <n v="31"/>
    <x v="0"/>
    <x v="521"/>
    <x v="211"/>
    <x v="5"/>
    <x v="0"/>
    <n v="1531"/>
    <x v="0"/>
  </r>
  <r>
    <n v="1566"/>
    <s v="Luisa Jacinto"/>
    <x v="3"/>
    <s v="Female"/>
    <n v="24"/>
    <x v="3"/>
    <x v="522"/>
    <x v="212"/>
    <x v="3"/>
    <x v="0"/>
    <n v="288"/>
    <x v="1"/>
  </r>
  <r>
    <n v="1567"/>
    <s v="Osvaldo Fernandez Camacho"/>
    <x v="1"/>
    <s v="Male"/>
    <n v="46"/>
    <x v="2"/>
    <x v="523"/>
    <x v="146"/>
    <x v="8"/>
    <x v="0"/>
    <n v="285"/>
    <x v="1"/>
  </r>
  <r>
    <n v="1568"/>
    <s v="Natividad Castro Corpuz"/>
    <x v="4"/>
    <s v="Female"/>
    <n v="42"/>
    <x v="2"/>
    <x v="524"/>
    <x v="2"/>
    <x v="2"/>
    <x v="1"/>
    <n v="1252"/>
    <x v="4"/>
  </r>
  <r>
    <n v="1569"/>
    <s v="Erlinda Corpuz"/>
    <x v="2"/>
    <s v="Female"/>
    <n v="54"/>
    <x v="1"/>
    <x v="525"/>
    <x v="2"/>
    <x v="2"/>
    <x v="1"/>
    <n v="2538"/>
    <x v="6"/>
  </r>
  <r>
    <n v="1570"/>
    <s v="Annaliza Fernandez Navarro"/>
    <x v="3"/>
    <s v="Female"/>
    <n v="56"/>
    <x v="1"/>
    <x v="526"/>
    <x v="2"/>
    <x v="2"/>
    <x v="1"/>
    <n v="908"/>
    <x v="7"/>
  </r>
  <r>
    <n v="1571"/>
    <s v="Fernando Domingo"/>
    <x v="5"/>
    <s v="Other"/>
    <n v="47"/>
    <x v="2"/>
    <x v="527"/>
    <x v="213"/>
    <x v="4"/>
    <x v="0"/>
    <n v="1394"/>
    <x v="4"/>
  </r>
  <r>
    <n v="1572"/>
    <s v="Queenie Reyes Perez"/>
    <x v="1"/>
    <s v="Female"/>
    <n v="38"/>
    <x v="0"/>
    <x v="528"/>
    <x v="2"/>
    <x v="2"/>
    <x v="1"/>
    <n v="611"/>
    <x v="5"/>
  </r>
  <r>
    <n v="1573"/>
    <s v="Cristina Tuazon"/>
    <x v="4"/>
    <s v="Other"/>
    <n v="51"/>
    <x v="1"/>
    <x v="529"/>
    <x v="2"/>
    <x v="2"/>
    <x v="1"/>
    <n v="2542"/>
    <x v="6"/>
  </r>
  <r>
    <n v="1574"/>
    <s v="Alex Wong"/>
    <x v="4"/>
    <s v="Other"/>
    <n v="63"/>
    <x v="4"/>
    <x v="530"/>
    <x v="214"/>
    <x v="6"/>
    <x v="0"/>
    <n v="485"/>
    <x v="5"/>
  </r>
  <r>
    <n v="1575"/>
    <s v="Gani Go Hernandez"/>
    <x v="1"/>
    <s v="Male"/>
    <n v="33"/>
    <x v="0"/>
    <x v="531"/>
    <x v="215"/>
    <x v="3"/>
    <x v="0"/>
    <n v="1889"/>
    <x v="2"/>
  </r>
  <r>
    <n v="1576"/>
    <s v="Leonard Cruz Obispo"/>
    <x v="2"/>
    <s v="Male"/>
    <n v="23"/>
    <x v="3"/>
    <x v="532"/>
    <x v="2"/>
    <x v="2"/>
    <x v="1"/>
    <n v="601"/>
    <x v="5"/>
  </r>
  <r>
    <n v="1577"/>
    <s v="Nathan Rivera San Pedro"/>
    <x v="0"/>
    <s v="Male"/>
    <n v="23"/>
    <x v="3"/>
    <x v="533"/>
    <x v="2"/>
    <x v="2"/>
    <x v="1"/>
    <n v="2085"/>
    <x v="2"/>
  </r>
  <r>
    <n v="1578"/>
    <s v="Wilfredo Pascual Suarez"/>
    <x v="0"/>
    <s v="Male"/>
    <n v="24"/>
    <x v="3"/>
    <x v="498"/>
    <x v="23"/>
    <x v="3"/>
    <x v="0"/>
    <n v="1720"/>
    <x v="0"/>
  </r>
  <r>
    <n v="1579"/>
    <s v="Daisy Dela Cruz"/>
    <x v="0"/>
    <s v="Female"/>
    <n v="54"/>
    <x v="1"/>
    <x v="534"/>
    <x v="2"/>
    <x v="2"/>
    <x v="1"/>
    <n v="2509"/>
    <x v="6"/>
  </r>
  <r>
    <n v="1580"/>
    <s v="Rodel Go Natividad"/>
    <x v="1"/>
    <s v="Other"/>
    <n v="55"/>
    <x v="1"/>
    <x v="222"/>
    <x v="2"/>
    <x v="2"/>
    <x v="1"/>
    <n v="2537"/>
    <x v="6"/>
  </r>
  <r>
    <n v="1581"/>
    <s v="Juan Miranda"/>
    <x v="0"/>
    <s v="Other"/>
    <n v="33"/>
    <x v="0"/>
    <x v="535"/>
    <x v="216"/>
    <x v="1"/>
    <x v="0"/>
    <n v="753"/>
    <x v="7"/>
  </r>
  <r>
    <n v="1582"/>
    <s v="Arnel Dela Torre"/>
    <x v="1"/>
    <s v="Other"/>
    <n v="44"/>
    <x v="2"/>
    <x v="536"/>
    <x v="2"/>
    <x v="2"/>
    <x v="1"/>
    <n v="2742"/>
    <x v="3"/>
  </r>
  <r>
    <n v="1583"/>
    <s v="Juan Fernandez Mangubat"/>
    <x v="0"/>
    <s v="Other"/>
    <n v="45"/>
    <x v="2"/>
    <x v="537"/>
    <x v="2"/>
    <x v="2"/>
    <x v="1"/>
    <n v="837"/>
    <x v="7"/>
  </r>
  <r>
    <n v="1584"/>
    <s v="Annaliza Flores"/>
    <x v="1"/>
    <s v="Female"/>
    <n v="55"/>
    <x v="1"/>
    <x v="538"/>
    <x v="217"/>
    <x v="6"/>
    <x v="0"/>
    <n v="1003"/>
    <x v="7"/>
  </r>
  <r>
    <n v="1585"/>
    <s v="Isabel Guerrero"/>
    <x v="1"/>
    <s v="Other"/>
    <n v="21"/>
    <x v="3"/>
    <x v="539"/>
    <x v="2"/>
    <x v="2"/>
    <x v="1"/>
    <n v="1213"/>
    <x v="4"/>
  </r>
  <r>
    <n v="1586"/>
    <s v="Alvin Santos Bondoc"/>
    <x v="0"/>
    <s v="Male"/>
    <n v="34"/>
    <x v="0"/>
    <x v="540"/>
    <x v="2"/>
    <x v="2"/>
    <x v="1"/>
    <n v="680"/>
    <x v="5"/>
  </r>
  <r>
    <n v="1587"/>
    <s v="Harold Cruz Ocampo"/>
    <x v="4"/>
    <s v="Male"/>
    <n v="56"/>
    <x v="1"/>
    <x v="379"/>
    <x v="218"/>
    <x v="0"/>
    <x v="0"/>
    <n v="697"/>
    <x v="5"/>
  </r>
  <r>
    <n v="1588"/>
    <s v="Riley Gonzales Lopez"/>
    <x v="5"/>
    <s v="Other"/>
    <n v="40"/>
    <x v="2"/>
    <x v="541"/>
    <x v="2"/>
    <x v="2"/>
    <x v="1"/>
    <n v="1735"/>
    <x v="0"/>
  </r>
  <r>
    <n v="1589"/>
    <s v="Nina Soriano Ocampo"/>
    <x v="1"/>
    <s v="Female"/>
    <n v="57"/>
    <x v="1"/>
    <x v="542"/>
    <x v="219"/>
    <x v="1"/>
    <x v="0"/>
    <n v="556"/>
    <x v="5"/>
  </r>
  <r>
    <n v="1590"/>
    <s v="Jordan Torres Chua"/>
    <x v="4"/>
    <s v="Other"/>
    <n v="25"/>
    <x v="3"/>
    <x v="543"/>
    <x v="2"/>
    <x v="2"/>
    <x v="1"/>
    <n v="1341"/>
    <x v="4"/>
  </r>
  <r>
    <n v="1591"/>
    <s v="Natividad Garcia Solis"/>
    <x v="5"/>
    <s v="Female"/>
    <n v="54"/>
    <x v="1"/>
    <x v="544"/>
    <x v="2"/>
    <x v="2"/>
    <x v="1"/>
    <n v="1397"/>
    <x v="4"/>
  </r>
  <r>
    <n v="1592"/>
    <s v="Rodel Vega Chan"/>
    <x v="0"/>
    <s v="Other"/>
    <n v="39"/>
    <x v="0"/>
    <x v="545"/>
    <x v="2"/>
    <x v="2"/>
    <x v="1"/>
    <n v="1342"/>
    <x v="4"/>
  </r>
  <r>
    <n v="1593"/>
    <s v="Ian Zamora"/>
    <x v="3"/>
    <s v="Male"/>
    <n v="52"/>
    <x v="1"/>
    <x v="546"/>
    <x v="2"/>
    <x v="2"/>
    <x v="1"/>
    <n v="963"/>
    <x v="7"/>
  </r>
  <r>
    <n v="1594"/>
    <s v="Annaliza San Pedro"/>
    <x v="2"/>
    <s v="Female"/>
    <n v="39"/>
    <x v="0"/>
    <x v="547"/>
    <x v="220"/>
    <x v="5"/>
    <x v="0"/>
    <n v="188"/>
    <x v="1"/>
  </r>
  <r>
    <n v="1595"/>
    <s v="Miguel Ocampo Hernandez"/>
    <x v="2"/>
    <s v="Other"/>
    <n v="47"/>
    <x v="2"/>
    <x v="75"/>
    <x v="221"/>
    <x v="0"/>
    <x v="0"/>
    <n v="959"/>
    <x v="7"/>
  </r>
  <r>
    <n v="1596"/>
    <s v="Sonny Solis"/>
    <x v="4"/>
    <s v="Male"/>
    <n v="41"/>
    <x v="2"/>
    <x v="548"/>
    <x v="222"/>
    <x v="5"/>
    <x v="0"/>
    <n v="1455"/>
    <x v="4"/>
  </r>
  <r>
    <n v="1597"/>
    <s v="Gina Ocampo"/>
    <x v="2"/>
    <s v="Female"/>
    <n v="42"/>
    <x v="2"/>
    <x v="549"/>
    <x v="2"/>
    <x v="2"/>
    <x v="1"/>
    <n v="337"/>
    <x v="1"/>
  </r>
  <r>
    <n v="1598"/>
    <s v="Paolo Soriano Del Rosario"/>
    <x v="0"/>
    <s v="Male"/>
    <n v="55"/>
    <x v="1"/>
    <x v="304"/>
    <x v="2"/>
    <x v="2"/>
    <x v="1"/>
    <n v="1719"/>
    <x v="0"/>
  </r>
  <r>
    <n v="1599"/>
    <s v="Ivan Aquino"/>
    <x v="0"/>
    <s v="Male"/>
    <n v="56"/>
    <x v="1"/>
    <x v="550"/>
    <x v="223"/>
    <x v="1"/>
    <x v="0"/>
    <n v="681"/>
    <x v="5"/>
  </r>
  <r>
    <n v="1600"/>
    <s v="Imelda Macapagal"/>
    <x v="4"/>
    <s v="Female"/>
    <n v="45"/>
    <x v="2"/>
    <x v="551"/>
    <x v="2"/>
    <x v="2"/>
    <x v="1"/>
    <n v="525"/>
    <x v="5"/>
  </r>
  <r>
    <n v="1601"/>
    <s v="Carmen Ang Wong"/>
    <x v="1"/>
    <s v="Female"/>
    <n v="40"/>
    <x v="2"/>
    <x v="552"/>
    <x v="2"/>
    <x v="2"/>
    <x v="1"/>
    <n v="203"/>
    <x v="1"/>
  </r>
  <r>
    <n v="1602"/>
    <s v="Hernando Cruz Gonzales"/>
    <x v="2"/>
    <s v="Male"/>
    <n v="40"/>
    <x v="2"/>
    <x v="553"/>
    <x v="2"/>
    <x v="2"/>
    <x v="1"/>
    <n v="2206"/>
    <x v="6"/>
  </r>
  <r>
    <n v="1603"/>
    <s v="Cameron Chan Diaz"/>
    <x v="5"/>
    <s v="Other"/>
    <n v="49"/>
    <x v="2"/>
    <x v="554"/>
    <x v="224"/>
    <x v="3"/>
    <x v="0"/>
    <n v="584"/>
    <x v="5"/>
  </r>
  <r>
    <n v="1604"/>
    <s v="Efren Delmendo"/>
    <x v="5"/>
    <s v="Male"/>
    <n v="41"/>
    <x v="2"/>
    <x v="555"/>
    <x v="2"/>
    <x v="2"/>
    <x v="1"/>
    <n v="2505"/>
    <x v="6"/>
  </r>
  <r>
    <n v="1605"/>
    <s v="Teresa Cruz Gonzales"/>
    <x v="1"/>
    <s v="Other"/>
    <n v="50"/>
    <x v="1"/>
    <x v="556"/>
    <x v="2"/>
    <x v="2"/>
    <x v="1"/>
    <n v="1504"/>
    <x v="0"/>
  </r>
  <r>
    <n v="1606"/>
    <s v="Eduardo Soriano Lopez"/>
    <x v="5"/>
    <s v="Male"/>
    <n v="26"/>
    <x v="3"/>
    <x v="87"/>
    <x v="2"/>
    <x v="2"/>
    <x v="1"/>
    <n v="1726"/>
    <x v="0"/>
  </r>
  <r>
    <n v="1607"/>
    <s v="Luisa Fernandez Enriquez"/>
    <x v="1"/>
    <s v="Other"/>
    <n v="60"/>
    <x v="4"/>
    <x v="557"/>
    <x v="225"/>
    <x v="6"/>
    <x v="0"/>
    <n v="676"/>
    <x v="5"/>
  </r>
  <r>
    <n v="1608"/>
    <s v="Hope Pascual Wong"/>
    <x v="1"/>
    <s v="Female"/>
    <n v="56"/>
    <x v="1"/>
    <x v="558"/>
    <x v="226"/>
    <x v="5"/>
    <x v="0"/>
    <n v="645"/>
    <x v="5"/>
  </r>
  <r>
    <n v="1609"/>
    <s v="Paz Reyes Manalo"/>
    <x v="0"/>
    <s v="Female"/>
    <n v="40"/>
    <x v="2"/>
    <x v="559"/>
    <x v="2"/>
    <x v="2"/>
    <x v="1"/>
    <n v="580"/>
    <x v="5"/>
  </r>
  <r>
    <n v="1610"/>
    <s v="Zeus Ong"/>
    <x v="0"/>
    <s v="Male"/>
    <n v="27"/>
    <x v="3"/>
    <x v="560"/>
    <x v="227"/>
    <x v="5"/>
    <x v="0"/>
    <n v="963"/>
    <x v="7"/>
  </r>
  <r>
    <n v="1611"/>
    <s v="Neil Ramos"/>
    <x v="5"/>
    <s v="Male"/>
    <n v="43"/>
    <x v="2"/>
    <x v="561"/>
    <x v="183"/>
    <x v="1"/>
    <x v="0"/>
    <n v="495"/>
    <x v="5"/>
  </r>
  <r>
    <n v="1612"/>
    <s v="Cardo Go Fernandez"/>
    <x v="5"/>
    <s v="Male"/>
    <n v="29"/>
    <x v="3"/>
    <x v="383"/>
    <x v="2"/>
    <x v="2"/>
    <x v="1"/>
    <n v="2711"/>
    <x v="3"/>
  </r>
  <r>
    <n v="1613"/>
    <s v="Danilo Reyes Dalisay"/>
    <x v="0"/>
    <s v="Other"/>
    <n v="30"/>
    <x v="0"/>
    <x v="501"/>
    <x v="228"/>
    <x v="5"/>
    <x v="0"/>
    <n v="276"/>
    <x v="1"/>
  </r>
  <r>
    <n v="1614"/>
    <s v="Diana Manalang"/>
    <x v="1"/>
    <s v="Female"/>
    <n v="51"/>
    <x v="1"/>
    <x v="562"/>
    <x v="2"/>
    <x v="2"/>
    <x v="1"/>
    <n v="1202"/>
    <x v="4"/>
  </r>
  <r>
    <n v="1615"/>
    <s v="Gloria Tan Sia"/>
    <x v="1"/>
    <s v="Female"/>
    <n v="27"/>
    <x v="3"/>
    <x v="563"/>
    <x v="2"/>
    <x v="2"/>
    <x v="1"/>
    <n v="1757"/>
    <x v="0"/>
  </r>
  <r>
    <n v="1616"/>
    <s v="Karen Santiago"/>
    <x v="0"/>
    <s v="Female"/>
    <n v="36"/>
    <x v="0"/>
    <x v="564"/>
    <x v="229"/>
    <x v="5"/>
    <x v="0"/>
    <n v="583"/>
    <x v="5"/>
  </r>
  <r>
    <n v="1617"/>
    <s v="Gloria Ocampo Hernandez"/>
    <x v="0"/>
    <s v="Other"/>
    <n v="48"/>
    <x v="2"/>
    <x v="565"/>
    <x v="2"/>
    <x v="2"/>
    <x v="1"/>
    <n v="768"/>
    <x v="7"/>
  </r>
  <r>
    <n v="1618"/>
    <s v="Carmen Uy Dalisay"/>
    <x v="5"/>
    <s v="Other"/>
    <n v="52"/>
    <x v="1"/>
    <x v="566"/>
    <x v="2"/>
    <x v="2"/>
    <x v="1"/>
    <n v="2623"/>
    <x v="3"/>
  </r>
  <r>
    <n v="1619"/>
    <s v="Casey Rivera"/>
    <x v="1"/>
    <s v="Other"/>
    <n v="51"/>
    <x v="1"/>
    <x v="567"/>
    <x v="230"/>
    <x v="6"/>
    <x v="0"/>
    <n v="478"/>
    <x v="5"/>
  </r>
  <r>
    <n v="1620"/>
    <s v="Luisa Uy Fajardo"/>
    <x v="2"/>
    <s v="Other"/>
    <n v="21"/>
    <x v="3"/>
    <x v="568"/>
    <x v="2"/>
    <x v="2"/>
    <x v="1"/>
    <n v="2491"/>
    <x v="6"/>
  </r>
  <r>
    <n v="1621"/>
    <s v="Manuel Lacson"/>
    <x v="1"/>
    <s v="Other"/>
    <n v="41"/>
    <x v="2"/>
    <x v="255"/>
    <x v="2"/>
    <x v="2"/>
    <x v="1"/>
    <n v="1864"/>
    <x v="2"/>
  </r>
  <r>
    <n v="1622"/>
    <s v="Pilar Vergara"/>
    <x v="3"/>
    <s v="Other"/>
    <n v="58"/>
    <x v="1"/>
    <x v="569"/>
    <x v="2"/>
    <x v="2"/>
    <x v="1"/>
    <n v="3058"/>
    <x v="8"/>
  </r>
  <r>
    <n v="1623"/>
    <s v="Diana Tan Bautista"/>
    <x v="2"/>
    <s v="Female"/>
    <n v="56"/>
    <x v="1"/>
    <x v="519"/>
    <x v="52"/>
    <x v="0"/>
    <x v="0"/>
    <n v="1561"/>
    <x v="0"/>
  </r>
  <r>
    <n v="1624"/>
    <s v="Ramon Ramos Delos Reyes"/>
    <x v="0"/>
    <s v="Other"/>
    <n v="46"/>
    <x v="2"/>
    <x v="418"/>
    <x v="2"/>
    <x v="2"/>
    <x v="1"/>
    <n v="1529"/>
    <x v="0"/>
  </r>
  <r>
    <n v="1625"/>
    <s v="Manuel Ang Bayani"/>
    <x v="1"/>
    <s v="Male"/>
    <n v="44"/>
    <x v="2"/>
    <x v="570"/>
    <x v="73"/>
    <x v="0"/>
    <x v="0"/>
    <n v="347"/>
    <x v="1"/>
  </r>
  <r>
    <n v="1626"/>
    <s v="Cristina Estrada"/>
    <x v="5"/>
    <s v="Other"/>
    <n v="29"/>
    <x v="3"/>
    <x v="571"/>
    <x v="231"/>
    <x v="3"/>
    <x v="0"/>
    <n v="1793"/>
    <x v="0"/>
  </r>
  <r>
    <n v="1627"/>
    <s v="Juan Mercado Macapagal"/>
    <x v="4"/>
    <s v="Male"/>
    <n v="49"/>
    <x v="2"/>
    <x v="572"/>
    <x v="232"/>
    <x v="5"/>
    <x v="0"/>
    <n v="470"/>
    <x v="5"/>
  </r>
  <r>
    <n v="1628"/>
    <s v="Patricia Garcia Gonzales"/>
    <x v="5"/>
    <s v="Female"/>
    <n v="55"/>
    <x v="1"/>
    <x v="573"/>
    <x v="233"/>
    <x v="8"/>
    <x v="0"/>
    <n v="128"/>
    <x v="1"/>
  </r>
  <r>
    <n v="1629"/>
    <s v="Teresa Chan Solis"/>
    <x v="1"/>
    <s v="Other"/>
    <n v="38"/>
    <x v="0"/>
    <x v="46"/>
    <x v="2"/>
    <x v="2"/>
    <x v="1"/>
    <n v="1187"/>
    <x v="4"/>
  </r>
  <r>
    <n v="1630"/>
    <s v="Willy Yap"/>
    <x v="0"/>
    <s v="Male"/>
    <n v="25"/>
    <x v="3"/>
    <x v="574"/>
    <x v="2"/>
    <x v="2"/>
    <x v="1"/>
    <n v="290"/>
    <x v="1"/>
  </r>
  <r>
    <n v="1631"/>
    <s v="Eddie Macapagal"/>
    <x v="3"/>
    <s v="Male"/>
    <n v="21"/>
    <x v="3"/>
    <x v="575"/>
    <x v="2"/>
    <x v="2"/>
    <x v="1"/>
    <n v="1171"/>
    <x v="4"/>
  </r>
  <r>
    <n v="1632"/>
    <s v="Manuel Dela Torre"/>
    <x v="4"/>
    <s v="Other"/>
    <n v="39"/>
    <x v="0"/>
    <x v="576"/>
    <x v="234"/>
    <x v="4"/>
    <x v="0"/>
    <n v="1513"/>
    <x v="0"/>
  </r>
  <r>
    <n v="1633"/>
    <s v="Aldrin San Pedro"/>
    <x v="4"/>
    <s v="Male"/>
    <n v="58"/>
    <x v="1"/>
    <x v="375"/>
    <x v="2"/>
    <x v="2"/>
    <x v="1"/>
    <n v="2399"/>
    <x v="6"/>
  </r>
  <r>
    <n v="1634"/>
    <s v="Celine Aguilar Go"/>
    <x v="4"/>
    <s v="Female"/>
    <n v="53"/>
    <x v="1"/>
    <x v="577"/>
    <x v="2"/>
    <x v="2"/>
    <x v="1"/>
    <n v="2777"/>
    <x v="3"/>
  </r>
  <r>
    <n v="1635"/>
    <s v="Patricia Mercado Soriano"/>
    <x v="4"/>
    <s v="Female"/>
    <n v="28"/>
    <x v="3"/>
    <x v="578"/>
    <x v="235"/>
    <x v="7"/>
    <x v="0"/>
    <n v="244"/>
    <x v="1"/>
  </r>
  <r>
    <n v="1636"/>
    <s v="Cameron Perez"/>
    <x v="0"/>
    <s v="Other"/>
    <n v="23"/>
    <x v="3"/>
    <x v="579"/>
    <x v="2"/>
    <x v="2"/>
    <x v="1"/>
    <n v="1687"/>
    <x v="0"/>
  </r>
  <r>
    <n v="1637"/>
    <s v="Gregorio Vega Santiago"/>
    <x v="1"/>
    <s v="Male"/>
    <n v="47"/>
    <x v="2"/>
    <x v="580"/>
    <x v="236"/>
    <x v="1"/>
    <x v="0"/>
    <n v="991"/>
    <x v="7"/>
  </r>
  <r>
    <n v="1638"/>
    <s v="Gina Del Rosario"/>
    <x v="1"/>
    <s v="Female"/>
    <n v="28"/>
    <x v="3"/>
    <x v="581"/>
    <x v="237"/>
    <x v="5"/>
    <x v="0"/>
    <n v="1723"/>
    <x v="0"/>
  </r>
  <r>
    <n v="1639"/>
    <s v="Daisy Panganiban"/>
    <x v="3"/>
    <s v="Female"/>
    <n v="45"/>
    <x v="2"/>
    <x v="582"/>
    <x v="238"/>
    <x v="0"/>
    <x v="0"/>
    <n v="980"/>
    <x v="7"/>
  </r>
  <r>
    <n v="1640"/>
    <s v="Efren Lacson"/>
    <x v="3"/>
    <s v="Other"/>
    <n v="23"/>
    <x v="3"/>
    <x v="583"/>
    <x v="2"/>
    <x v="2"/>
    <x v="1"/>
    <n v="2693"/>
    <x v="3"/>
  </r>
  <r>
    <n v="1641"/>
    <s v="Violeta Go Corpuz"/>
    <x v="5"/>
    <s v="Female"/>
    <n v="38"/>
    <x v="0"/>
    <x v="584"/>
    <x v="2"/>
    <x v="2"/>
    <x v="1"/>
    <n v="1998"/>
    <x v="2"/>
  </r>
  <r>
    <n v="1642"/>
    <s v="Jose Santos Macaraeg"/>
    <x v="5"/>
    <s v="Other"/>
    <n v="58"/>
    <x v="1"/>
    <x v="585"/>
    <x v="2"/>
    <x v="2"/>
    <x v="1"/>
    <n v="2293"/>
    <x v="6"/>
  </r>
  <r>
    <n v="1643"/>
    <s v="Diana Reyes Go"/>
    <x v="2"/>
    <s v="Female"/>
    <n v="27"/>
    <x v="3"/>
    <x v="586"/>
    <x v="234"/>
    <x v="5"/>
    <x v="0"/>
    <n v="546"/>
    <x v="5"/>
  </r>
  <r>
    <n v="1644"/>
    <s v="Annaliza Dela Cruz"/>
    <x v="0"/>
    <s v="Female"/>
    <n v="34"/>
    <x v="0"/>
    <x v="587"/>
    <x v="2"/>
    <x v="2"/>
    <x v="1"/>
    <n v="636"/>
    <x v="5"/>
  </r>
  <r>
    <n v="1645"/>
    <s v="Ismael Ocampo Go"/>
    <x v="1"/>
    <s v="Male"/>
    <n v="57"/>
    <x v="1"/>
    <x v="588"/>
    <x v="2"/>
    <x v="2"/>
    <x v="1"/>
    <n v="2335"/>
    <x v="6"/>
  </r>
  <r>
    <n v="1646"/>
    <s v="Rodel Ocampo Go"/>
    <x v="0"/>
    <s v="Other"/>
    <n v="38"/>
    <x v="0"/>
    <x v="130"/>
    <x v="2"/>
    <x v="2"/>
    <x v="1"/>
    <n v="1343"/>
    <x v="4"/>
  </r>
  <r>
    <n v="1647"/>
    <s v="Abigail Ocampo Chan"/>
    <x v="4"/>
    <s v="Female"/>
    <n v="45"/>
    <x v="2"/>
    <x v="589"/>
    <x v="2"/>
    <x v="2"/>
    <x v="1"/>
    <n v="1729"/>
    <x v="0"/>
  </r>
  <r>
    <n v="1648"/>
    <s v="Taylor Sy Mercado"/>
    <x v="0"/>
    <s v="Other"/>
    <n v="46"/>
    <x v="2"/>
    <x v="590"/>
    <x v="2"/>
    <x v="2"/>
    <x v="1"/>
    <n v="2361"/>
    <x v="6"/>
  </r>
  <r>
    <n v="1649"/>
    <s v="Severino Ang Natividad"/>
    <x v="1"/>
    <s v="Male"/>
    <n v="49"/>
    <x v="2"/>
    <x v="591"/>
    <x v="239"/>
    <x v="0"/>
    <x v="0"/>
    <n v="239"/>
    <x v="1"/>
  </r>
  <r>
    <n v="1650"/>
    <s v="Ernesto Tan Jimenez"/>
    <x v="1"/>
    <s v="Male"/>
    <n v="23"/>
    <x v="3"/>
    <x v="592"/>
    <x v="2"/>
    <x v="2"/>
    <x v="1"/>
    <n v="369"/>
    <x v="5"/>
  </r>
  <r>
    <n v="1651"/>
    <s v="Carlos Rivera Guerrero"/>
    <x v="0"/>
    <s v="Male"/>
    <n v="52"/>
    <x v="1"/>
    <x v="593"/>
    <x v="2"/>
    <x v="2"/>
    <x v="1"/>
    <n v="1133"/>
    <x v="4"/>
  </r>
  <r>
    <n v="1652"/>
    <s v="Efren Mangubat"/>
    <x v="3"/>
    <s v="Other"/>
    <n v="51"/>
    <x v="1"/>
    <x v="594"/>
    <x v="2"/>
    <x v="2"/>
    <x v="1"/>
    <n v="2595"/>
    <x v="3"/>
  </r>
  <r>
    <n v="1653"/>
    <s v="Gerald Ramos"/>
    <x v="4"/>
    <s v="Male"/>
    <n v="26"/>
    <x v="3"/>
    <x v="595"/>
    <x v="2"/>
    <x v="2"/>
    <x v="1"/>
    <n v="1595"/>
    <x v="0"/>
  </r>
  <r>
    <n v="1654"/>
    <s v="Sarah Rivera Delos Reyes"/>
    <x v="5"/>
    <s v="Female"/>
    <n v="33"/>
    <x v="0"/>
    <x v="596"/>
    <x v="2"/>
    <x v="2"/>
    <x v="1"/>
    <n v="2368"/>
    <x v="6"/>
  </r>
  <r>
    <n v="1655"/>
    <s v="Jaime Reyes Ramirez"/>
    <x v="2"/>
    <s v="Male"/>
    <n v="43"/>
    <x v="2"/>
    <x v="597"/>
    <x v="240"/>
    <x v="5"/>
    <x v="0"/>
    <n v="737"/>
    <x v="7"/>
  </r>
  <r>
    <n v="1656"/>
    <s v="Ian Fajardo"/>
    <x v="5"/>
    <s v="Male"/>
    <n v="52"/>
    <x v="1"/>
    <x v="598"/>
    <x v="241"/>
    <x v="7"/>
    <x v="0"/>
    <n v="1197"/>
    <x v="4"/>
  </r>
  <r>
    <n v="1657"/>
    <s v="Jamie Go Vergara"/>
    <x v="2"/>
    <s v="Other"/>
    <n v="22"/>
    <x v="3"/>
    <x v="599"/>
    <x v="242"/>
    <x v="3"/>
    <x v="0"/>
    <n v="1473"/>
    <x v="0"/>
  </r>
  <r>
    <n v="1658"/>
    <s v="Antonio Fernandez Villanueva"/>
    <x v="3"/>
    <s v="Other"/>
    <n v="55"/>
    <x v="1"/>
    <x v="600"/>
    <x v="2"/>
    <x v="2"/>
    <x v="1"/>
    <n v="2481"/>
    <x v="6"/>
  </r>
  <r>
    <n v="1659"/>
    <s v="Belinda Bautista Reyes"/>
    <x v="0"/>
    <s v="Female"/>
    <n v="23"/>
    <x v="3"/>
    <x v="601"/>
    <x v="2"/>
    <x v="2"/>
    <x v="1"/>
    <n v="2097"/>
    <x v="2"/>
  </r>
  <r>
    <n v="1660"/>
    <s v="Lourdes Aquino"/>
    <x v="3"/>
    <s v="Other"/>
    <n v="27"/>
    <x v="3"/>
    <x v="602"/>
    <x v="2"/>
    <x v="2"/>
    <x v="1"/>
    <n v="1223"/>
    <x v="4"/>
  </r>
  <r>
    <n v="1661"/>
    <s v="Samuel Buenaventura"/>
    <x v="1"/>
    <s v="Male"/>
    <n v="35"/>
    <x v="0"/>
    <x v="603"/>
    <x v="2"/>
    <x v="2"/>
    <x v="1"/>
    <n v="2833"/>
    <x v="3"/>
  </r>
  <r>
    <n v="1662"/>
    <s v="Vince Flores Guerrero"/>
    <x v="3"/>
    <s v="Male"/>
    <n v="41"/>
    <x v="2"/>
    <x v="315"/>
    <x v="2"/>
    <x v="2"/>
    <x v="1"/>
    <n v="2597"/>
    <x v="3"/>
  </r>
  <r>
    <n v="1663"/>
    <s v="Gregorio Lopez Jimenez"/>
    <x v="5"/>
    <s v="Male"/>
    <n v="42"/>
    <x v="2"/>
    <x v="603"/>
    <x v="243"/>
    <x v="1"/>
    <x v="0"/>
    <n v="668"/>
    <x v="5"/>
  </r>
  <r>
    <n v="1664"/>
    <s v="Sam Santos Viray"/>
    <x v="4"/>
    <s v="Other"/>
    <n v="23"/>
    <x v="3"/>
    <x v="168"/>
    <x v="244"/>
    <x v="1"/>
    <x v="0"/>
    <n v="1630"/>
    <x v="0"/>
  </r>
  <r>
    <n v="1665"/>
    <s v="Gina Fernandez Hernandez"/>
    <x v="1"/>
    <s v="Female"/>
    <n v="58"/>
    <x v="1"/>
    <x v="604"/>
    <x v="2"/>
    <x v="2"/>
    <x v="1"/>
    <n v="1929"/>
    <x v="2"/>
  </r>
  <r>
    <n v="1666"/>
    <s v="Antonio Ang Perez"/>
    <x v="0"/>
    <s v="Male"/>
    <n v="47"/>
    <x v="2"/>
    <x v="605"/>
    <x v="2"/>
    <x v="2"/>
    <x v="1"/>
    <n v="2112"/>
    <x v="2"/>
  </r>
  <r>
    <n v="1667"/>
    <s v="Sue Mendoza Sy"/>
    <x v="0"/>
    <s v="Female"/>
    <n v="40"/>
    <x v="2"/>
    <x v="606"/>
    <x v="2"/>
    <x v="2"/>
    <x v="1"/>
    <n v="1667"/>
    <x v="0"/>
  </r>
  <r>
    <n v="1668"/>
    <s v="Ramon Torres Ang"/>
    <x v="0"/>
    <s v="Other"/>
    <n v="55"/>
    <x v="1"/>
    <x v="607"/>
    <x v="245"/>
    <x v="7"/>
    <x v="0"/>
    <n v="878"/>
    <x v="7"/>
  </r>
  <r>
    <n v="1669"/>
    <s v="Riley Flores Bayani"/>
    <x v="2"/>
    <s v="Other"/>
    <n v="51"/>
    <x v="1"/>
    <x v="608"/>
    <x v="246"/>
    <x v="4"/>
    <x v="0"/>
    <n v="776"/>
    <x v="7"/>
  </r>
  <r>
    <n v="1670"/>
    <s v="Hernando Aguilar"/>
    <x v="4"/>
    <s v="Male"/>
    <n v="50"/>
    <x v="1"/>
    <x v="609"/>
    <x v="247"/>
    <x v="4"/>
    <x v="0"/>
    <n v="304"/>
    <x v="1"/>
  </r>
  <r>
    <n v="1671"/>
    <s v="Iris Navarro Camacho"/>
    <x v="0"/>
    <s v="Female"/>
    <n v="36"/>
    <x v="0"/>
    <x v="610"/>
    <x v="2"/>
    <x v="2"/>
    <x v="1"/>
    <n v="1270"/>
    <x v="4"/>
  </r>
  <r>
    <n v="1672"/>
    <s v="Rachel Ang Tan"/>
    <x v="1"/>
    <s v="Female"/>
    <n v="35"/>
    <x v="0"/>
    <x v="23"/>
    <x v="248"/>
    <x v="3"/>
    <x v="0"/>
    <n v="1779"/>
    <x v="0"/>
  </r>
  <r>
    <n v="1673"/>
    <s v="Michael Castro Ignacio"/>
    <x v="1"/>
    <s v="Male"/>
    <n v="34"/>
    <x v="0"/>
    <x v="611"/>
    <x v="2"/>
    <x v="2"/>
    <x v="1"/>
    <n v="595"/>
    <x v="5"/>
  </r>
  <r>
    <n v="1674"/>
    <s v="Fernando Go Ramirez"/>
    <x v="0"/>
    <s v="Other"/>
    <n v="33"/>
    <x v="0"/>
    <x v="612"/>
    <x v="249"/>
    <x v="8"/>
    <x v="0"/>
    <n v="1507"/>
    <x v="0"/>
  </r>
  <r>
    <n v="1675"/>
    <s v="Herminia Zulueta"/>
    <x v="4"/>
    <s v="Female"/>
    <n v="42"/>
    <x v="2"/>
    <x v="613"/>
    <x v="2"/>
    <x v="2"/>
    <x v="1"/>
    <n v="2191"/>
    <x v="6"/>
  </r>
  <r>
    <n v="1676"/>
    <s v="Marcelo Go Ong"/>
    <x v="3"/>
    <s v="Male"/>
    <n v="56"/>
    <x v="1"/>
    <x v="614"/>
    <x v="250"/>
    <x v="3"/>
    <x v="0"/>
    <n v="2093"/>
    <x v="2"/>
  </r>
  <r>
    <n v="1677"/>
    <s v="Maricel Cruz Santos"/>
    <x v="4"/>
    <s v="Other"/>
    <n v="54"/>
    <x v="1"/>
    <x v="18"/>
    <x v="251"/>
    <x v="6"/>
    <x v="0"/>
    <n v="1276"/>
    <x v="4"/>
  </r>
  <r>
    <n v="1678"/>
    <s v="Nathan Umali"/>
    <x v="1"/>
    <s v="Male"/>
    <n v="53"/>
    <x v="1"/>
    <x v="615"/>
    <x v="2"/>
    <x v="2"/>
    <x v="1"/>
    <n v="2954"/>
    <x v="8"/>
  </r>
  <r>
    <n v="1679"/>
    <s v="Wendy Pascual Rivera"/>
    <x v="5"/>
    <s v="Female"/>
    <n v="52"/>
    <x v="1"/>
    <x v="165"/>
    <x v="252"/>
    <x v="0"/>
    <x v="0"/>
    <n v="1632"/>
    <x v="0"/>
  </r>
  <r>
    <n v="1680"/>
    <s v="Juan Reyes Lazo"/>
    <x v="1"/>
    <s v="Other"/>
    <n v="22"/>
    <x v="3"/>
    <x v="616"/>
    <x v="2"/>
    <x v="2"/>
    <x v="1"/>
    <n v="1126"/>
    <x v="4"/>
  </r>
  <r>
    <n v="1681"/>
    <s v="Kevin Santos Valencia"/>
    <x v="3"/>
    <s v="Male"/>
    <n v="29"/>
    <x v="3"/>
    <x v="617"/>
    <x v="2"/>
    <x v="2"/>
    <x v="1"/>
    <n v="211"/>
    <x v="1"/>
  </r>
  <r>
    <n v="1682"/>
    <s v="Paz Macapagal"/>
    <x v="2"/>
    <s v="Female"/>
    <n v="42"/>
    <x v="2"/>
    <x v="618"/>
    <x v="253"/>
    <x v="1"/>
    <x v="0"/>
    <n v="526"/>
    <x v="5"/>
  </r>
  <r>
    <n v="1683"/>
    <s v="Nina Santiago Mendoza"/>
    <x v="2"/>
    <s v="Female"/>
    <n v="42"/>
    <x v="2"/>
    <x v="619"/>
    <x v="2"/>
    <x v="2"/>
    <x v="1"/>
    <n v="2867"/>
    <x v="3"/>
  </r>
  <r>
    <n v="1684"/>
    <s v="Teresa Jacinto"/>
    <x v="0"/>
    <s v="Female"/>
    <n v="44"/>
    <x v="2"/>
    <x v="452"/>
    <x v="2"/>
    <x v="2"/>
    <x v="1"/>
    <n v="2374"/>
    <x v="6"/>
  </r>
  <r>
    <n v="1685"/>
    <s v="Lourdes Ramirez Jimenez"/>
    <x v="1"/>
    <s v="Other"/>
    <n v="36"/>
    <x v="0"/>
    <x v="620"/>
    <x v="241"/>
    <x v="1"/>
    <x v="0"/>
    <n v="579"/>
    <x v="5"/>
  </r>
  <r>
    <n v="1686"/>
    <s v="Riley Uy Aquino"/>
    <x v="4"/>
    <s v="Other"/>
    <n v="53"/>
    <x v="1"/>
    <x v="12"/>
    <x v="2"/>
    <x v="2"/>
    <x v="1"/>
    <n v="305"/>
    <x v="1"/>
  </r>
  <r>
    <n v="1687"/>
    <s v="Neil Santiago Chua"/>
    <x v="0"/>
    <s v="Male"/>
    <n v="28"/>
    <x v="3"/>
    <x v="621"/>
    <x v="2"/>
    <x v="2"/>
    <x v="1"/>
    <n v="1166"/>
    <x v="4"/>
  </r>
  <r>
    <n v="1688"/>
    <s v="Carmen Gonzales Dela Cruz"/>
    <x v="2"/>
    <s v="Other"/>
    <n v="25"/>
    <x v="3"/>
    <x v="326"/>
    <x v="2"/>
    <x v="2"/>
    <x v="1"/>
    <n v="2320"/>
    <x v="6"/>
  </r>
  <r>
    <n v="1689"/>
    <s v="Ramon Delmendo"/>
    <x v="4"/>
    <s v="Other"/>
    <n v="27"/>
    <x v="3"/>
    <x v="24"/>
    <x v="254"/>
    <x v="8"/>
    <x v="0"/>
    <n v="696"/>
    <x v="5"/>
  </r>
  <r>
    <n v="1690"/>
    <s v="Rafael Manalo"/>
    <x v="1"/>
    <s v="Male"/>
    <n v="55"/>
    <x v="1"/>
    <x v="622"/>
    <x v="2"/>
    <x v="2"/>
    <x v="1"/>
    <n v="2551"/>
    <x v="6"/>
  </r>
  <r>
    <n v="1691"/>
    <s v="Mae Diaz Bayani"/>
    <x v="1"/>
    <s v="Female"/>
    <n v="22"/>
    <x v="3"/>
    <x v="623"/>
    <x v="2"/>
    <x v="2"/>
    <x v="1"/>
    <n v="2140"/>
    <x v="2"/>
  </r>
  <r>
    <n v="1692"/>
    <s v="Teresa Soriano Hilario"/>
    <x v="5"/>
    <s v="Other"/>
    <n v="52"/>
    <x v="1"/>
    <x v="624"/>
    <x v="2"/>
    <x v="2"/>
    <x v="1"/>
    <n v="661"/>
    <x v="5"/>
  </r>
  <r>
    <n v="1693"/>
    <s v="Antonio Pascual Umali"/>
    <x v="0"/>
    <s v="Other"/>
    <n v="40"/>
    <x v="2"/>
    <x v="142"/>
    <x v="2"/>
    <x v="2"/>
    <x v="1"/>
    <n v="2388"/>
    <x v="6"/>
  </r>
  <r>
    <n v="1694"/>
    <s v="Imelda Trinidad"/>
    <x v="5"/>
    <s v="Female"/>
    <n v="43"/>
    <x v="2"/>
    <x v="625"/>
    <x v="2"/>
    <x v="2"/>
    <x v="1"/>
    <n v="1927"/>
    <x v="2"/>
  </r>
  <r>
    <n v="1695"/>
    <s v="Florinda Cruz Aguilar"/>
    <x v="5"/>
    <s v="Female"/>
    <n v="32"/>
    <x v="0"/>
    <x v="365"/>
    <x v="2"/>
    <x v="2"/>
    <x v="1"/>
    <n v="191"/>
    <x v="1"/>
  </r>
  <r>
    <n v="1696"/>
    <s v="Antonio Vega Enriquez"/>
    <x v="3"/>
    <s v="Male"/>
    <n v="49"/>
    <x v="2"/>
    <x v="626"/>
    <x v="255"/>
    <x v="8"/>
    <x v="0"/>
    <n v="510"/>
    <x v="5"/>
  </r>
  <r>
    <n v="1697"/>
    <s v="Ian Mercado"/>
    <x v="1"/>
    <s v="Male"/>
    <n v="31"/>
    <x v="0"/>
    <x v="627"/>
    <x v="256"/>
    <x v="5"/>
    <x v="0"/>
    <n v="115"/>
    <x v="1"/>
  </r>
  <r>
    <n v="1698"/>
    <s v="Erlinda Lozano"/>
    <x v="3"/>
    <s v="Female"/>
    <n v="59"/>
    <x v="1"/>
    <x v="607"/>
    <x v="257"/>
    <x v="6"/>
    <x v="0"/>
    <n v="812"/>
    <x v="7"/>
  </r>
  <r>
    <n v="1699"/>
    <s v="Crisanto Soriano Figueroa"/>
    <x v="3"/>
    <s v="Male"/>
    <n v="28"/>
    <x v="3"/>
    <x v="234"/>
    <x v="2"/>
    <x v="2"/>
    <x v="1"/>
    <n v="1130"/>
    <x v="4"/>
  </r>
  <r>
    <n v="1700"/>
    <s v="Jaime Aguilar Narvasa"/>
    <x v="1"/>
    <s v="Male"/>
    <n v="35"/>
    <x v="0"/>
    <x v="173"/>
    <x v="258"/>
    <x v="0"/>
    <x v="0"/>
    <n v="758"/>
    <x v="7"/>
  </r>
  <r>
    <n v="1701"/>
    <s v="Maricel Ang Cueto"/>
    <x v="1"/>
    <s v="Female"/>
    <n v="49"/>
    <x v="2"/>
    <x v="628"/>
    <x v="2"/>
    <x v="2"/>
    <x v="1"/>
    <n v="318"/>
    <x v="1"/>
  </r>
  <r>
    <n v="1702"/>
    <s v="Samuel Santos Ignacio"/>
    <x v="4"/>
    <s v="Male"/>
    <n v="24"/>
    <x v="3"/>
    <x v="629"/>
    <x v="259"/>
    <x v="1"/>
    <x v="0"/>
    <n v="165"/>
    <x v="1"/>
  </r>
  <r>
    <n v="1703"/>
    <s v="Rafael Sy Manalo"/>
    <x v="4"/>
    <s v="Male"/>
    <n v="49"/>
    <x v="2"/>
    <x v="630"/>
    <x v="260"/>
    <x v="1"/>
    <x v="0"/>
    <n v="544"/>
    <x v="5"/>
  </r>
  <r>
    <n v="1704"/>
    <s v="Carlos Ong"/>
    <x v="5"/>
    <s v="Male"/>
    <n v="60"/>
    <x v="4"/>
    <x v="631"/>
    <x v="261"/>
    <x v="6"/>
    <x v="0"/>
    <n v="302"/>
    <x v="1"/>
  </r>
  <r>
    <n v="1705"/>
    <s v="Crisanto Rivera Vega"/>
    <x v="1"/>
    <s v="Male"/>
    <n v="38"/>
    <x v="0"/>
    <x v="632"/>
    <x v="262"/>
    <x v="1"/>
    <x v="0"/>
    <n v="1036"/>
    <x v="7"/>
  </r>
  <r>
    <n v="1706"/>
    <s v="Nicanor Bautista"/>
    <x v="4"/>
    <s v="Male"/>
    <n v="40"/>
    <x v="2"/>
    <x v="633"/>
    <x v="263"/>
    <x v="1"/>
    <x v="0"/>
    <n v="662"/>
    <x v="5"/>
  </r>
  <r>
    <n v="1707"/>
    <s v="Diana Mercado Camacho"/>
    <x v="1"/>
    <s v="Female"/>
    <n v="51"/>
    <x v="1"/>
    <x v="634"/>
    <x v="2"/>
    <x v="2"/>
    <x v="1"/>
    <n v="2583"/>
    <x v="3"/>
  </r>
  <r>
    <n v="1708"/>
    <s v="Ronaldo Sy Narvasa"/>
    <x v="1"/>
    <s v="Other"/>
    <n v="52"/>
    <x v="1"/>
    <x v="635"/>
    <x v="2"/>
    <x v="2"/>
    <x v="1"/>
    <n v="2818"/>
    <x v="3"/>
  </r>
  <r>
    <n v="1709"/>
    <s v="Kevin Cueto"/>
    <x v="2"/>
    <s v="Male"/>
    <n v="51"/>
    <x v="1"/>
    <x v="636"/>
    <x v="2"/>
    <x v="2"/>
    <x v="1"/>
    <n v="248"/>
    <x v="1"/>
  </r>
  <r>
    <n v="1710"/>
    <s v="Corazon Aguilar Crisostomo"/>
    <x v="1"/>
    <s v="Female"/>
    <n v="58"/>
    <x v="1"/>
    <x v="637"/>
    <x v="264"/>
    <x v="3"/>
    <x v="0"/>
    <n v="1978"/>
    <x v="2"/>
  </r>
  <r>
    <n v="1711"/>
    <s v="Ismael Lopez Fernandez"/>
    <x v="4"/>
    <s v="Male"/>
    <n v="43"/>
    <x v="2"/>
    <x v="638"/>
    <x v="265"/>
    <x v="8"/>
    <x v="0"/>
    <n v="404"/>
    <x v="5"/>
  </r>
  <r>
    <n v="1712"/>
    <s v="Ronaldo Vega Fernandez"/>
    <x v="0"/>
    <s v="Other"/>
    <n v="40"/>
    <x v="2"/>
    <x v="308"/>
    <x v="2"/>
    <x v="2"/>
    <x v="1"/>
    <n v="1980"/>
    <x v="2"/>
  </r>
  <r>
    <n v="1713"/>
    <s v="Herminia Ramirez Lopez"/>
    <x v="2"/>
    <s v="Female"/>
    <n v="54"/>
    <x v="1"/>
    <x v="639"/>
    <x v="266"/>
    <x v="5"/>
    <x v="0"/>
    <n v="1083"/>
    <x v="7"/>
  </r>
  <r>
    <n v="1714"/>
    <s v="Teresa Fajardo"/>
    <x v="2"/>
    <s v="Other"/>
    <n v="56"/>
    <x v="1"/>
    <x v="640"/>
    <x v="2"/>
    <x v="2"/>
    <x v="1"/>
    <n v="579"/>
    <x v="5"/>
  </r>
  <r>
    <n v="1715"/>
    <s v="Morgan Flores"/>
    <x v="5"/>
    <s v="Other"/>
    <n v="47"/>
    <x v="2"/>
    <x v="225"/>
    <x v="2"/>
    <x v="2"/>
    <x v="1"/>
    <n v="1205"/>
    <x v="4"/>
  </r>
  <r>
    <n v="1716"/>
    <s v="Mae Soriano Buenaventura"/>
    <x v="0"/>
    <s v="Female"/>
    <n v="44"/>
    <x v="2"/>
    <x v="641"/>
    <x v="2"/>
    <x v="2"/>
    <x v="1"/>
    <n v="2522"/>
    <x v="6"/>
  </r>
  <r>
    <n v="1717"/>
    <s v="Cameron Ramos Hernandez"/>
    <x v="1"/>
    <s v="Other"/>
    <n v="35"/>
    <x v="0"/>
    <x v="319"/>
    <x v="2"/>
    <x v="2"/>
    <x v="1"/>
    <n v="2564"/>
    <x v="3"/>
  </r>
  <r>
    <n v="1718"/>
    <s v="Morgan Chan Villanueva"/>
    <x v="1"/>
    <s v="Other"/>
    <n v="48"/>
    <x v="2"/>
    <x v="642"/>
    <x v="2"/>
    <x v="2"/>
    <x v="1"/>
    <n v="262"/>
    <x v="1"/>
  </r>
  <r>
    <n v="1719"/>
    <s v="Lea Torres Ong"/>
    <x v="5"/>
    <s v="Female"/>
    <n v="27"/>
    <x v="3"/>
    <x v="643"/>
    <x v="2"/>
    <x v="2"/>
    <x v="1"/>
    <n v="2957"/>
    <x v="8"/>
  </r>
  <r>
    <n v="1720"/>
    <s v="Natividad Ong"/>
    <x v="3"/>
    <s v="Female"/>
    <n v="40"/>
    <x v="2"/>
    <x v="644"/>
    <x v="267"/>
    <x v="3"/>
    <x v="0"/>
    <n v="139"/>
    <x v="1"/>
  </r>
  <r>
    <n v="1721"/>
    <s v="Vicente Lopez Narvasa"/>
    <x v="1"/>
    <s v="Male"/>
    <n v="26"/>
    <x v="3"/>
    <x v="645"/>
    <x v="2"/>
    <x v="2"/>
    <x v="1"/>
    <n v="2495"/>
    <x v="6"/>
  </r>
  <r>
    <n v="1722"/>
    <s v="Taylor Narvasa"/>
    <x v="2"/>
    <s v="Other"/>
    <n v="36"/>
    <x v="0"/>
    <x v="646"/>
    <x v="2"/>
    <x v="2"/>
    <x v="1"/>
    <n v="1023"/>
    <x v="7"/>
  </r>
  <r>
    <n v="1723"/>
    <s v="Gloria Santos"/>
    <x v="0"/>
    <s v="Other"/>
    <n v="39"/>
    <x v="0"/>
    <x v="142"/>
    <x v="2"/>
    <x v="2"/>
    <x v="1"/>
    <n v="2388"/>
    <x v="6"/>
  </r>
  <r>
    <n v="1724"/>
    <s v="Kristina Manalo"/>
    <x v="1"/>
    <s v="Female"/>
    <n v="53"/>
    <x v="1"/>
    <x v="647"/>
    <x v="2"/>
    <x v="2"/>
    <x v="1"/>
    <n v="193"/>
    <x v="1"/>
  </r>
  <r>
    <n v="1725"/>
    <s v="Rodel Ramos Castro"/>
    <x v="1"/>
    <s v="Other"/>
    <n v="45"/>
    <x v="2"/>
    <x v="648"/>
    <x v="268"/>
    <x v="5"/>
    <x v="0"/>
    <n v="556"/>
    <x v="5"/>
  </r>
  <r>
    <n v="1726"/>
    <s v="Rodel Rivera Dalisay"/>
    <x v="0"/>
    <s v="Male"/>
    <n v="39"/>
    <x v="0"/>
    <x v="649"/>
    <x v="2"/>
    <x v="2"/>
    <x v="1"/>
    <n v="809"/>
    <x v="7"/>
  </r>
  <r>
    <n v="1727"/>
    <s v="Victor Pascual Tan"/>
    <x v="4"/>
    <s v="Male"/>
    <n v="40"/>
    <x v="2"/>
    <x v="650"/>
    <x v="2"/>
    <x v="2"/>
    <x v="1"/>
    <n v="277"/>
    <x v="1"/>
  </r>
  <r>
    <n v="1728"/>
    <s v="Kevin Ang Soriano"/>
    <x v="3"/>
    <s v="Male"/>
    <n v="25"/>
    <x v="3"/>
    <x v="651"/>
    <x v="2"/>
    <x v="2"/>
    <x v="1"/>
    <n v="1143"/>
    <x v="4"/>
  </r>
  <r>
    <n v="1729"/>
    <s v="Joselito Mendoza Mercado"/>
    <x v="5"/>
    <s v="Male"/>
    <n v="54"/>
    <x v="1"/>
    <x v="261"/>
    <x v="2"/>
    <x v="2"/>
    <x v="1"/>
    <n v="394"/>
    <x v="5"/>
  </r>
  <r>
    <n v="1730"/>
    <s v="Morgan Lim"/>
    <x v="5"/>
    <s v="Other"/>
    <n v="62"/>
    <x v="4"/>
    <x v="652"/>
    <x v="269"/>
    <x v="6"/>
    <x v="0"/>
    <n v="905"/>
    <x v="7"/>
  </r>
  <r>
    <n v="1731"/>
    <s v="Vanessa Fernandez Viray"/>
    <x v="5"/>
    <s v="Female"/>
    <n v="58"/>
    <x v="1"/>
    <x v="653"/>
    <x v="270"/>
    <x v="5"/>
    <x v="0"/>
    <n v="499"/>
    <x v="5"/>
  </r>
  <r>
    <n v="1732"/>
    <s v="Corazon Bautista Bautista"/>
    <x v="5"/>
    <s v="Female"/>
    <n v="37"/>
    <x v="0"/>
    <x v="654"/>
    <x v="2"/>
    <x v="2"/>
    <x v="1"/>
    <n v="1087"/>
    <x v="7"/>
  </r>
  <r>
    <n v="1733"/>
    <s v="Elmer Mendoza Domingo"/>
    <x v="2"/>
    <s v="Male"/>
    <n v="22"/>
    <x v="3"/>
    <x v="655"/>
    <x v="2"/>
    <x v="2"/>
    <x v="1"/>
    <n v="2358"/>
    <x v="6"/>
  </r>
  <r>
    <n v="1734"/>
    <s v="Kristoffer Chua"/>
    <x v="5"/>
    <s v="Male"/>
    <n v="54"/>
    <x v="1"/>
    <x v="656"/>
    <x v="2"/>
    <x v="2"/>
    <x v="1"/>
    <n v="1075"/>
    <x v="7"/>
  </r>
  <r>
    <n v="1735"/>
    <s v="Carmen Lacson"/>
    <x v="0"/>
    <s v="Female"/>
    <n v="42"/>
    <x v="2"/>
    <x v="657"/>
    <x v="2"/>
    <x v="2"/>
    <x v="1"/>
    <n v="877"/>
    <x v="7"/>
  </r>
  <r>
    <n v="1736"/>
    <s v="Antonio Soriano Soriano"/>
    <x v="1"/>
    <s v="Male"/>
    <n v="45"/>
    <x v="2"/>
    <x v="658"/>
    <x v="2"/>
    <x v="2"/>
    <x v="1"/>
    <n v="1279"/>
    <x v="4"/>
  </r>
  <r>
    <n v="1737"/>
    <s v="Josephine Lozano"/>
    <x v="2"/>
    <s v="Female"/>
    <n v="48"/>
    <x v="2"/>
    <x v="659"/>
    <x v="271"/>
    <x v="8"/>
    <x v="0"/>
    <n v="1683"/>
    <x v="0"/>
  </r>
  <r>
    <n v="1738"/>
    <s v="Juan Domingo Bagtas"/>
    <x v="5"/>
    <s v="Other"/>
    <n v="57"/>
    <x v="1"/>
    <x v="660"/>
    <x v="2"/>
    <x v="2"/>
    <x v="1"/>
    <n v="1167"/>
    <x v="4"/>
  </r>
  <r>
    <n v="1739"/>
    <s v="Avery Reyes Evangelista"/>
    <x v="0"/>
    <s v="Other"/>
    <n v="43"/>
    <x v="2"/>
    <x v="661"/>
    <x v="272"/>
    <x v="7"/>
    <x v="0"/>
    <n v="147"/>
    <x v="1"/>
  </r>
  <r>
    <n v="1740"/>
    <s v="Ivan Mercado Bondoc"/>
    <x v="5"/>
    <s v="Male"/>
    <n v="45"/>
    <x v="2"/>
    <x v="583"/>
    <x v="2"/>
    <x v="2"/>
    <x v="1"/>
    <n v="2693"/>
    <x v="3"/>
  </r>
  <r>
    <n v="1741"/>
    <s v="Carlos Lopez Yap"/>
    <x v="4"/>
    <s v="Male"/>
    <n v="58"/>
    <x v="1"/>
    <x v="662"/>
    <x v="2"/>
    <x v="2"/>
    <x v="1"/>
    <n v="2744"/>
    <x v="3"/>
  </r>
  <r>
    <n v="1742"/>
    <s v="Sonny Cueto"/>
    <x v="1"/>
    <s v="Male"/>
    <n v="50"/>
    <x v="1"/>
    <x v="663"/>
    <x v="2"/>
    <x v="2"/>
    <x v="1"/>
    <n v="397"/>
    <x v="5"/>
  </r>
  <r>
    <n v="1743"/>
    <s v="Arnel Mendoza Macapagal"/>
    <x v="4"/>
    <s v="Other"/>
    <n v="58"/>
    <x v="1"/>
    <x v="664"/>
    <x v="2"/>
    <x v="2"/>
    <x v="1"/>
    <n v="3000"/>
    <x v="8"/>
  </r>
  <r>
    <n v="1744"/>
    <s v="Karen Pascual"/>
    <x v="2"/>
    <s v="Female"/>
    <n v="34"/>
    <x v="0"/>
    <x v="665"/>
    <x v="2"/>
    <x v="2"/>
    <x v="1"/>
    <n v="1715"/>
    <x v="0"/>
  </r>
  <r>
    <n v="1745"/>
    <s v="Manuel Domingo Fajardo"/>
    <x v="4"/>
    <s v="Male"/>
    <n v="52"/>
    <x v="1"/>
    <x v="666"/>
    <x v="2"/>
    <x v="2"/>
    <x v="1"/>
    <n v="489"/>
    <x v="5"/>
  </r>
  <r>
    <n v="1746"/>
    <s v="Casey Miranda"/>
    <x v="1"/>
    <s v="Other"/>
    <n v="46"/>
    <x v="2"/>
    <x v="667"/>
    <x v="2"/>
    <x v="2"/>
    <x v="1"/>
    <n v="2166"/>
    <x v="2"/>
  </r>
  <r>
    <n v="1747"/>
    <s v="Eddie Ocampo Estrada"/>
    <x v="1"/>
    <s v="Male"/>
    <n v="25"/>
    <x v="3"/>
    <x v="668"/>
    <x v="2"/>
    <x v="2"/>
    <x v="1"/>
    <n v="771"/>
    <x v="7"/>
  </r>
  <r>
    <n v="1748"/>
    <s v="Hope Domingo Vega"/>
    <x v="5"/>
    <s v="Female"/>
    <n v="40"/>
    <x v="2"/>
    <x v="669"/>
    <x v="2"/>
    <x v="2"/>
    <x v="1"/>
    <n v="1318"/>
    <x v="4"/>
  </r>
  <r>
    <n v="1749"/>
    <s v="Larry Flores Navarro"/>
    <x v="0"/>
    <s v="Male"/>
    <n v="56"/>
    <x v="1"/>
    <x v="670"/>
    <x v="2"/>
    <x v="2"/>
    <x v="1"/>
    <n v="2352"/>
    <x v="6"/>
  </r>
  <r>
    <n v="1750"/>
    <s v="Gloria Solis"/>
    <x v="5"/>
    <s v="Other"/>
    <n v="50"/>
    <x v="1"/>
    <x v="671"/>
    <x v="2"/>
    <x v="2"/>
    <x v="1"/>
    <n v="1994"/>
    <x v="2"/>
  </r>
  <r>
    <n v="1751"/>
    <s v="Cameron Del Rosario"/>
    <x v="3"/>
    <s v="Other"/>
    <n v="24"/>
    <x v="3"/>
    <x v="672"/>
    <x v="66"/>
    <x v="0"/>
    <x v="0"/>
    <n v="563"/>
    <x v="5"/>
  </r>
  <r>
    <n v="1752"/>
    <s v="Paolo Wong"/>
    <x v="4"/>
    <s v="Male"/>
    <n v="41"/>
    <x v="2"/>
    <x v="673"/>
    <x v="2"/>
    <x v="2"/>
    <x v="1"/>
    <n v="2828"/>
    <x v="3"/>
  </r>
  <r>
    <n v="1753"/>
    <s v="Teresita Sy Yap"/>
    <x v="5"/>
    <s v="Female"/>
    <n v="36"/>
    <x v="0"/>
    <x v="674"/>
    <x v="273"/>
    <x v="0"/>
    <x v="0"/>
    <n v="397"/>
    <x v="5"/>
  </r>
  <r>
    <n v="1754"/>
    <s v="Rowena Soriano"/>
    <x v="4"/>
    <s v="Other"/>
    <n v="58"/>
    <x v="1"/>
    <x v="675"/>
    <x v="274"/>
    <x v="6"/>
    <x v="0"/>
    <n v="209"/>
    <x v="1"/>
  </r>
  <r>
    <n v="1755"/>
    <s v="Casey Macaraeg"/>
    <x v="1"/>
    <s v="Other"/>
    <n v="22"/>
    <x v="3"/>
    <x v="676"/>
    <x v="2"/>
    <x v="2"/>
    <x v="1"/>
    <n v="2865"/>
    <x v="3"/>
  </r>
  <r>
    <n v="1756"/>
    <s v="Casey Tolentino"/>
    <x v="2"/>
    <s v="Other"/>
    <n v="47"/>
    <x v="2"/>
    <x v="175"/>
    <x v="2"/>
    <x v="2"/>
    <x v="1"/>
    <n v="1603"/>
    <x v="0"/>
  </r>
  <r>
    <n v="1757"/>
    <s v="Annaliza Delmendo"/>
    <x v="5"/>
    <s v="Female"/>
    <n v="28"/>
    <x v="3"/>
    <x v="20"/>
    <x v="2"/>
    <x v="2"/>
    <x v="1"/>
    <n v="753"/>
    <x v="7"/>
  </r>
  <r>
    <n v="1758"/>
    <s v="Casey Navarro Sy"/>
    <x v="0"/>
    <s v="Other"/>
    <n v="54"/>
    <x v="1"/>
    <x v="677"/>
    <x v="2"/>
    <x v="2"/>
    <x v="1"/>
    <n v="2060"/>
    <x v="2"/>
  </r>
  <r>
    <n v="1759"/>
    <s v="Marcelo Flores Mercado"/>
    <x v="4"/>
    <s v="Male"/>
    <n v="45"/>
    <x v="2"/>
    <x v="678"/>
    <x v="2"/>
    <x v="2"/>
    <x v="1"/>
    <n v="2125"/>
    <x v="2"/>
  </r>
  <r>
    <n v="1760"/>
    <s v="Arnel Chan Macaraeg"/>
    <x v="3"/>
    <s v="Male"/>
    <n v="37"/>
    <x v="0"/>
    <x v="679"/>
    <x v="275"/>
    <x v="5"/>
    <x v="0"/>
    <n v="636"/>
    <x v="5"/>
  </r>
  <r>
    <n v="1761"/>
    <s v="Ronaldo Cruz Yap"/>
    <x v="5"/>
    <s v="Other"/>
    <n v="30"/>
    <x v="0"/>
    <x v="15"/>
    <x v="2"/>
    <x v="2"/>
    <x v="1"/>
    <n v="1605"/>
    <x v="0"/>
  </r>
  <r>
    <n v="1762"/>
    <s v="Patricio Soriano Go"/>
    <x v="2"/>
    <s v="Male"/>
    <n v="24"/>
    <x v="3"/>
    <x v="642"/>
    <x v="2"/>
    <x v="2"/>
    <x v="1"/>
    <n v="262"/>
    <x v="1"/>
  </r>
  <r>
    <n v="1763"/>
    <s v="Luisa Tan Salazar"/>
    <x v="0"/>
    <s v="Other"/>
    <n v="28"/>
    <x v="3"/>
    <x v="680"/>
    <x v="2"/>
    <x v="2"/>
    <x v="1"/>
    <n v="901"/>
    <x v="7"/>
  </r>
  <r>
    <n v="1764"/>
    <s v="Eduardo Lopez Sia"/>
    <x v="3"/>
    <s v="Other"/>
    <n v="40"/>
    <x v="2"/>
    <x v="681"/>
    <x v="2"/>
    <x v="2"/>
    <x v="1"/>
    <n v="2722"/>
    <x v="3"/>
  </r>
  <r>
    <n v="1765"/>
    <s v="Gani Tuazon"/>
    <x v="3"/>
    <s v="Male"/>
    <n v="47"/>
    <x v="2"/>
    <x v="682"/>
    <x v="276"/>
    <x v="3"/>
    <x v="0"/>
    <n v="418"/>
    <x v="5"/>
  </r>
  <r>
    <n v="1766"/>
    <s v="Teodoro Lim Bagtas"/>
    <x v="3"/>
    <s v="Male"/>
    <n v="48"/>
    <x v="2"/>
    <x v="683"/>
    <x v="2"/>
    <x v="2"/>
    <x v="1"/>
    <n v="2680"/>
    <x v="3"/>
  </r>
  <r>
    <n v="1767"/>
    <s v="Riley Bayani"/>
    <x v="0"/>
    <s v="Other"/>
    <n v="41"/>
    <x v="2"/>
    <x v="684"/>
    <x v="2"/>
    <x v="2"/>
    <x v="1"/>
    <n v="1235"/>
    <x v="4"/>
  </r>
  <r>
    <n v="1768"/>
    <s v="Manuel Torres Macaraeg"/>
    <x v="0"/>
    <s v="Other"/>
    <n v="29"/>
    <x v="3"/>
    <x v="685"/>
    <x v="2"/>
    <x v="2"/>
    <x v="1"/>
    <n v="3079"/>
    <x v="8"/>
  </r>
  <r>
    <n v="1769"/>
    <s v="Dennis Ramos Natividad"/>
    <x v="1"/>
    <s v="Male"/>
    <n v="29"/>
    <x v="3"/>
    <x v="686"/>
    <x v="2"/>
    <x v="2"/>
    <x v="1"/>
    <n v="658"/>
    <x v="5"/>
  </r>
  <r>
    <n v="1770"/>
    <s v="Maria Panganiban"/>
    <x v="4"/>
    <s v="Other"/>
    <n v="41"/>
    <x v="2"/>
    <x v="687"/>
    <x v="277"/>
    <x v="5"/>
    <x v="0"/>
    <n v="938"/>
    <x v="7"/>
  </r>
  <r>
    <n v="1771"/>
    <s v="Queenie Dela Cruz"/>
    <x v="2"/>
    <s v="Female"/>
    <n v="22"/>
    <x v="3"/>
    <x v="688"/>
    <x v="2"/>
    <x v="2"/>
    <x v="1"/>
    <n v="804"/>
    <x v="7"/>
  </r>
  <r>
    <n v="1772"/>
    <s v="Rosa Garcia Perez"/>
    <x v="1"/>
    <s v="Other"/>
    <n v="31"/>
    <x v="0"/>
    <x v="689"/>
    <x v="2"/>
    <x v="2"/>
    <x v="1"/>
    <n v="2888"/>
    <x v="3"/>
  </r>
  <r>
    <n v="1773"/>
    <s v="Eva Ramirez Figueroa"/>
    <x v="3"/>
    <s v="Female"/>
    <n v="57"/>
    <x v="1"/>
    <x v="690"/>
    <x v="278"/>
    <x v="1"/>
    <x v="0"/>
    <n v="1872"/>
    <x v="2"/>
  </r>
  <r>
    <n v="1774"/>
    <s v="Rachel Flores Flores"/>
    <x v="5"/>
    <s v="Female"/>
    <n v="38"/>
    <x v="0"/>
    <x v="691"/>
    <x v="2"/>
    <x v="2"/>
    <x v="1"/>
    <n v="1912"/>
    <x v="2"/>
  </r>
  <r>
    <n v="1775"/>
    <s v="Cameron Domingo Bautista"/>
    <x v="0"/>
    <s v="Other"/>
    <n v="39"/>
    <x v="0"/>
    <x v="628"/>
    <x v="279"/>
    <x v="5"/>
    <x v="0"/>
    <n v="136"/>
    <x v="1"/>
  </r>
  <r>
    <n v="1776"/>
    <s v="Alvin Ramos Ramos"/>
    <x v="1"/>
    <s v="Male"/>
    <n v="36"/>
    <x v="0"/>
    <x v="692"/>
    <x v="2"/>
    <x v="2"/>
    <x v="1"/>
    <n v="1577"/>
    <x v="0"/>
  </r>
  <r>
    <n v="1777"/>
    <s v="Cristina Bautista Go"/>
    <x v="2"/>
    <s v="Other"/>
    <n v="46"/>
    <x v="2"/>
    <x v="693"/>
    <x v="280"/>
    <x v="1"/>
    <x v="0"/>
    <n v="188"/>
    <x v="1"/>
  </r>
  <r>
    <n v="1778"/>
    <s v="Cristina Lazo"/>
    <x v="1"/>
    <s v="Other"/>
    <n v="51"/>
    <x v="1"/>
    <x v="21"/>
    <x v="2"/>
    <x v="2"/>
    <x v="1"/>
    <n v="1640"/>
    <x v="0"/>
  </r>
  <r>
    <n v="1779"/>
    <s v="Patricia Flores"/>
    <x v="1"/>
    <s v="Female"/>
    <n v="45"/>
    <x v="2"/>
    <x v="694"/>
    <x v="2"/>
    <x v="2"/>
    <x v="1"/>
    <n v="1852"/>
    <x v="2"/>
  </r>
  <r>
    <n v="1780"/>
    <s v="Gerald Navarro Suarez"/>
    <x v="0"/>
    <s v="Male"/>
    <n v="37"/>
    <x v="0"/>
    <x v="695"/>
    <x v="2"/>
    <x v="2"/>
    <x v="1"/>
    <n v="2396"/>
    <x v="6"/>
  </r>
  <r>
    <n v="1781"/>
    <s v="Vicente Sy Del Rosario"/>
    <x v="5"/>
    <s v="Male"/>
    <n v="37"/>
    <x v="0"/>
    <x v="696"/>
    <x v="281"/>
    <x v="8"/>
    <x v="0"/>
    <n v="613"/>
    <x v="5"/>
  </r>
  <r>
    <n v="1782"/>
    <s v="Cameron Jacinto"/>
    <x v="4"/>
    <s v="Other"/>
    <n v="65"/>
    <x v="4"/>
    <x v="697"/>
    <x v="282"/>
    <x v="6"/>
    <x v="0"/>
    <n v="258"/>
    <x v="1"/>
  </r>
  <r>
    <n v="1783"/>
    <s v="Elena Go Chan"/>
    <x v="5"/>
    <s v="Other"/>
    <n v="24"/>
    <x v="3"/>
    <x v="698"/>
    <x v="283"/>
    <x v="0"/>
    <x v="0"/>
    <n v="1031"/>
    <x v="7"/>
  </r>
  <r>
    <n v="1784"/>
    <s v="Rowena Torres Viray"/>
    <x v="4"/>
    <s v="Other"/>
    <n v="52"/>
    <x v="1"/>
    <x v="699"/>
    <x v="2"/>
    <x v="2"/>
    <x v="1"/>
    <n v="2924"/>
    <x v="8"/>
  </r>
  <r>
    <n v="1785"/>
    <s v="Juan Aguilar Del Rosario"/>
    <x v="2"/>
    <s v="Other"/>
    <n v="28"/>
    <x v="3"/>
    <x v="700"/>
    <x v="284"/>
    <x v="0"/>
    <x v="0"/>
    <n v="671"/>
    <x v="5"/>
  </r>
  <r>
    <n v="1786"/>
    <s v="Juan Elegado"/>
    <x v="0"/>
    <s v="Male"/>
    <n v="34"/>
    <x v="0"/>
    <x v="701"/>
    <x v="2"/>
    <x v="2"/>
    <x v="1"/>
    <n v="701"/>
    <x v="5"/>
  </r>
  <r>
    <n v="1787"/>
    <s v="Danilo Torres Bautista"/>
    <x v="1"/>
    <s v="Other"/>
    <n v="36"/>
    <x v="0"/>
    <x v="702"/>
    <x v="2"/>
    <x v="2"/>
    <x v="1"/>
    <n v="1051"/>
    <x v="7"/>
  </r>
  <r>
    <n v="1788"/>
    <s v="Ferdi Roque"/>
    <x v="4"/>
    <s v="Male"/>
    <n v="27"/>
    <x v="3"/>
    <x v="328"/>
    <x v="61"/>
    <x v="5"/>
    <x v="0"/>
    <n v="256"/>
    <x v="1"/>
  </r>
  <r>
    <n v="1789"/>
    <s v="Warren Dalisay"/>
    <x v="4"/>
    <s v="Male"/>
    <n v="42"/>
    <x v="2"/>
    <x v="703"/>
    <x v="2"/>
    <x v="2"/>
    <x v="1"/>
    <n v="2912"/>
    <x v="3"/>
  </r>
  <r>
    <n v="1790"/>
    <s v="Carlos Dalisay"/>
    <x v="3"/>
    <s v="Other"/>
    <n v="57"/>
    <x v="1"/>
    <x v="704"/>
    <x v="285"/>
    <x v="3"/>
    <x v="0"/>
    <n v="289"/>
    <x v="1"/>
  </r>
  <r>
    <n v="1791"/>
    <s v="Hernando Sy"/>
    <x v="5"/>
    <s v="Male"/>
    <n v="45"/>
    <x v="2"/>
    <x v="705"/>
    <x v="2"/>
    <x v="2"/>
    <x v="1"/>
    <n v="2712"/>
    <x v="3"/>
  </r>
  <r>
    <n v="1792"/>
    <s v="Vanessa Co"/>
    <x v="2"/>
    <s v="Female"/>
    <n v="34"/>
    <x v="0"/>
    <x v="358"/>
    <x v="2"/>
    <x v="2"/>
    <x v="1"/>
    <n v="2424"/>
    <x v="6"/>
  </r>
  <r>
    <n v="1793"/>
    <s v="Grace Guevarra"/>
    <x v="3"/>
    <s v="Female"/>
    <n v="40"/>
    <x v="2"/>
    <x v="706"/>
    <x v="2"/>
    <x v="2"/>
    <x v="1"/>
    <n v="1081"/>
    <x v="7"/>
  </r>
  <r>
    <n v="1794"/>
    <s v="Gina Sy Wong"/>
    <x v="4"/>
    <s v="Female"/>
    <n v="44"/>
    <x v="2"/>
    <x v="707"/>
    <x v="286"/>
    <x v="3"/>
    <x v="0"/>
    <n v="546"/>
    <x v="5"/>
  </r>
  <r>
    <n v="1795"/>
    <s v="Eduardo Go Cueto"/>
    <x v="1"/>
    <s v="Male"/>
    <n v="44"/>
    <x v="2"/>
    <x v="708"/>
    <x v="287"/>
    <x v="5"/>
    <x v="0"/>
    <n v="412"/>
    <x v="5"/>
  </r>
  <r>
    <n v="1796"/>
    <s v="Mark Sy Ramos"/>
    <x v="5"/>
    <s v="Male"/>
    <n v="30"/>
    <x v="0"/>
    <x v="98"/>
    <x v="2"/>
    <x v="2"/>
    <x v="1"/>
    <n v="1063"/>
    <x v="7"/>
  </r>
  <r>
    <n v="1797"/>
    <s v="Manuel Pascual Uy"/>
    <x v="1"/>
    <s v="Other"/>
    <n v="40"/>
    <x v="2"/>
    <x v="389"/>
    <x v="2"/>
    <x v="2"/>
    <x v="1"/>
    <n v="2483"/>
    <x v="6"/>
  </r>
  <r>
    <n v="1798"/>
    <s v="Cardo Delos Reyes"/>
    <x v="0"/>
    <s v="Male"/>
    <n v="23"/>
    <x v="3"/>
    <x v="359"/>
    <x v="288"/>
    <x v="5"/>
    <x v="0"/>
    <n v="525"/>
    <x v="5"/>
  </r>
  <r>
    <n v="1799"/>
    <s v="Miguel Gonzales"/>
    <x v="2"/>
    <s v="Male"/>
    <n v="58"/>
    <x v="1"/>
    <x v="709"/>
    <x v="2"/>
    <x v="2"/>
    <x v="1"/>
    <n v="2757"/>
    <x v="3"/>
  </r>
  <r>
    <n v="1800"/>
    <s v="Luisa Trinidad"/>
    <x v="0"/>
    <s v="Other"/>
    <n v="64"/>
    <x v="4"/>
    <x v="194"/>
    <x v="289"/>
    <x v="6"/>
    <x v="0"/>
    <n v="1309"/>
    <x v="4"/>
  </r>
  <r>
    <n v="1801"/>
    <s v="Taylor Santos Lacson"/>
    <x v="4"/>
    <s v="Other"/>
    <n v="32"/>
    <x v="0"/>
    <x v="710"/>
    <x v="290"/>
    <x v="3"/>
    <x v="0"/>
    <n v="1152"/>
    <x v="4"/>
  </r>
  <r>
    <n v="1802"/>
    <s v="Ivy Sia"/>
    <x v="4"/>
    <s v="Female"/>
    <n v="51"/>
    <x v="1"/>
    <x v="711"/>
    <x v="2"/>
    <x v="2"/>
    <x v="1"/>
    <n v="1207"/>
    <x v="4"/>
  </r>
  <r>
    <n v="1803"/>
    <s v="Arnel Cruz"/>
    <x v="3"/>
    <s v="Male"/>
    <n v="46"/>
    <x v="2"/>
    <x v="694"/>
    <x v="291"/>
    <x v="0"/>
    <x v="0"/>
    <n v="366"/>
    <x v="5"/>
  </r>
  <r>
    <n v="1804"/>
    <s v="Olive Go Diaz"/>
    <x v="1"/>
    <s v="Female"/>
    <n v="51"/>
    <x v="1"/>
    <x v="712"/>
    <x v="292"/>
    <x v="5"/>
    <x v="0"/>
    <n v="213"/>
    <x v="1"/>
  </r>
  <r>
    <n v="1805"/>
    <s v="Victor Uy Viray"/>
    <x v="1"/>
    <s v="Male"/>
    <n v="28"/>
    <x v="3"/>
    <x v="713"/>
    <x v="2"/>
    <x v="2"/>
    <x v="1"/>
    <n v="2411"/>
    <x v="6"/>
  </r>
  <r>
    <n v="1806"/>
    <s v="Bea Camacho"/>
    <x v="0"/>
    <s v="Female"/>
    <n v="57"/>
    <x v="1"/>
    <x v="714"/>
    <x v="293"/>
    <x v="0"/>
    <x v="0"/>
    <n v="106"/>
    <x v="1"/>
  </r>
  <r>
    <n v="1807"/>
    <s v="Xander Obispo"/>
    <x v="5"/>
    <s v="Male"/>
    <n v="56"/>
    <x v="1"/>
    <x v="715"/>
    <x v="294"/>
    <x v="8"/>
    <x v="0"/>
    <n v="908"/>
    <x v="7"/>
  </r>
  <r>
    <n v="1808"/>
    <s v="Teresa Navarro Cruz"/>
    <x v="5"/>
    <s v="Other"/>
    <n v="52"/>
    <x v="1"/>
    <x v="716"/>
    <x v="2"/>
    <x v="2"/>
    <x v="1"/>
    <n v="2142"/>
    <x v="2"/>
  </r>
  <r>
    <n v="1809"/>
    <s v="Bea Castro Cruz"/>
    <x v="0"/>
    <s v="Female"/>
    <n v="47"/>
    <x v="2"/>
    <x v="717"/>
    <x v="295"/>
    <x v="5"/>
    <x v="0"/>
    <n v="800"/>
    <x v="7"/>
  </r>
  <r>
    <n v="1810"/>
    <s v="Gerald Quiambao"/>
    <x v="0"/>
    <s v="Male"/>
    <n v="53"/>
    <x v="1"/>
    <x v="718"/>
    <x v="2"/>
    <x v="2"/>
    <x v="1"/>
    <n v="2192"/>
    <x v="6"/>
  </r>
  <r>
    <n v="1811"/>
    <s v="Jerome Tuazon"/>
    <x v="5"/>
    <s v="Male"/>
    <n v="39"/>
    <x v="0"/>
    <x v="719"/>
    <x v="2"/>
    <x v="2"/>
    <x v="1"/>
    <n v="1493"/>
    <x v="0"/>
  </r>
  <r>
    <n v="1812"/>
    <s v="Ferdi Lopez Flores"/>
    <x v="2"/>
    <s v="Male"/>
    <n v="39"/>
    <x v="0"/>
    <x v="642"/>
    <x v="2"/>
    <x v="2"/>
    <x v="1"/>
    <n v="262"/>
    <x v="1"/>
  </r>
  <r>
    <n v="1813"/>
    <s v="Rosa Crisostomo"/>
    <x v="0"/>
    <s v="Female"/>
    <n v="47"/>
    <x v="2"/>
    <x v="720"/>
    <x v="296"/>
    <x v="8"/>
    <x v="0"/>
    <n v="304"/>
    <x v="1"/>
  </r>
  <r>
    <n v="1814"/>
    <s v="Karen Ramirez Lacson"/>
    <x v="4"/>
    <s v="Female"/>
    <n v="53"/>
    <x v="1"/>
    <x v="721"/>
    <x v="2"/>
    <x v="2"/>
    <x v="1"/>
    <n v="2961"/>
    <x v="8"/>
  </r>
  <r>
    <n v="1815"/>
    <s v="Elena Fernandez Jacinto"/>
    <x v="1"/>
    <s v="Female"/>
    <n v="37"/>
    <x v="0"/>
    <x v="722"/>
    <x v="2"/>
    <x v="2"/>
    <x v="1"/>
    <n v="1698"/>
    <x v="0"/>
  </r>
  <r>
    <n v="1816"/>
    <s v="Morgan Lopez"/>
    <x v="2"/>
    <s v="Other"/>
    <n v="27"/>
    <x v="3"/>
    <x v="723"/>
    <x v="142"/>
    <x v="3"/>
    <x v="0"/>
    <n v="146"/>
    <x v="1"/>
  </r>
  <r>
    <n v="1817"/>
    <s v="Morgan Santiago"/>
    <x v="0"/>
    <s v="Other"/>
    <n v="27"/>
    <x v="3"/>
    <x v="231"/>
    <x v="297"/>
    <x v="0"/>
    <x v="0"/>
    <n v="197"/>
    <x v="1"/>
  </r>
  <r>
    <n v="1818"/>
    <s v="Lourdes Domingo"/>
    <x v="1"/>
    <s v="Female"/>
    <n v="49"/>
    <x v="2"/>
    <x v="554"/>
    <x v="2"/>
    <x v="2"/>
    <x v="1"/>
    <n v="1019"/>
    <x v="7"/>
  </r>
  <r>
    <n v="1819"/>
    <s v="Maria Uy"/>
    <x v="4"/>
    <s v="Female"/>
    <n v="33"/>
    <x v="0"/>
    <x v="724"/>
    <x v="2"/>
    <x v="2"/>
    <x v="1"/>
    <n v="1293"/>
    <x v="4"/>
  </r>
  <r>
    <n v="1820"/>
    <s v="Teresita Domingo"/>
    <x v="0"/>
    <s v="Female"/>
    <n v="31"/>
    <x v="0"/>
    <x v="536"/>
    <x v="298"/>
    <x v="5"/>
    <x v="0"/>
    <n v="1789"/>
    <x v="0"/>
  </r>
  <r>
    <n v="1821"/>
    <s v="Ana Roque"/>
    <x v="0"/>
    <s v="Other"/>
    <n v="29"/>
    <x v="3"/>
    <x v="725"/>
    <x v="2"/>
    <x v="2"/>
    <x v="1"/>
    <n v="1335"/>
    <x v="4"/>
  </r>
  <r>
    <n v="1822"/>
    <s v="Teresa Navarro Aquino"/>
    <x v="0"/>
    <s v="Other"/>
    <n v="22"/>
    <x v="3"/>
    <x v="658"/>
    <x v="299"/>
    <x v="1"/>
    <x v="0"/>
    <n v="110"/>
    <x v="1"/>
  </r>
  <r>
    <n v="1823"/>
    <s v="Jamie Delos Reyes"/>
    <x v="4"/>
    <s v="Other"/>
    <n v="48"/>
    <x v="2"/>
    <x v="726"/>
    <x v="2"/>
    <x v="2"/>
    <x v="1"/>
    <n v="2840"/>
    <x v="3"/>
  </r>
  <r>
    <n v="1824"/>
    <s v="Pete Sia"/>
    <x v="1"/>
    <s v="Male"/>
    <n v="54"/>
    <x v="1"/>
    <x v="727"/>
    <x v="2"/>
    <x v="2"/>
    <x v="1"/>
    <n v="1880"/>
    <x v="2"/>
  </r>
  <r>
    <n v="1825"/>
    <s v="Diosdado Flores Jimenez"/>
    <x v="4"/>
    <s v="Male"/>
    <n v="38"/>
    <x v="0"/>
    <x v="728"/>
    <x v="2"/>
    <x v="2"/>
    <x v="1"/>
    <n v="930"/>
    <x v="7"/>
  </r>
  <r>
    <n v="1826"/>
    <s v="Bryan Diaz Ramos"/>
    <x v="2"/>
    <s v="Male"/>
    <n v="49"/>
    <x v="2"/>
    <x v="729"/>
    <x v="300"/>
    <x v="1"/>
    <x v="0"/>
    <n v="193"/>
    <x v="1"/>
  </r>
  <r>
    <n v="1827"/>
    <s v="Carlos Soriano Rivera"/>
    <x v="4"/>
    <s v="Other"/>
    <n v="29"/>
    <x v="3"/>
    <x v="730"/>
    <x v="2"/>
    <x v="2"/>
    <x v="1"/>
    <n v="960"/>
    <x v="7"/>
  </r>
  <r>
    <n v="1828"/>
    <s v="Rosa Bautista Bagtas"/>
    <x v="0"/>
    <s v="Other"/>
    <n v="59"/>
    <x v="1"/>
    <x v="731"/>
    <x v="301"/>
    <x v="6"/>
    <x v="0"/>
    <n v="1149"/>
    <x v="4"/>
  </r>
  <r>
    <n v="1829"/>
    <s v="Daisy Santos Sia"/>
    <x v="2"/>
    <s v="Female"/>
    <n v="53"/>
    <x v="1"/>
    <x v="21"/>
    <x v="302"/>
    <x v="4"/>
    <x v="0"/>
    <n v="1423"/>
    <x v="4"/>
  </r>
  <r>
    <n v="1830"/>
    <s v="Gloria Soriano Perez"/>
    <x v="4"/>
    <s v="Other"/>
    <n v="58"/>
    <x v="1"/>
    <x v="277"/>
    <x v="2"/>
    <x v="2"/>
    <x v="1"/>
    <n v="775"/>
    <x v="7"/>
  </r>
  <r>
    <n v="1831"/>
    <s v="Eduardo Castro Lopez"/>
    <x v="4"/>
    <s v="Other"/>
    <n v="57"/>
    <x v="1"/>
    <x v="549"/>
    <x v="303"/>
    <x v="8"/>
    <x v="0"/>
    <n v="186"/>
    <x v="1"/>
  </r>
  <r>
    <n v="1832"/>
    <s v="Paolo Sy Ramos"/>
    <x v="2"/>
    <s v="Male"/>
    <n v="27"/>
    <x v="3"/>
    <x v="568"/>
    <x v="2"/>
    <x v="2"/>
    <x v="1"/>
    <n v="2491"/>
    <x v="6"/>
  </r>
  <r>
    <n v="1833"/>
    <s v="Larry Tolentino"/>
    <x v="2"/>
    <s v="Male"/>
    <n v="49"/>
    <x v="2"/>
    <x v="732"/>
    <x v="304"/>
    <x v="7"/>
    <x v="0"/>
    <n v="1739"/>
    <x v="0"/>
  </r>
  <r>
    <n v="1834"/>
    <s v="Gani Dela Torre"/>
    <x v="0"/>
    <s v="Male"/>
    <n v="49"/>
    <x v="2"/>
    <x v="733"/>
    <x v="2"/>
    <x v="2"/>
    <x v="1"/>
    <n v="269"/>
    <x v="1"/>
  </r>
  <r>
    <n v="1835"/>
    <s v="Belinda Torres Lazo"/>
    <x v="2"/>
    <s v="Female"/>
    <n v="29"/>
    <x v="3"/>
    <x v="734"/>
    <x v="2"/>
    <x v="2"/>
    <x v="1"/>
    <n v="1106"/>
    <x v="4"/>
  </r>
  <r>
    <n v="1836"/>
    <s v="Kevin Castro"/>
    <x v="5"/>
    <s v="Male"/>
    <n v="23"/>
    <x v="3"/>
    <x v="735"/>
    <x v="2"/>
    <x v="2"/>
    <x v="1"/>
    <n v="2449"/>
    <x v="6"/>
  </r>
  <r>
    <n v="1837"/>
    <s v="Grace Ang Ignacio"/>
    <x v="4"/>
    <s v="Female"/>
    <n v="57"/>
    <x v="1"/>
    <x v="187"/>
    <x v="305"/>
    <x v="0"/>
    <x v="0"/>
    <n v="403"/>
    <x v="5"/>
  </r>
  <r>
    <n v="1838"/>
    <s v="Ofelia Navarro"/>
    <x v="1"/>
    <s v="Female"/>
    <n v="58"/>
    <x v="1"/>
    <x v="384"/>
    <x v="306"/>
    <x v="3"/>
    <x v="0"/>
    <n v="714"/>
    <x v="5"/>
  </r>
  <r>
    <n v="1839"/>
    <s v="Yvonne Uy Umali"/>
    <x v="0"/>
    <s v="Female"/>
    <n v="43"/>
    <x v="2"/>
    <x v="19"/>
    <x v="2"/>
    <x v="2"/>
    <x v="1"/>
    <n v="2815"/>
    <x v="3"/>
  </r>
  <r>
    <n v="1840"/>
    <s v="Carmen Natividad"/>
    <x v="3"/>
    <s v="Other"/>
    <n v="51"/>
    <x v="1"/>
    <x v="528"/>
    <x v="307"/>
    <x v="8"/>
    <x v="0"/>
    <n v="231"/>
    <x v="1"/>
  </r>
  <r>
    <n v="1841"/>
    <s v="Ana Tan Salazar"/>
    <x v="1"/>
    <s v="Other"/>
    <n v="26"/>
    <x v="3"/>
    <x v="736"/>
    <x v="2"/>
    <x v="2"/>
    <x v="1"/>
    <n v="532"/>
    <x v="5"/>
  </r>
  <r>
    <n v="1842"/>
    <s v="Imelda Soriano Lazo"/>
    <x v="4"/>
    <s v="Female"/>
    <n v="49"/>
    <x v="2"/>
    <x v="300"/>
    <x v="2"/>
    <x v="2"/>
    <x v="1"/>
    <n v="1955"/>
    <x v="2"/>
  </r>
  <r>
    <n v="1843"/>
    <s v="Mae Diaz"/>
    <x v="0"/>
    <s v="Female"/>
    <n v="56"/>
    <x v="1"/>
    <x v="421"/>
    <x v="308"/>
    <x v="4"/>
    <x v="0"/>
    <n v="306"/>
    <x v="1"/>
  </r>
  <r>
    <n v="1844"/>
    <s v="Celine Uy Santiago"/>
    <x v="0"/>
    <s v="Female"/>
    <n v="55"/>
    <x v="1"/>
    <x v="737"/>
    <x v="2"/>
    <x v="2"/>
    <x v="1"/>
    <n v="2355"/>
    <x v="6"/>
  </r>
  <r>
    <n v="1845"/>
    <s v="Gani Gonzales Cruz"/>
    <x v="1"/>
    <s v="Male"/>
    <n v="41"/>
    <x v="2"/>
    <x v="738"/>
    <x v="2"/>
    <x v="2"/>
    <x v="1"/>
    <n v="1446"/>
    <x v="4"/>
  </r>
  <r>
    <n v="1846"/>
    <s v="Gloria Gonzales Pascual"/>
    <x v="4"/>
    <s v="Other"/>
    <n v="41"/>
    <x v="2"/>
    <x v="739"/>
    <x v="309"/>
    <x v="4"/>
    <x v="0"/>
    <n v="324"/>
    <x v="1"/>
  </r>
  <r>
    <n v="1847"/>
    <s v="Pilar Solis"/>
    <x v="4"/>
    <s v="Female"/>
    <n v="40"/>
    <x v="2"/>
    <x v="740"/>
    <x v="2"/>
    <x v="2"/>
    <x v="1"/>
    <n v="1423"/>
    <x v="4"/>
  </r>
  <r>
    <n v="1848"/>
    <s v="Rodel Torres Chan"/>
    <x v="1"/>
    <s v="Other"/>
    <n v="40"/>
    <x v="2"/>
    <x v="741"/>
    <x v="310"/>
    <x v="5"/>
    <x v="0"/>
    <n v="381"/>
    <x v="5"/>
  </r>
  <r>
    <n v="1849"/>
    <s v="Kath Salazar"/>
    <x v="1"/>
    <s v="Female"/>
    <n v="58"/>
    <x v="1"/>
    <x v="742"/>
    <x v="2"/>
    <x v="2"/>
    <x v="1"/>
    <n v="2123"/>
    <x v="2"/>
  </r>
  <r>
    <n v="1850"/>
    <s v="Queenie Mendoza Cruz"/>
    <x v="4"/>
    <s v="Female"/>
    <n v="56"/>
    <x v="1"/>
    <x v="743"/>
    <x v="311"/>
    <x v="5"/>
    <x v="0"/>
    <n v="149"/>
    <x v="1"/>
  </r>
  <r>
    <n v="1851"/>
    <s v="Warren Ramos"/>
    <x v="4"/>
    <s v="Male"/>
    <n v="29"/>
    <x v="3"/>
    <x v="744"/>
    <x v="2"/>
    <x v="2"/>
    <x v="1"/>
    <n v="1844"/>
    <x v="2"/>
  </r>
  <r>
    <n v="1852"/>
    <s v="Juan Sy Uy"/>
    <x v="0"/>
    <s v="Other"/>
    <n v="30"/>
    <x v="0"/>
    <x v="745"/>
    <x v="2"/>
    <x v="2"/>
    <x v="1"/>
    <n v="1562"/>
    <x v="0"/>
  </r>
  <r>
    <n v="1853"/>
    <s v="Aldrin Corpuz"/>
    <x v="3"/>
    <s v="Male"/>
    <n v="23"/>
    <x v="3"/>
    <x v="746"/>
    <x v="2"/>
    <x v="2"/>
    <x v="1"/>
    <n v="3087"/>
    <x v="8"/>
  </r>
  <r>
    <n v="1854"/>
    <s v="Arnel Manalang"/>
    <x v="1"/>
    <s v="Other"/>
    <n v="51"/>
    <x v="1"/>
    <x v="747"/>
    <x v="2"/>
    <x v="2"/>
    <x v="1"/>
    <n v="1972"/>
    <x v="2"/>
  </r>
  <r>
    <n v="1855"/>
    <s v="Morgan Ramirez"/>
    <x v="1"/>
    <s v="Other"/>
    <n v="62"/>
    <x v="4"/>
    <x v="75"/>
    <x v="312"/>
    <x v="6"/>
    <x v="0"/>
    <n v="376"/>
    <x v="5"/>
  </r>
  <r>
    <n v="1856"/>
    <s v="Rodel Guevarra"/>
    <x v="3"/>
    <s v="Other"/>
    <n v="34"/>
    <x v="0"/>
    <x v="748"/>
    <x v="2"/>
    <x v="2"/>
    <x v="1"/>
    <n v="591"/>
    <x v="5"/>
  </r>
  <r>
    <n v="1857"/>
    <s v="Carmen Ramos Perez"/>
    <x v="0"/>
    <s v="Other"/>
    <n v="49"/>
    <x v="2"/>
    <x v="749"/>
    <x v="313"/>
    <x v="5"/>
    <x v="0"/>
    <n v="748"/>
    <x v="7"/>
  </r>
  <r>
    <n v="1858"/>
    <s v="Jacqueline Ang Bondoc"/>
    <x v="5"/>
    <s v="Female"/>
    <n v="51"/>
    <x v="1"/>
    <x v="750"/>
    <x v="2"/>
    <x v="2"/>
    <x v="1"/>
    <n v="3074"/>
    <x v="8"/>
  </r>
  <r>
    <n v="1859"/>
    <s v="Joselito Crisostomo"/>
    <x v="5"/>
    <s v="Male"/>
    <n v="25"/>
    <x v="3"/>
    <x v="428"/>
    <x v="93"/>
    <x v="5"/>
    <x v="0"/>
    <n v="777"/>
    <x v="7"/>
  </r>
  <r>
    <n v="1860"/>
    <s v="Jose Castro Castro"/>
    <x v="4"/>
    <s v="Male"/>
    <n v="45"/>
    <x v="2"/>
    <x v="751"/>
    <x v="2"/>
    <x v="2"/>
    <x v="1"/>
    <n v="2366"/>
    <x v="6"/>
  </r>
  <r>
    <n v="1861"/>
    <s v="Mylene Soriano Diaz"/>
    <x v="4"/>
    <s v="Female"/>
    <n v="22"/>
    <x v="3"/>
    <x v="752"/>
    <x v="2"/>
    <x v="2"/>
    <x v="1"/>
    <n v="1940"/>
    <x v="2"/>
  </r>
  <r>
    <n v="1862"/>
    <s v="Natividad Tan Santos"/>
    <x v="2"/>
    <s v="Female"/>
    <n v="52"/>
    <x v="1"/>
    <x v="15"/>
    <x v="314"/>
    <x v="3"/>
    <x v="0"/>
    <n v="1099"/>
    <x v="4"/>
  </r>
  <r>
    <n v="1863"/>
    <s v="Tess Figueroa"/>
    <x v="1"/>
    <s v="Female"/>
    <n v="53"/>
    <x v="1"/>
    <x v="182"/>
    <x v="315"/>
    <x v="7"/>
    <x v="0"/>
    <n v="288"/>
    <x v="1"/>
  </r>
  <r>
    <n v="1864"/>
    <s v="Celine Diaz"/>
    <x v="0"/>
    <s v="Female"/>
    <n v="29"/>
    <x v="3"/>
    <x v="753"/>
    <x v="316"/>
    <x v="3"/>
    <x v="0"/>
    <n v="1023"/>
    <x v="7"/>
  </r>
  <r>
    <n v="1865"/>
    <s v="Alex Estrada"/>
    <x v="1"/>
    <s v="Other"/>
    <n v="55"/>
    <x v="1"/>
    <x v="754"/>
    <x v="317"/>
    <x v="3"/>
    <x v="0"/>
    <n v="376"/>
    <x v="5"/>
  </r>
  <r>
    <n v="1866"/>
    <s v="Wendy Go Ang"/>
    <x v="3"/>
    <s v="Female"/>
    <n v="41"/>
    <x v="2"/>
    <x v="755"/>
    <x v="2"/>
    <x v="2"/>
    <x v="1"/>
    <n v="1320"/>
    <x v="4"/>
  </r>
  <r>
    <n v="1867"/>
    <s v="Dennis Diaz Santos"/>
    <x v="0"/>
    <s v="Male"/>
    <n v="23"/>
    <x v="3"/>
    <x v="756"/>
    <x v="240"/>
    <x v="8"/>
    <x v="0"/>
    <n v="1810"/>
    <x v="0"/>
  </r>
  <r>
    <n v="1868"/>
    <s v="Samuel Villanueva"/>
    <x v="1"/>
    <s v="Male"/>
    <n v="22"/>
    <x v="3"/>
    <x v="757"/>
    <x v="2"/>
    <x v="2"/>
    <x v="1"/>
    <n v="2167"/>
    <x v="2"/>
  </r>
  <r>
    <n v="1869"/>
    <s v="Ramon Reyes Umali"/>
    <x v="1"/>
    <s v="Male"/>
    <n v="25"/>
    <x v="3"/>
    <x v="758"/>
    <x v="2"/>
    <x v="2"/>
    <x v="1"/>
    <n v="527"/>
    <x v="5"/>
  </r>
  <r>
    <n v="1870"/>
    <s v="Roberto Mercado Mangubat"/>
    <x v="0"/>
    <s v="Male"/>
    <n v="60"/>
    <x v="4"/>
    <x v="759"/>
    <x v="318"/>
    <x v="6"/>
    <x v="0"/>
    <n v="1059"/>
    <x v="7"/>
  </r>
  <r>
    <n v="1871"/>
    <s v="Lourdes Bautista Castro"/>
    <x v="3"/>
    <s v="Other"/>
    <n v="49"/>
    <x v="2"/>
    <x v="760"/>
    <x v="2"/>
    <x v="2"/>
    <x v="1"/>
    <n v="2700"/>
    <x v="3"/>
  </r>
  <r>
    <n v="1872"/>
    <s v="Timothy Bautista Aquino"/>
    <x v="3"/>
    <s v="Male"/>
    <n v="25"/>
    <x v="3"/>
    <x v="761"/>
    <x v="319"/>
    <x v="0"/>
    <x v="0"/>
    <n v="1900"/>
    <x v="2"/>
  </r>
  <r>
    <n v="1873"/>
    <s v="Eva Sy Salazar"/>
    <x v="0"/>
    <s v="Female"/>
    <n v="50"/>
    <x v="1"/>
    <x v="738"/>
    <x v="320"/>
    <x v="6"/>
    <x v="0"/>
    <n v="931"/>
    <x v="7"/>
  </r>
  <r>
    <n v="1874"/>
    <s v="Ramon Castro Roque"/>
    <x v="2"/>
    <s v="Male"/>
    <n v="42"/>
    <x v="2"/>
    <x v="337"/>
    <x v="2"/>
    <x v="2"/>
    <x v="1"/>
    <n v="425"/>
    <x v="5"/>
  </r>
  <r>
    <n v="1875"/>
    <s v="Leonora Domingo Macapagal"/>
    <x v="1"/>
    <s v="Female"/>
    <n v="25"/>
    <x v="3"/>
    <x v="762"/>
    <x v="2"/>
    <x v="2"/>
    <x v="1"/>
    <n v="663"/>
    <x v="5"/>
  </r>
  <r>
    <n v="1876"/>
    <s v="Christian Vega Narvasa"/>
    <x v="4"/>
    <s v="Male"/>
    <n v="49"/>
    <x v="2"/>
    <x v="763"/>
    <x v="321"/>
    <x v="0"/>
    <x v="0"/>
    <n v="270"/>
    <x v="1"/>
  </r>
  <r>
    <n v="1877"/>
    <s v="Cristina Santos Buenaventura"/>
    <x v="4"/>
    <s v="Other"/>
    <n v="30"/>
    <x v="0"/>
    <x v="764"/>
    <x v="2"/>
    <x v="2"/>
    <x v="1"/>
    <n v="2488"/>
    <x v="6"/>
  </r>
  <r>
    <n v="1878"/>
    <s v="Kristoffer Vega"/>
    <x v="0"/>
    <s v="Male"/>
    <n v="30"/>
    <x v="0"/>
    <x v="765"/>
    <x v="322"/>
    <x v="5"/>
    <x v="0"/>
    <n v="313"/>
    <x v="1"/>
  </r>
  <r>
    <n v="1879"/>
    <s v="Fe Perez"/>
    <x v="1"/>
    <s v="Female"/>
    <n v="33"/>
    <x v="0"/>
    <x v="766"/>
    <x v="2"/>
    <x v="2"/>
    <x v="1"/>
    <n v="356"/>
    <x v="1"/>
  </r>
  <r>
    <n v="1880"/>
    <s v="Alvin Santos Garcia"/>
    <x v="2"/>
    <s v="Male"/>
    <n v="42"/>
    <x v="2"/>
    <x v="293"/>
    <x v="323"/>
    <x v="0"/>
    <x v="0"/>
    <n v="258"/>
    <x v="1"/>
  </r>
  <r>
    <n v="1881"/>
    <s v="Danilo Tan San Pedro"/>
    <x v="0"/>
    <s v="Other"/>
    <n v="50"/>
    <x v="1"/>
    <x v="767"/>
    <x v="324"/>
    <x v="1"/>
    <x v="0"/>
    <n v="336"/>
    <x v="1"/>
  </r>
  <r>
    <n v="1882"/>
    <s v="Cameron Santiago Chua"/>
    <x v="1"/>
    <s v="Other"/>
    <n v="44"/>
    <x v="2"/>
    <x v="768"/>
    <x v="325"/>
    <x v="8"/>
    <x v="0"/>
    <n v="212"/>
    <x v="1"/>
  </r>
  <r>
    <n v="1883"/>
    <s v="Karen Castro Hilario"/>
    <x v="1"/>
    <s v="Female"/>
    <n v="55"/>
    <x v="1"/>
    <x v="153"/>
    <x v="326"/>
    <x v="6"/>
    <x v="0"/>
    <n v="1903"/>
    <x v="2"/>
  </r>
  <r>
    <n v="1884"/>
    <s v="Avery Panganiban"/>
    <x v="1"/>
    <s v="Other"/>
    <n v="27"/>
    <x v="3"/>
    <x v="769"/>
    <x v="2"/>
    <x v="2"/>
    <x v="1"/>
    <n v="3006"/>
    <x v="8"/>
  </r>
  <r>
    <n v="1885"/>
    <s v="Kevin Ignacio"/>
    <x v="2"/>
    <s v="Male"/>
    <n v="34"/>
    <x v="0"/>
    <x v="770"/>
    <x v="2"/>
    <x v="2"/>
    <x v="1"/>
    <n v="1842"/>
    <x v="2"/>
  </r>
  <r>
    <n v="1886"/>
    <s v="Miguel Santiago Fajardo"/>
    <x v="3"/>
    <s v="Other"/>
    <n v="48"/>
    <x v="2"/>
    <x v="771"/>
    <x v="327"/>
    <x v="3"/>
    <x v="0"/>
    <n v="625"/>
    <x v="5"/>
  </r>
  <r>
    <n v="1887"/>
    <s v="Xander Diaz"/>
    <x v="4"/>
    <s v="Male"/>
    <n v="36"/>
    <x v="0"/>
    <x v="772"/>
    <x v="2"/>
    <x v="2"/>
    <x v="1"/>
    <n v="2902"/>
    <x v="3"/>
  </r>
  <r>
    <n v="1888"/>
    <s v="Celine Flores"/>
    <x v="4"/>
    <s v="Female"/>
    <n v="36"/>
    <x v="0"/>
    <x v="773"/>
    <x v="2"/>
    <x v="2"/>
    <x v="1"/>
    <n v="2873"/>
    <x v="3"/>
  </r>
  <r>
    <n v="1889"/>
    <s v="Josephine Rivera Aquino"/>
    <x v="3"/>
    <s v="Other"/>
    <n v="34"/>
    <x v="0"/>
    <x v="774"/>
    <x v="2"/>
    <x v="2"/>
    <x v="1"/>
    <n v="2758"/>
    <x v="3"/>
  </r>
  <r>
    <n v="1890"/>
    <s v="Cardo Santiago Soriano"/>
    <x v="5"/>
    <s v="Male"/>
    <n v="53"/>
    <x v="1"/>
    <x v="775"/>
    <x v="2"/>
    <x v="2"/>
    <x v="1"/>
    <n v="1559"/>
    <x v="0"/>
  </r>
  <r>
    <n v="1891"/>
    <s v="Willy Ramirez Corpuz"/>
    <x v="0"/>
    <s v="Male"/>
    <n v="52"/>
    <x v="1"/>
    <x v="530"/>
    <x v="212"/>
    <x v="7"/>
    <x v="0"/>
    <n v="911"/>
    <x v="7"/>
  </r>
  <r>
    <n v="1892"/>
    <s v="Vince Aguilar"/>
    <x v="2"/>
    <s v="Male"/>
    <n v="36"/>
    <x v="0"/>
    <x v="776"/>
    <x v="328"/>
    <x v="3"/>
    <x v="0"/>
    <n v="960"/>
    <x v="7"/>
  </r>
  <r>
    <n v="1893"/>
    <s v="Cardo Cueto"/>
    <x v="4"/>
    <s v="Male"/>
    <n v="51"/>
    <x v="1"/>
    <x v="777"/>
    <x v="329"/>
    <x v="6"/>
    <x v="0"/>
    <n v="1530"/>
    <x v="0"/>
  </r>
  <r>
    <n v="1894"/>
    <s v="Dennis Gonzales Wong"/>
    <x v="4"/>
    <s v="Male"/>
    <n v="47"/>
    <x v="2"/>
    <x v="778"/>
    <x v="2"/>
    <x v="2"/>
    <x v="1"/>
    <n v="1586"/>
    <x v="0"/>
  </r>
  <r>
    <n v="1895"/>
    <s v="Estrella Garcia Bagtas"/>
    <x v="4"/>
    <s v="Female"/>
    <n v="25"/>
    <x v="3"/>
    <x v="779"/>
    <x v="2"/>
    <x v="2"/>
    <x v="1"/>
    <n v="1621"/>
    <x v="0"/>
  </r>
  <r>
    <n v="1896"/>
    <s v="Danilo Vega"/>
    <x v="2"/>
    <s v="Other"/>
    <n v="27"/>
    <x v="3"/>
    <x v="780"/>
    <x v="330"/>
    <x v="8"/>
    <x v="0"/>
    <n v="246"/>
    <x v="1"/>
  </r>
  <r>
    <n v="1897"/>
    <s v="Avery Miranda"/>
    <x v="4"/>
    <s v="Other"/>
    <n v="38"/>
    <x v="0"/>
    <x v="781"/>
    <x v="2"/>
    <x v="2"/>
    <x v="1"/>
    <n v="2311"/>
    <x v="6"/>
  </r>
  <r>
    <n v="1898"/>
    <s v="Vanessa Vergara"/>
    <x v="3"/>
    <s v="Female"/>
    <n v="40"/>
    <x v="2"/>
    <x v="687"/>
    <x v="2"/>
    <x v="2"/>
    <x v="1"/>
    <n v="1937"/>
    <x v="2"/>
  </r>
  <r>
    <n v="1899"/>
    <s v="Queenie Lim"/>
    <x v="5"/>
    <s v="Female"/>
    <n v="53"/>
    <x v="1"/>
    <x v="782"/>
    <x v="2"/>
    <x v="2"/>
    <x v="1"/>
    <n v="2480"/>
    <x v="6"/>
  </r>
  <r>
    <n v="1900"/>
    <s v="Fe Buenaventura"/>
    <x v="1"/>
    <s v="Female"/>
    <n v="58"/>
    <x v="1"/>
    <x v="783"/>
    <x v="2"/>
    <x v="2"/>
    <x v="1"/>
    <n v="828"/>
    <x v="7"/>
  </r>
  <r>
    <n v="1901"/>
    <s v="Sue Ramos Bautista"/>
    <x v="4"/>
    <s v="Female"/>
    <n v="47"/>
    <x v="2"/>
    <x v="400"/>
    <x v="2"/>
    <x v="2"/>
    <x v="1"/>
    <n v="2233"/>
    <x v="6"/>
  </r>
  <r>
    <n v="1902"/>
    <s v="Danilo Tan Tan"/>
    <x v="4"/>
    <s v="Other"/>
    <n v="52"/>
    <x v="1"/>
    <x v="126"/>
    <x v="2"/>
    <x v="2"/>
    <x v="1"/>
    <n v="393"/>
    <x v="5"/>
  </r>
  <r>
    <n v="1903"/>
    <s v="Maricel Ocampo"/>
    <x v="5"/>
    <s v="Other"/>
    <n v="40"/>
    <x v="2"/>
    <x v="348"/>
    <x v="2"/>
    <x v="2"/>
    <x v="1"/>
    <n v="1756"/>
    <x v="0"/>
  </r>
  <r>
    <n v="1904"/>
    <s v="Cristina Tan Quiambao"/>
    <x v="1"/>
    <s v="Other"/>
    <n v="42"/>
    <x v="2"/>
    <x v="784"/>
    <x v="2"/>
    <x v="2"/>
    <x v="1"/>
    <n v="764"/>
    <x v="7"/>
  </r>
  <r>
    <n v="1905"/>
    <s v="Leonora Uy Tuazon"/>
    <x v="3"/>
    <s v="Female"/>
    <n v="46"/>
    <x v="2"/>
    <x v="785"/>
    <x v="2"/>
    <x v="2"/>
    <x v="1"/>
    <n v="2831"/>
    <x v="3"/>
  </r>
  <r>
    <n v="1906"/>
    <s v="Jacqueline Ocampo"/>
    <x v="0"/>
    <s v="Female"/>
    <n v="31"/>
    <x v="0"/>
    <x v="786"/>
    <x v="2"/>
    <x v="2"/>
    <x v="1"/>
    <n v="2664"/>
    <x v="3"/>
  </r>
  <r>
    <n v="1907"/>
    <s v="Sarah Pascual Co"/>
    <x v="0"/>
    <s v="Female"/>
    <n v="33"/>
    <x v="0"/>
    <x v="787"/>
    <x v="2"/>
    <x v="2"/>
    <x v="1"/>
    <n v="2807"/>
    <x v="3"/>
  </r>
  <r>
    <n v="1908"/>
    <s v="Imelda Dalisay"/>
    <x v="5"/>
    <s v="Female"/>
    <n v="24"/>
    <x v="3"/>
    <x v="788"/>
    <x v="2"/>
    <x v="2"/>
    <x v="1"/>
    <n v="1582"/>
    <x v="0"/>
  </r>
  <r>
    <n v="1909"/>
    <s v="Hazel Flores Del Rosario"/>
    <x v="4"/>
    <s v="Female"/>
    <n v="28"/>
    <x v="3"/>
    <x v="154"/>
    <x v="2"/>
    <x v="2"/>
    <x v="1"/>
    <n v="2563"/>
    <x v="3"/>
  </r>
  <r>
    <n v="1910"/>
    <s v="Grace Go Ong"/>
    <x v="1"/>
    <s v="Female"/>
    <n v="48"/>
    <x v="2"/>
    <x v="592"/>
    <x v="2"/>
    <x v="2"/>
    <x v="1"/>
    <n v="369"/>
    <x v="5"/>
  </r>
  <r>
    <n v="1911"/>
    <s v="Teresita Ang Elegado"/>
    <x v="4"/>
    <s v="Female"/>
    <n v="30"/>
    <x v="0"/>
    <x v="789"/>
    <x v="331"/>
    <x v="7"/>
    <x v="0"/>
    <n v="907"/>
    <x v="7"/>
  </r>
  <r>
    <n v="1912"/>
    <s v="Alvin Manalang"/>
    <x v="0"/>
    <s v="Male"/>
    <n v="26"/>
    <x v="3"/>
    <x v="691"/>
    <x v="2"/>
    <x v="2"/>
    <x v="1"/>
    <n v="1912"/>
    <x v="2"/>
  </r>
  <r>
    <n v="1913"/>
    <s v="Eva Salazar"/>
    <x v="5"/>
    <s v="Female"/>
    <n v="32"/>
    <x v="0"/>
    <x v="790"/>
    <x v="332"/>
    <x v="1"/>
    <x v="0"/>
    <n v="1355"/>
    <x v="4"/>
  </r>
  <r>
    <n v="1914"/>
    <s v="Patricio Pascual Aguilar"/>
    <x v="1"/>
    <s v="Male"/>
    <n v="46"/>
    <x v="2"/>
    <x v="791"/>
    <x v="2"/>
    <x v="2"/>
    <x v="1"/>
    <n v="230"/>
    <x v="1"/>
  </r>
  <r>
    <n v="1915"/>
    <s v="Rica Castro"/>
    <x v="5"/>
    <s v="Female"/>
    <n v="34"/>
    <x v="0"/>
    <x v="792"/>
    <x v="2"/>
    <x v="2"/>
    <x v="1"/>
    <n v="1070"/>
    <x v="7"/>
  </r>
  <r>
    <n v="1916"/>
    <s v="Violeta Go Santiago"/>
    <x v="1"/>
    <s v="Female"/>
    <n v="41"/>
    <x v="2"/>
    <x v="793"/>
    <x v="2"/>
    <x v="2"/>
    <x v="1"/>
    <n v="1412"/>
    <x v="4"/>
  </r>
  <r>
    <n v="1917"/>
    <s v="Nathan Torres Ocampo"/>
    <x v="1"/>
    <s v="Male"/>
    <n v="50"/>
    <x v="1"/>
    <x v="445"/>
    <x v="333"/>
    <x v="3"/>
    <x v="0"/>
    <n v="907"/>
    <x v="7"/>
  </r>
  <r>
    <n v="1918"/>
    <s v="Rowena Hilario"/>
    <x v="5"/>
    <s v="Female"/>
    <n v="50"/>
    <x v="1"/>
    <x v="734"/>
    <x v="2"/>
    <x v="2"/>
    <x v="1"/>
    <n v="1106"/>
    <x v="4"/>
  </r>
  <r>
    <n v="1919"/>
    <s v="Gregorio Cruz"/>
    <x v="5"/>
    <s v="Male"/>
    <n v="51"/>
    <x v="1"/>
    <x v="794"/>
    <x v="2"/>
    <x v="2"/>
    <x v="1"/>
    <n v="1948"/>
    <x v="2"/>
  </r>
  <r>
    <n v="1920"/>
    <s v="Florinda Flores Manalo"/>
    <x v="1"/>
    <s v="Female"/>
    <n v="46"/>
    <x v="2"/>
    <x v="795"/>
    <x v="334"/>
    <x v="7"/>
    <x v="0"/>
    <n v="135"/>
    <x v="1"/>
  </r>
  <r>
    <n v="1921"/>
    <s v="Riley Zulueta"/>
    <x v="5"/>
    <s v="Other"/>
    <n v="55"/>
    <x v="1"/>
    <x v="553"/>
    <x v="2"/>
    <x v="2"/>
    <x v="1"/>
    <n v="2206"/>
    <x v="6"/>
  </r>
  <r>
    <n v="1922"/>
    <s v="Luisa Bautista Mendoza"/>
    <x v="5"/>
    <s v="Other"/>
    <n v="27"/>
    <x v="3"/>
    <x v="796"/>
    <x v="2"/>
    <x v="2"/>
    <x v="1"/>
    <n v="1492"/>
    <x v="0"/>
  </r>
  <r>
    <n v="1923"/>
    <s v="Miguel Reyes Dela Cruz"/>
    <x v="5"/>
    <s v="Other"/>
    <n v="36"/>
    <x v="0"/>
    <x v="797"/>
    <x v="2"/>
    <x v="2"/>
    <x v="1"/>
    <n v="1557"/>
    <x v="0"/>
  </r>
  <r>
    <n v="1924"/>
    <s v="Nicanor Fernandez"/>
    <x v="3"/>
    <s v="Male"/>
    <n v="33"/>
    <x v="0"/>
    <x v="798"/>
    <x v="2"/>
    <x v="2"/>
    <x v="1"/>
    <n v="306"/>
    <x v="1"/>
  </r>
  <r>
    <n v="1925"/>
    <s v="Cristina Castro Dalisay"/>
    <x v="2"/>
    <s v="Female"/>
    <n v="31"/>
    <x v="0"/>
    <x v="33"/>
    <x v="2"/>
    <x v="2"/>
    <x v="1"/>
    <n v="2911"/>
    <x v="3"/>
  </r>
  <r>
    <n v="1926"/>
    <s v="Rodel Navarro Soriano"/>
    <x v="0"/>
    <s v="Other"/>
    <n v="46"/>
    <x v="2"/>
    <x v="799"/>
    <x v="335"/>
    <x v="0"/>
    <x v="0"/>
    <n v="527"/>
    <x v="5"/>
  </r>
  <r>
    <n v="1927"/>
    <s v="Celine Corpuz"/>
    <x v="1"/>
    <s v="Female"/>
    <n v="35"/>
    <x v="0"/>
    <x v="800"/>
    <x v="2"/>
    <x v="2"/>
    <x v="1"/>
    <n v="2821"/>
    <x v="3"/>
  </r>
  <r>
    <n v="1928"/>
    <s v="Isabel Lopez"/>
    <x v="1"/>
    <s v="Other"/>
    <n v="47"/>
    <x v="2"/>
    <x v="801"/>
    <x v="2"/>
    <x v="2"/>
    <x v="1"/>
    <n v="1856"/>
    <x v="2"/>
  </r>
  <r>
    <n v="1929"/>
    <s v="Arnel Figueroa"/>
    <x v="2"/>
    <s v="Other"/>
    <n v="57"/>
    <x v="1"/>
    <x v="802"/>
    <x v="336"/>
    <x v="7"/>
    <x v="0"/>
    <n v="478"/>
    <x v="5"/>
  </r>
  <r>
    <n v="1930"/>
    <s v="Hope Diaz Enriquez"/>
    <x v="5"/>
    <s v="Female"/>
    <n v="32"/>
    <x v="0"/>
    <x v="666"/>
    <x v="2"/>
    <x v="2"/>
    <x v="1"/>
    <n v="489"/>
    <x v="5"/>
  </r>
  <r>
    <n v="1931"/>
    <s v="Antonio Santos Bagtas"/>
    <x v="1"/>
    <s v="Other"/>
    <n v="49"/>
    <x v="2"/>
    <x v="803"/>
    <x v="2"/>
    <x v="2"/>
    <x v="1"/>
    <n v="1525"/>
    <x v="0"/>
  </r>
  <r>
    <n v="1932"/>
    <s v="Rodel Ang Torres"/>
    <x v="1"/>
    <s v="Male"/>
    <n v="28"/>
    <x v="3"/>
    <x v="804"/>
    <x v="337"/>
    <x v="1"/>
    <x v="0"/>
    <n v="967"/>
    <x v="7"/>
  </r>
  <r>
    <n v="1933"/>
    <s v="Cherry San Pedro"/>
    <x v="4"/>
    <s v="Female"/>
    <n v="34"/>
    <x v="0"/>
    <x v="805"/>
    <x v="338"/>
    <x v="4"/>
    <x v="0"/>
    <n v="396"/>
    <x v="5"/>
  </r>
  <r>
    <n v="1934"/>
    <s v="Yvonne Bayani"/>
    <x v="1"/>
    <s v="Female"/>
    <n v="23"/>
    <x v="3"/>
    <x v="806"/>
    <x v="2"/>
    <x v="2"/>
    <x v="1"/>
    <n v="958"/>
    <x v="7"/>
  </r>
  <r>
    <n v="1935"/>
    <s v="Teresita Guevarra"/>
    <x v="5"/>
    <s v="Female"/>
    <n v="42"/>
    <x v="2"/>
    <x v="807"/>
    <x v="339"/>
    <x v="0"/>
    <x v="0"/>
    <n v="1194"/>
    <x v="4"/>
  </r>
  <r>
    <n v="1936"/>
    <s v="Isabel Aquino"/>
    <x v="1"/>
    <s v="Other"/>
    <n v="54"/>
    <x v="1"/>
    <x v="808"/>
    <x v="340"/>
    <x v="0"/>
    <x v="0"/>
    <n v="1379"/>
    <x v="4"/>
  </r>
  <r>
    <n v="1937"/>
    <s v="Rosa Lopez Obispo"/>
    <x v="1"/>
    <s v="Other"/>
    <n v="52"/>
    <x v="1"/>
    <x v="809"/>
    <x v="341"/>
    <x v="6"/>
    <x v="0"/>
    <n v="927"/>
    <x v="7"/>
  </r>
  <r>
    <n v="1938"/>
    <s v="Maribel Wong"/>
    <x v="5"/>
    <s v="Female"/>
    <n v="32"/>
    <x v="0"/>
    <x v="810"/>
    <x v="342"/>
    <x v="8"/>
    <x v="0"/>
    <n v="382"/>
    <x v="5"/>
  </r>
  <r>
    <n v="1939"/>
    <s v="Pilar Solis"/>
    <x v="0"/>
    <s v="Other"/>
    <n v="44"/>
    <x v="2"/>
    <x v="811"/>
    <x v="343"/>
    <x v="5"/>
    <x v="0"/>
    <n v="1054"/>
    <x v="7"/>
  </r>
  <r>
    <n v="1940"/>
    <s v="Rosa Ramos"/>
    <x v="5"/>
    <s v="Other"/>
    <n v="51"/>
    <x v="1"/>
    <x v="327"/>
    <x v="2"/>
    <x v="2"/>
    <x v="1"/>
    <n v="3010"/>
    <x v="8"/>
  </r>
  <r>
    <n v="1941"/>
    <s v="Severino Go Panganiban"/>
    <x v="3"/>
    <s v="Male"/>
    <n v="30"/>
    <x v="0"/>
    <x v="812"/>
    <x v="2"/>
    <x v="2"/>
    <x v="1"/>
    <n v="827"/>
    <x v="7"/>
  </r>
  <r>
    <n v="1942"/>
    <s v="Jaime Santiago Santos"/>
    <x v="4"/>
    <s v="Male"/>
    <n v="51"/>
    <x v="1"/>
    <x v="813"/>
    <x v="170"/>
    <x v="0"/>
    <x v="0"/>
    <n v="2012"/>
    <x v="2"/>
  </r>
  <r>
    <n v="1943"/>
    <s v="Manuel Bayani"/>
    <x v="0"/>
    <s v="Other"/>
    <n v="46"/>
    <x v="2"/>
    <x v="372"/>
    <x v="2"/>
    <x v="2"/>
    <x v="1"/>
    <n v="1563"/>
    <x v="0"/>
  </r>
  <r>
    <n v="1944"/>
    <s v="Juan Diaz"/>
    <x v="1"/>
    <s v="Other"/>
    <n v="28"/>
    <x v="3"/>
    <x v="814"/>
    <x v="2"/>
    <x v="2"/>
    <x v="1"/>
    <n v="1515"/>
    <x v="0"/>
  </r>
  <r>
    <n v="1945"/>
    <s v="Ronaldo Rivera Jimenez"/>
    <x v="3"/>
    <s v="Other"/>
    <n v="43"/>
    <x v="2"/>
    <x v="815"/>
    <x v="2"/>
    <x v="2"/>
    <x v="1"/>
    <n v="1004"/>
    <x v="7"/>
  </r>
  <r>
    <n v="1946"/>
    <s v="Sam Jimenez"/>
    <x v="3"/>
    <s v="Other"/>
    <n v="36"/>
    <x v="0"/>
    <x v="77"/>
    <x v="344"/>
    <x v="7"/>
    <x v="0"/>
    <n v="830"/>
    <x v="7"/>
  </r>
  <r>
    <n v="1947"/>
    <s v="Feliciano Garcia Reyes"/>
    <x v="1"/>
    <s v="Male"/>
    <n v="30"/>
    <x v="0"/>
    <x v="816"/>
    <x v="345"/>
    <x v="4"/>
    <x v="0"/>
    <n v="1274"/>
    <x v="4"/>
  </r>
  <r>
    <n v="1948"/>
    <s v="Casey Delmendo"/>
    <x v="5"/>
    <s v="Other"/>
    <n v="46"/>
    <x v="2"/>
    <x v="817"/>
    <x v="2"/>
    <x v="2"/>
    <x v="1"/>
    <n v="199"/>
    <x v="1"/>
  </r>
  <r>
    <n v="1949"/>
    <s v="Kath Fajardo"/>
    <x v="2"/>
    <s v="Female"/>
    <n v="48"/>
    <x v="2"/>
    <x v="818"/>
    <x v="2"/>
    <x v="2"/>
    <x v="1"/>
    <n v="2056"/>
    <x v="2"/>
  </r>
  <r>
    <n v="1950"/>
    <s v="Beatriz Tan Del Rosario"/>
    <x v="4"/>
    <s v="Female"/>
    <n v="47"/>
    <x v="2"/>
    <x v="819"/>
    <x v="346"/>
    <x v="3"/>
    <x v="0"/>
    <n v="1500"/>
    <x v="0"/>
  </r>
  <r>
    <n v="1951"/>
    <s v="Yvonne Pascual Elegado"/>
    <x v="5"/>
    <s v="Female"/>
    <n v="31"/>
    <x v="0"/>
    <x v="820"/>
    <x v="347"/>
    <x v="1"/>
    <x v="0"/>
    <n v="161"/>
    <x v="1"/>
  </r>
  <r>
    <n v="1952"/>
    <s v="Maribel Torres Viray"/>
    <x v="5"/>
    <s v="Female"/>
    <n v="44"/>
    <x v="2"/>
    <x v="268"/>
    <x v="2"/>
    <x v="2"/>
    <x v="1"/>
    <n v="2328"/>
    <x v="6"/>
  </r>
  <r>
    <n v="1953"/>
    <s v="Miguel Chan"/>
    <x v="4"/>
    <s v="Other"/>
    <n v="32"/>
    <x v="0"/>
    <x v="821"/>
    <x v="348"/>
    <x v="3"/>
    <x v="0"/>
    <n v="838"/>
    <x v="7"/>
  </r>
  <r>
    <n v="1954"/>
    <s v="Joselito Reyes Ang"/>
    <x v="2"/>
    <s v="Male"/>
    <n v="27"/>
    <x v="3"/>
    <x v="822"/>
    <x v="349"/>
    <x v="0"/>
    <x v="0"/>
    <n v="240"/>
    <x v="1"/>
  </r>
  <r>
    <n v="1955"/>
    <s v="Eduardo Santos Fernandez"/>
    <x v="0"/>
    <s v="Male"/>
    <n v="27"/>
    <x v="3"/>
    <x v="290"/>
    <x v="350"/>
    <x v="7"/>
    <x v="0"/>
    <n v="119"/>
    <x v="1"/>
  </r>
  <r>
    <n v="1956"/>
    <s v="Gerald Santiago Quiambao"/>
    <x v="4"/>
    <s v="Male"/>
    <n v="38"/>
    <x v="0"/>
    <x v="823"/>
    <x v="2"/>
    <x v="2"/>
    <x v="1"/>
    <n v="1101"/>
    <x v="4"/>
  </r>
  <r>
    <n v="1957"/>
    <s v="Oliver Panganiban"/>
    <x v="5"/>
    <s v="Male"/>
    <n v="41"/>
    <x v="2"/>
    <x v="824"/>
    <x v="2"/>
    <x v="2"/>
    <x v="1"/>
    <n v="2110"/>
    <x v="2"/>
  </r>
  <r>
    <n v="1958"/>
    <s v="Maria Obispo"/>
    <x v="3"/>
    <s v="Other"/>
    <n v="27"/>
    <x v="3"/>
    <x v="685"/>
    <x v="2"/>
    <x v="2"/>
    <x v="1"/>
    <n v="3079"/>
    <x v="8"/>
  </r>
  <r>
    <n v="1959"/>
    <s v="Teresita Chan Ignacio"/>
    <x v="3"/>
    <s v="Female"/>
    <n v="28"/>
    <x v="3"/>
    <x v="825"/>
    <x v="50"/>
    <x v="1"/>
    <x v="0"/>
    <n v="806"/>
    <x v="7"/>
  </r>
  <r>
    <n v="1960"/>
    <s v="Elmer Cruz"/>
    <x v="0"/>
    <s v="Male"/>
    <n v="21"/>
    <x v="3"/>
    <x v="826"/>
    <x v="2"/>
    <x v="2"/>
    <x v="1"/>
    <n v="478"/>
    <x v="5"/>
  </r>
  <r>
    <n v="1961"/>
    <s v="Cristina Garcia Viray"/>
    <x v="2"/>
    <s v="Other"/>
    <n v="41"/>
    <x v="2"/>
    <x v="827"/>
    <x v="2"/>
    <x v="2"/>
    <x v="1"/>
    <n v="315"/>
    <x v="1"/>
  </r>
  <r>
    <n v="1962"/>
    <s v="Taylor Castro Dela Torre"/>
    <x v="4"/>
    <s v="Other"/>
    <n v="51"/>
    <x v="1"/>
    <x v="828"/>
    <x v="2"/>
    <x v="2"/>
    <x v="1"/>
    <n v="395"/>
    <x v="5"/>
  </r>
  <r>
    <n v="1963"/>
    <s v="Manuel Figueroa"/>
    <x v="5"/>
    <s v="Other"/>
    <n v="57"/>
    <x v="1"/>
    <x v="829"/>
    <x v="351"/>
    <x v="3"/>
    <x v="0"/>
    <n v="599"/>
    <x v="5"/>
  </r>
  <r>
    <n v="1964"/>
    <s v="Oscar Lopez Sy"/>
    <x v="3"/>
    <s v="Male"/>
    <n v="49"/>
    <x v="2"/>
    <x v="830"/>
    <x v="2"/>
    <x v="2"/>
    <x v="1"/>
    <n v="2618"/>
    <x v="3"/>
  </r>
  <r>
    <n v="1965"/>
    <s v="Ramon Aguilar"/>
    <x v="5"/>
    <s v="Male"/>
    <n v="26"/>
    <x v="3"/>
    <x v="831"/>
    <x v="2"/>
    <x v="2"/>
    <x v="1"/>
    <n v="2659"/>
    <x v="3"/>
  </r>
  <r>
    <n v="1966"/>
    <s v="Eddie Ramos Enriquez"/>
    <x v="4"/>
    <s v="Male"/>
    <n v="38"/>
    <x v="0"/>
    <x v="832"/>
    <x v="2"/>
    <x v="2"/>
    <x v="1"/>
    <n v="2189"/>
    <x v="2"/>
  </r>
  <r>
    <n v="1967"/>
    <s v="Francis Tan"/>
    <x v="3"/>
    <s v="Male"/>
    <n v="52"/>
    <x v="1"/>
    <x v="833"/>
    <x v="2"/>
    <x v="2"/>
    <x v="1"/>
    <n v="2721"/>
    <x v="3"/>
  </r>
  <r>
    <n v="1968"/>
    <s v="Leonard Corpuz"/>
    <x v="5"/>
    <s v="Male"/>
    <n v="42"/>
    <x v="2"/>
    <x v="834"/>
    <x v="2"/>
    <x v="2"/>
    <x v="1"/>
    <n v="1547"/>
    <x v="0"/>
  </r>
  <r>
    <n v="1969"/>
    <s v="Casey Buenaventura"/>
    <x v="0"/>
    <s v="Other"/>
    <n v="35"/>
    <x v="0"/>
    <x v="835"/>
    <x v="352"/>
    <x v="0"/>
    <x v="0"/>
    <n v="1281"/>
    <x v="4"/>
  </r>
  <r>
    <n v="1970"/>
    <s v="Maricel Bautista San Pedro"/>
    <x v="3"/>
    <s v="Other"/>
    <n v="28"/>
    <x v="3"/>
    <x v="836"/>
    <x v="193"/>
    <x v="4"/>
    <x v="0"/>
    <n v="410"/>
    <x v="5"/>
  </r>
  <r>
    <n v="1971"/>
    <s v="Belinda Delmendo"/>
    <x v="0"/>
    <s v="Female"/>
    <n v="45"/>
    <x v="2"/>
    <x v="221"/>
    <x v="353"/>
    <x v="3"/>
    <x v="0"/>
    <n v="837"/>
    <x v="7"/>
  </r>
  <r>
    <n v="1972"/>
    <s v="Hope Mercado"/>
    <x v="0"/>
    <s v="Female"/>
    <n v="21"/>
    <x v="3"/>
    <x v="56"/>
    <x v="2"/>
    <x v="2"/>
    <x v="1"/>
    <n v="887"/>
    <x v="7"/>
  </r>
  <r>
    <n v="1973"/>
    <s v="Erlinda Del Rosario"/>
    <x v="4"/>
    <s v="Female"/>
    <n v="50"/>
    <x v="1"/>
    <x v="764"/>
    <x v="2"/>
    <x v="2"/>
    <x v="1"/>
    <n v="2488"/>
    <x v="6"/>
  </r>
  <r>
    <n v="1974"/>
    <s v="Morgan Ang"/>
    <x v="2"/>
    <s v="Other"/>
    <n v="41"/>
    <x v="2"/>
    <x v="804"/>
    <x v="2"/>
    <x v="2"/>
    <x v="1"/>
    <n v="1826"/>
    <x v="2"/>
  </r>
  <r>
    <n v="1975"/>
    <s v="Francis Domingo"/>
    <x v="5"/>
    <s v="Male"/>
    <n v="34"/>
    <x v="0"/>
    <x v="296"/>
    <x v="354"/>
    <x v="0"/>
    <x v="0"/>
    <n v="475"/>
    <x v="5"/>
  </r>
  <r>
    <n v="1976"/>
    <s v="Jose Viray"/>
    <x v="1"/>
    <s v="Other"/>
    <n v="35"/>
    <x v="0"/>
    <x v="837"/>
    <x v="2"/>
    <x v="2"/>
    <x v="1"/>
    <n v="223"/>
    <x v="1"/>
  </r>
  <r>
    <n v="1977"/>
    <s v="Danilo Estrada"/>
    <x v="4"/>
    <s v="Other"/>
    <n v="31"/>
    <x v="0"/>
    <x v="838"/>
    <x v="2"/>
    <x v="2"/>
    <x v="1"/>
    <n v="3003"/>
    <x v="8"/>
  </r>
  <r>
    <n v="1978"/>
    <s v="Carlos Co"/>
    <x v="3"/>
    <s v="Other"/>
    <n v="46"/>
    <x v="2"/>
    <x v="813"/>
    <x v="2"/>
    <x v="2"/>
    <x v="1"/>
    <n v="2797"/>
    <x v="3"/>
  </r>
  <r>
    <n v="1979"/>
    <s v="Manuel Roque"/>
    <x v="1"/>
    <s v="Other"/>
    <n v="46"/>
    <x v="2"/>
    <x v="583"/>
    <x v="355"/>
    <x v="3"/>
    <x v="0"/>
    <n v="311"/>
    <x v="1"/>
  </r>
  <r>
    <n v="1980"/>
    <s v="Lorenzo Rivera"/>
    <x v="0"/>
    <s v="Male"/>
    <n v="51"/>
    <x v="1"/>
    <x v="81"/>
    <x v="2"/>
    <x v="2"/>
    <x v="1"/>
    <n v="1899"/>
    <x v="2"/>
  </r>
  <r>
    <n v="1981"/>
    <s v="Samuel Figueroa"/>
    <x v="1"/>
    <s v="Male"/>
    <n v="44"/>
    <x v="2"/>
    <x v="839"/>
    <x v="356"/>
    <x v="5"/>
    <x v="0"/>
    <n v="241"/>
    <x v="1"/>
  </r>
  <r>
    <n v="1982"/>
    <s v="Annaliza Cueto"/>
    <x v="3"/>
    <s v="Female"/>
    <n v="51"/>
    <x v="1"/>
    <x v="840"/>
    <x v="2"/>
    <x v="2"/>
    <x v="1"/>
    <n v="2356"/>
    <x v="6"/>
  </r>
  <r>
    <n v="1983"/>
    <s v="Manuel Gonzales Hernandez"/>
    <x v="0"/>
    <s v="Other"/>
    <n v="46"/>
    <x v="2"/>
    <x v="0"/>
    <x v="357"/>
    <x v="5"/>
    <x v="0"/>
    <n v="583"/>
    <x v="5"/>
  </r>
  <r>
    <n v="1984"/>
    <s v="Leonard Ang"/>
    <x v="5"/>
    <s v="Male"/>
    <n v="26"/>
    <x v="3"/>
    <x v="841"/>
    <x v="2"/>
    <x v="2"/>
    <x v="1"/>
    <n v="1192"/>
    <x v="4"/>
  </r>
  <r>
    <n v="1985"/>
    <s v="Celine Hernandez"/>
    <x v="4"/>
    <s v="Female"/>
    <n v="65"/>
    <x v="4"/>
    <x v="842"/>
    <x v="358"/>
    <x v="6"/>
    <x v="0"/>
    <n v="2177"/>
    <x v="2"/>
  </r>
  <r>
    <n v="1986"/>
    <s v="Faith Navarro Macapagal"/>
    <x v="2"/>
    <s v="Female"/>
    <n v="51"/>
    <x v="1"/>
    <x v="423"/>
    <x v="2"/>
    <x v="2"/>
    <x v="1"/>
    <n v="451"/>
    <x v="5"/>
  </r>
  <r>
    <n v="1987"/>
    <s v="Sam Ang Tolentino"/>
    <x v="1"/>
    <s v="Other"/>
    <n v="55"/>
    <x v="1"/>
    <x v="342"/>
    <x v="2"/>
    <x v="2"/>
    <x v="1"/>
    <n v="2334"/>
    <x v="6"/>
  </r>
  <r>
    <n v="1988"/>
    <s v="Morgan Navarro"/>
    <x v="1"/>
    <s v="Other"/>
    <n v="55"/>
    <x v="1"/>
    <x v="843"/>
    <x v="359"/>
    <x v="4"/>
    <x v="0"/>
    <n v="196"/>
    <x v="1"/>
  </r>
  <r>
    <n v="1989"/>
    <s v="Herminia Cruz Dela Cruz"/>
    <x v="5"/>
    <s v="Female"/>
    <n v="49"/>
    <x v="2"/>
    <x v="844"/>
    <x v="360"/>
    <x v="8"/>
    <x v="0"/>
    <n v="353"/>
    <x v="1"/>
  </r>
  <r>
    <n v="1990"/>
    <s v="Imelda Estrada"/>
    <x v="1"/>
    <s v="Female"/>
    <n v="40"/>
    <x v="2"/>
    <x v="845"/>
    <x v="2"/>
    <x v="2"/>
    <x v="1"/>
    <n v="1602"/>
    <x v="0"/>
  </r>
  <r>
    <n v="1991"/>
    <s v="Estrella Ramos Delos Reyes"/>
    <x v="5"/>
    <s v="Female"/>
    <n v="23"/>
    <x v="3"/>
    <x v="846"/>
    <x v="2"/>
    <x v="2"/>
    <x v="1"/>
    <n v="964"/>
    <x v="7"/>
  </r>
  <r>
    <n v="1992"/>
    <s v="Pilar Santiago"/>
    <x v="0"/>
    <s v="Other"/>
    <n v="54"/>
    <x v="1"/>
    <x v="847"/>
    <x v="2"/>
    <x v="2"/>
    <x v="1"/>
    <n v="1649"/>
    <x v="0"/>
  </r>
  <r>
    <n v="1993"/>
    <s v="Rica Aguilar Rivera"/>
    <x v="5"/>
    <s v="Female"/>
    <n v="23"/>
    <x v="3"/>
    <x v="848"/>
    <x v="361"/>
    <x v="4"/>
    <x v="0"/>
    <n v="971"/>
    <x v="7"/>
  </r>
  <r>
    <n v="1994"/>
    <s v="Feliciano Domingo Vergara"/>
    <x v="1"/>
    <s v="Male"/>
    <n v="25"/>
    <x v="3"/>
    <x v="849"/>
    <x v="331"/>
    <x v="7"/>
    <x v="0"/>
    <n v="480"/>
    <x v="5"/>
  </r>
  <r>
    <n v="1995"/>
    <s v="Miguel Lopez Miranda"/>
    <x v="5"/>
    <s v="Other"/>
    <n v="30"/>
    <x v="0"/>
    <x v="850"/>
    <x v="362"/>
    <x v="1"/>
    <x v="0"/>
    <n v="734"/>
    <x v="7"/>
  </r>
  <r>
    <n v="1996"/>
    <s v="Annaliza Lim Fajardo"/>
    <x v="4"/>
    <s v="Female"/>
    <n v="58"/>
    <x v="1"/>
    <x v="851"/>
    <x v="363"/>
    <x v="6"/>
    <x v="0"/>
    <n v="1326"/>
    <x v="4"/>
  </r>
  <r>
    <n v="1997"/>
    <s v="Diosdado Mendoza Tan"/>
    <x v="1"/>
    <s v="Male"/>
    <n v="44"/>
    <x v="2"/>
    <x v="852"/>
    <x v="2"/>
    <x v="2"/>
    <x v="1"/>
    <n v="1725"/>
    <x v="0"/>
  </r>
  <r>
    <n v="1998"/>
    <s v="Morgan Soriano Soriano"/>
    <x v="4"/>
    <s v="Other"/>
    <n v="45"/>
    <x v="2"/>
    <x v="853"/>
    <x v="2"/>
    <x v="2"/>
    <x v="1"/>
    <n v="2661"/>
    <x v="3"/>
  </r>
  <r>
    <n v="1999"/>
    <s v="Rowena Wong"/>
    <x v="0"/>
    <s v="Other"/>
    <n v="27"/>
    <x v="3"/>
    <x v="224"/>
    <x v="260"/>
    <x v="3"/>
    <x v="0"/>
    <n v="675"/>
    <x v="5"/>
  </r>
  <r>
    <n v="2000"/>
    <s v="Belinda Fernandez Chan"/>
    <x v="2"/>
    <s v="Female"/>
    <n v="45"/>
    <x v="2"/>
    <x v="854"/>
    <x v="364"/>
    <x v="5"/>
    <x v="0"/>
    <n v="1739"/>
    <x v="0"/>
  </r>
  <r>
    <n v="2001"/>
    <s v="Patricia Lazo"/>
    <x v="5"/>
    <s v="Female"/>
    <n v="57"/>
    <x v="1"/>
    <x v="855"/>
    <x v="365"/>
    <x v="7"/>
    <x v="0"/>
    <n v="1575"/>
    <x v="0"/>
  </r>
  <r>
    <n v="2002"/>
    <s v="Ivan Aguilar Suarez"/>
    <x v="5"/>
    <s v="Male"/>
    <n v="50"/>
    <x v="1"/>
    <x v="367"/>
    <x v="2"/>
    <x v="2"/>
    <x v="1"/>
    <n v="2342"/>
    <x v="6"/>
  </r>
  <r>
    <n v="2003"/>
    <s v="Danilo Navarro Yap"/>
    <x v="3"/>
    <s v="Male"/>
    <n v="35"/>
    <x v="0"/>
    <x v="856"/>
    <x v="2"/>
    <x v="2"/>
    <x v="1"/>
    <n v="1841"/>
    <x v="2"/>
  </r>
  <r>
    <n v="2004"/>
    <s v="Gregorio Pascual Macapagal"/>
    <x v="2"/>
    <s v="Male"/>
    <n v="25"/>
    <x v="3"/>
    <x v="857"/>
    <x v="2"/>
    <x v="2"/>
    <x v="1"/>
    <n v="2108"/>
    <x v="2"/>
  </r>
  <r>
    <n v="2005"/>
    <s v="Crisanto Torres Umali"/>
    <x v="0"/>
    <s v="Male"/>
    <n v="21"/>
    <x v="3"/>
    <x v="858"/>
    <x v="2"/>
    <x v="2"/>
    <x v="1"/>
    <n v="1355"/>
    <x v="4"/>
  </r>
  <r>
    <n v="2006"/>
    <s v="Harold Uy"/>
    <x v="4"/>
    <s v="Male"/>
    <n v="21"/>
    <x v="3"/>
    <x v="859"/>
    <x v="2"/>
    <x v="2"/>
    <x v="1"/>
    <n v="1351"/>
    <x v="4"/>
  </r>
  <r>
    <n v="2007"/>
    <s v="Cristina Natividad"/>
    <x v="5"/>
    <s v="Other"/>
    <n v="54"/>
    <x v="1"/>
    <x v="574"/>
    <x v="2"/>
    <x v="2"/>
    <x v="1"/>
    <n v="290"/>
    <x v="1"/>
  </r>
  <r>
    <n v="2008"/>
    <s v="Pilar Crisostomo"/>
    <x v="5"/>
    <s v="Other"/>
    <n v="54"/>
    <x v="1"/>
    <x v="860"/>
    <x v="103"/>
    <x v="3"/>
    <x v="0"/>
    <n v="1593"/>
    <x v="0"/>
  </r>
  <r>
    <n v="2009"/>
    <s v="Joselito Pascual Chua"/>
    <x v="4"/>
    <s v="Male"/>
    <n v="44"/>
    <x v="2"/>
    <x v="861"/>
    <x v="255"/>
    <x v="3"/>
    <x v="0"/>
    <n v="1113"/>
    <x v="4"/>
  </r>
  <r>
    <n v="2010"/>
    <s v="Lea Ocampo"/>
    <x v="4"/>
    <s v="Female"/>
    <n v="57"/>
    <x v="1"/>
    <x v="862"/>
    <x v="296"/>
    <x v="4"/>
    <x v="0"/>
    <n v="714"/>
    <x v="5"/>
  </r>
  <r>
    <n v="2011"/>
    <s v="Taylor Gonzales Santos"/>
    <x v="2"/>
    <s v="Other"/>
    <n v="61"/>
    <x v="4"/>
    <x v="316"/>
    <x v="366"/>
    <x v="6"/>
    <x v="0"/>
    <n v="1032"/>
    <x v="7"/>
  </r>
  <r>
    <n v="2012"/>
    <s v="Florinda Ang Bondoc"/>
    <x v="4"/>
    <s v="Female"/>
    <n v="48"/>
    <x v="2"/>
    <x v="863"/>
    <x v="152"/>
    <x v="8"/>
    <x v="0"/>
    <n v="631"/>
    <x v="5"/>
  </r>
  <r>
    <n v="2013"/>
    <s v="Ronaldo Gonzales Sia"/>
    <x v="1"/>
    <s v="Other"/>
    <n v="37"/>
    <x v="0"/>
    <x v="864"/>
    <x v="2"/>
    <x v="2"/>
    <x v="1"/>
    <n v="2165"/>
    <x v="2"/>
  </r>
  <r>
    <n v="2014"/>
    <s v="Herminia Sy Ramirez"/>
    <x v="0"/>
    <s v="Female"/>
    <n v="49"/>
    <x v="2"/>
    <x v="865"/>
    <x v="2"/>
    <x v="2"/>
    <x v="1"/>
    <n v="403"/>
    <x v="5"/>
  </r>
  <r>
    <n v="2015"/>
    <s v="Ana Cruz Del Rosario"/>
    <x v="1"/>
    <s v="Other"/>
    <n v="33"/>
    <x v="0"/>
    <x v="866"/>
    <x v="367"/>
    <x v="0"/>
    <x v="0"/>
    <n v="254"/>
    <x v="1"/>
  </r>
  <r>
    <n v="2016"/>
    <s v="Annaliza Ang Camacho"/>
    <x v="1"/>
    <s v="Female"/>
    <n v="51"/>
    <x v="1"/>
    <x v="867"/>
    <x v="2"/>
    <x v="2"/>
    <x v="1"/>
    <n v="367"/>
    <x v="5"/>
  </r>
  <r>
    <n v="2017"/>
    <s v="Arnel Mendoza Flores"/>
    <x v="2"/>
    <s v="Other"/>
    <n v="41"/>
    <x v="2"/>
    <x v="868"/>
    <x v="2"/>
    <x v="2"/>
    <x v="1"/>
    <n v="1454"/>
    <x v="4"/>
  </r>
  <r>
    <n v="2018"/>
    <s v="Aileen Perez"/>
    <x v="2"/>
    <s v="Female"/>
    <n v="60"/>
    <x v="4"/>
    <x v="869"/>
    <x v="368"/>
    <x v="6"/>
    <x v="0"/>
    <n v="790"/>
    <x v="7"/>
  </r>
  <r>
    <n v="2019"/>
    <s v="Teresita Gonzales Trinidad"/>
    <x v="4"/>
    <s v="Female"/>
    <n v="52"/>
    <x v="1"/>
    <x v="842"/>
    <x v="2"/>
    <x v="2"/>
    <x v="1"/>
    <n v="2753"/>
    <x v="3"/>
  </r>
  <r>
    <n v="2020"/>
    <s v="Elena Lazo"/>
    <x v="4"/>
    <s v="Other"/>
    <n v="37"/>
    <x v="0"/>
    <x v="870"/>
    <x v="326"/>
    <x v="5"/>
    <x v="0"/>
    <n v="195"/>
    <x v="1"/>
  </r>
  <r>
    <n v="2021"/>
    <s v="Lourdes Valencia"/>
    <x v="1"/>
    <s v="Other"/>
    <n v="32"/>
    <x v="0"/>
    <x v="871"/>
    <x v="2"/>
    <x v="2"/>
    <x v="1"/>
    <n v="2319"/>
    <x v="6"/>
  </r>
  <r>
    <n v="2022"/>
    <s v="Erlinda Castro Estrada"/>
    <x v="1"/>
    <s v="Female"/>
    <n v="23"/>
    <x v="3"/>
    <x v="872"/>
    <x v="2"/>
    <x v="2"/>
    <x v="1"/>
    <n v="1970"/>
    <x v="2"/>
  </r>
  <r>
    <n v="2023"/>
    <s v="Pacita Bautista Buenaventura"/>
    <x v="1"/>
    <s v="Female"/>
    <n v="47"/>
    <x v="2"/>
    <x v="873"/>
    <x v="369"/>
    <x v="4"/>
    <x v="0"/>
    <n v="738"/>
    <x v="7"/>
  </r>
  <r>
    <n v="2024"/>
    <s v="Rafael Bautista Uy"/>
    <x v="0"/>
    <s v="Male"/>
    <n v="40"/>
    <x v="2"/>
    <x v="874"/>
    <x v="370"/>
    <x v="4"/>
    <x v="0"/>
    <n v="1239"/>
    <x v="4"/>
  </r>
  <r>
    <n v="2025"/>
    <s v="Lourdes Ang Lacson"/>
    <x v="1"/>
    <s v="Female"/>
    <n v="41"/>
    <x v="2"/>
    <x v="875"/>
    <x v="371"/>
    <x v="3"/>
    <x v="0"/>
    <n v="1237"/>
    <x v="4"/>
  </r>
  <r>
    <n v="2026"/>
    <s v="Belinda Santiago Mangubat"/>
    <x v="4"/>
    <s v="Female"/>
    <n v="27"/>
    <x v="3"/>
    <x v="380"/>
    <x v="372"/>
    <x v="1"/>
    <x v="0"/>
    <n v="231"/>
    <x v="1"/>
  </r>
  <r>
    <n v="2027"/>
    <s v="Lorenzo Mendoza Narvasa"/>
    <x v="5"/>
    <s v="Male"/>
    <n v="44"/>
    <x v="2"/>
    <x v="876"/>
    <x v="2"/>
    <x v="2"/>
    <x v="1"/>
    <n v="2116"/>
    <x v="2"/>
  </r>
  <r>
    <n v="2028"/>
    <s v="Miguel Diaz"/>
    <x v="1"/>
    <s v="Other"/>
    <n v="28"/>
    <x v="3"/>
    <x v="511"/>
    <x v="2"/>
    <x v="2"/>
    <x v="1"/>
    <n v="2923"/>
    <x v="8"/>
  </r>
  <r>
    <n v="2029"/>
    <s v="Maribel Fajardo"/>
    <x v="3"/>
    <s v="Female"/>
    <n v="55"/>
    <x v="1"/>
    <x v="877"/>
    <x v="373"/>
    <x v="5"/>
    <x v="0"/>
    <n v="461"/>
    <x v="5"/>
  </r>
  <r>
    <n v="2030"/>
    <s v="Sue Manalang"/>
    <x v="1"/>
    <s v="Female"/>
    <n v="56"/>
    <x v="1"/>
    <x v="878"/>
    <x v="2"/>
    <x v="2"/>
    <x v="1"/>
    <n v="2057"/>
    <x v="2"/>
  </r>
  <r>
    <n v="2031"/>
    <s v="Teresa Bagtas"/>
    <x v="4"/>
    <s v="Other"/>
    <n v="48"/>
    <x v="2"/>
    <x v="879"/>
    <x v="2"/>
    <x v="2"/>
    <x v="1"/>
    <n v="2814"/>
    <x v="3"/>
  </r>
  <r>
    <n v="2032"/>
    <s v="Leonora San Pedro"/>
    <x v="1"/>
    <s v="Female"/>
    <n v="29"/>
    <x v="3"/>
    <x v="187"/>
    <x v="374"/>
    <x v="0"/>
    <x v="0"/>
    <n v="1249"/>
    <x v="4"/>
  </r>
  <r>
    <n v="2033"/>
    <s v="Michael Vergara"/>
    <x v="0"/>
    <s v="Male"/>
    <n v="53"/>
    <x v="1"/>
    <x v="880"/>
    <x v="375"/>
    <x v="5"/>
    <x v="0"/>
    <n v="2176"/>
    <x v="2"/>
  </r>
  <r>
    <n v="2034"/>
    <s v="Ana Domingo Cueto"/>
    <x v="1"/>
    <s v="Female"/>
    <n v="57"/>
    <x v="1"/>
    <x v="881"/>
    <x v="2"/>
    <x v="2"/>
    <x v="1"/>
    <n v="2199"/>
    <x v="6"/>
  </r>
  <r>
    <n v="2035"/>
    <s v="Rosalinda Fernandez Chua"/>
    <x v="4"/>
    <s v="Female"/>
    <n v="38"/>
    <x v="0"/>
    <x v="882"/>
    <x v="376"/>
    <x v="0"/>
    <x v="0"/>
    <n v="319"/>
    <x v="1"/>
  </r>
  <r>
    <n v="2036"/>
    <s v="Isabel Bayani"/>
    <x v="3"/>
    <s v="Female"/>
    <n v="29"/>
    <x v="3"/>
    <x v="883"/>
    <x v="2"/>
    <x v="2"/>
    <x v="1"/>
    <n v="1984"/>
    <x v="2"/>
  </r>
  <r>
    <n v="2037"/>
    <s v="Patricia Domingo Dalisay"/>
    <x v="3"/>
    <s v="Female"/>
    <n v="28"/>
    <x v="3"/>
    <x v="884"/>
    <x v="2"/>
    <x v="2"/>
    <x v="1"/>
    <n v="3086"/>
    <x v="8"/>
  </r>
  <r>
    <n v="2038"/>
    <s v="Jose Aguilar Crisostomo"/>
    <x v="5"/>
    <s v="Male"/>
    <n v="39"/>
    <x v="0"/>
    <x v="885"/>
    <x v="2"/>
    <x v="2"/>
    <x v="1"/>
    <n v="1762"/>
    <x v="0"/>
  </r>
  <r>
    <n v="2039"/>
    <s v="Lourdes Lopez"/>
    <x v="1"/>
    <s v="Other"/>
    <n v="55"/>
    <x v="1"/>
    <x v="886"/>
    <x v="2"/>
    <x v="2"/>
    <x v="1"/>
    <n v="399"/>
    <x v="5"/>
  </r>
  <r>
    <n v="2040"/>
    <s v="Rowena Santiago"/>
    <x v="5"/>
    <s v="Other"/>
    <n v="37"/>
    <x v="0"/>
    <x v="887"/>
    <x v="2"/>
    <x v="2"/>
    <x v="1"/>
    <n v="526"/>
    <x v="5"/>
  </r>
  <r>
    <n v="2041"/>
    <s v="Tina Sy Domingo"/>
    <x v="1"/>
    <s v="Female"/>
    <n v="58"/>
    <x v="1"/>
    <x v="888"/>
    <x v="2"/>
    <x v="2"/>
    <x v="1"/>
    <n v="512"/>
    <x v="5"/>
  </r>
  <r>
    <n v="2042"/>
    <s v="Jose Gonzales Diaz"/>
    <x v="4"/>
    <s v="Other"/>
    <n v="26"/>
    <x v="3"/>
    <x v="889"/>
    <x v="377"/>
    <x v="3"/>
    <x v="0"/>
    <n v="279"/>
    <x v="1"/>
  </r>
  <r>
    <n v="2043"/>
    <s v="Leonora Sy Aquino"/>
    <x v="5"/>
    <s v="Female"/>
    <n v="31"/>
    <x v="0"/>
    <x v="890"/>
    <x v="2"/>
    <x v="2"/>
    <x v="1"/>
    <n v="2364"/>
    <x v="6"/>
  </r>
  <r>
    <n v="2044"/>
    <s v="Avery Dela Torre"/>
    <x v="4"/>
    <s v="Other"/>
    <n v="46"/>
    <x v="2"/>
    <x v="891"/>
    <x v="2"/>
    <x v="2"/>
    <x v="1"/>
    <n v="2681"/>
    <x v="3"/>
  </r>
  <r>
    <n v="2045"/>
    <s v="Elena Garcia Flores"/>
    <x v="1"/>
    <s v="Female"/>
    <n v="45"/>
    <x v="2"/>
    <x v="892"/>
    <x v="378"/>
    <x v="1"/>
    <x v="0"/>
    <n v="145"/>
    <x v="1"/>
  </r>
  <r>
    <n v="2046"/>
    <s v="Taylor Guerrero"/>
    <x v="4"/>
    <s v="Other"/>
    <n v="21"/>
    <x v="3"/>
    <x v="290"/>
    <x v="2"/>
    <x v="2"/>
    <x v="1"/>
    <n v="3053"/>
    <x v="8"/>
  </r>
  <r>
    <n v="2047"/>
    <s v="Maricel Manalo"/>
    <x v="4"/>
    <s v="Other"/>
    <n v="33"/>
    <x v="0"/>
    <x v="893"/>
    <x v="2"/>
    <x v="2"/>
    <x v="1"/>
    <n v="2521"/>
    <x v="6"/>
  </r>
  <r>
    <n v="2048"/>
    <s v="Ulysses Reyes Valencia"/>
    <x v="4"/>
    <s v="Male"/>
    <n v="36"/>
    <x v="0"/>
    <x v="894"/>
    <x v="2"/>
    <x v="2"/>
    <x v="1"/>
    <n v="2863"/>
    <x v="3"/>
  </r>
  <r>
    <n v="2049"/>
    <s v="Yvonne Ramirez Mercado"/>
    <x v="2"/>
    <s v="Female"/>
    <n v="39"/>
    <x v="0"/>
    <x v="76"/>
    <x v="2"/>
    <x v="2"/>
    <x v="1"/>
    <n v="2671"/>
    <x v="3"/>
  </r>
  <r>
    <n v="2050"/>
    <s v="Nicanor Torres Guevarra"/>
    <x v="1"/>
    <s v="Male"/>
    <n v="30"/>
    <x v="0"/>
    <x v="895"/>
    <x v="2"/>
    <x v="2"/>
    <x v="1"/>
    <n v="1644"/>
    <x v="0"/>
  </r>
  <r>
    <n v="2051"/>
    <s v="Carlos Diaz Crisostomo"/>
    <x v="0"/>
    <s v="Other"/>
    <n v="35"/>
    <x v="0"/>
    <x v="896"/>
    <x v="2"/>
    <x v="2"/>
    <x v="1"/>
    <n v="2675"/>
    <x v="3"/>
  </r>
  <r>
    <n v="2052"/>
    <s v="Jose Gonzales Estrada"/>
    <x v="1"/>
    <s v="Other"/>
    <n v="26"/>
    <x v="3"/>
    <x v="609"/>
    <x v="2"/>
    <x v="2"/>
    <x v="1"/>
    <n v="2914"/>
    <x v="3"/>
  </r>
  <r>
    <n v="2053"/>
    <s v="Lilia Ang Lopez"/>
    <x v="5"/>
    <s v="Female"/>
    <n v="40"/>
    <x v="2"/>
    <x v="736"/>
    <x v="2"/>
    <x v="2"/>
    <x v="1"/>
    <n v="532"/>
    <x v="5"/>
  </r>
  <r>
    <n v="2054"/>
    <s v="Cameron Fernandez Corpuz"/>
    <x v="5"/>
    <s v="Other"/>
    <n v="25"/>
    <x v="3"/>
    <x v="897"/>
    <x v="2"/>
    <x v="2"/>
    <x v="1"/>
    <n v="3083"/>
    <x v="8"/>
  </r>
  <r>
    <n v="2055"/>
    <s v="Fernando Ramos Mercado"/>
    <x v="4"/>
    <s v="Other"/>
    <n v="51"/>
    <x v="1"/>
    <x v="266"/>
    <x v="379"/>
    <x v="4"/>
    <x v="0"/>
    <n v="1840"/>
    <x v="2"/>
  </r>
  <r>
    <n v="2056"/>
    <s v="Paolo Quiambao"/>
    <x v="1"/>
    <s v="Male"/>
    <n v="41"/>
    <x v="2"/>
    <x v="898"/>
    <x v="2"/>
    <x v="2"/>
    <x v="1"/>
    <n v="1067"/>
    <x v="7"/>
  </r>
  <r>
    <n v="2057"/>
    <s v="Isabel Ramirez Fajardo"/>
    <x v="4"/>
    <s v="Other"/>
    <n v="36"/>
    <x v="0"/>
    <x v="580"/>
    <x v="2"/>
    <x v="2"/>
    <x v="1"/>
    <n v="1522"/>
    <x v="0"/>
  </r>
  <r>
    <n v="2058"/>
    <s v="Nicanor Santiago Jimenez"/>
    <x v="4"/>
    <s v="Male"/>
    <n v="47"/>
    <x v="2"/>
    <x v="899"/>
    <x v="2"/>
    <x v="2"/>
    <x v="1"/>
    <n v="933"/>
    <x v="7"/>
  </r>
  <r>
    <n v="2059"/>
    <s v="Avery Vega Gonzales"/>
    <x v="1"/>
    <s v="Other"/>
    <n v="22"/>
    <x v="3"/>
    <x v="900"/>
    <x v="2"/>
    <x v="2"/>
    <x v="1"/>
    <n v="1607"/>
    <x v="0"/>
  </r>
  <r>
    <n v="2060"/>
    <s v="Rowena Ramirez Camacho"/>
    <x v="4"/>
    <s v="Other"/>
    <n v="29"/>
    <x v="3"/>
    <x v="901"/>
    <x v="2"/>
    <x v="2"/>
    <x v="1"/>
    <n v="1884"/>
    <x v="2"/>
  </r>
  <r>
    <n v="2061"/>
    <s v="Aileen Mendoza Ignacio"/>
    <x v="1"/>
    <s v="Female"/>
    <n v="30"/>
    <x v="0"/>
    <x v="902"/>
    <x v="2"/>
    <x v="2"/>
    <x v="1"/>
    <n v="1545"/>
    <x v="0"/>
  </r>
  <r>
    <n v="2062"/>
    <s v="Gloria Lim Reyes"/>
    <x v="5"/>
    <s v="Female"/>
    <n v="31"/>
    <x v="0"/>
    <x v="903"/>
    <x v="380"/>
    <x v="0"/>
    <x v="0"/>
    <n v="668"/>
    <x v="5"/>
  </r>
  <r>
    <n v="2063"/>
    <s v="Faith Diaz Tuazon"/>
    <x v="1"/>
    <s v="Female"/>
    <n v="29"/>
    <x v="3"/>
    <x v="904"/>
    <x v="2"/>
    <x v="2"/>
    <x v="1"/>
    <n v="931"/>
    <x v="7"/>
  </r>
  <r>
    <n v="2064"/>
    <s v="Antonio Quiambao"/>
    <x v="4"/>
    <s v="Male"/>
    <n v="21"/>
    <x v="3"/>
    <x v="905"/>
    <x v="381"/>
    <x v="3"/>
    <x v="0"/>
    <n v="212"/>
    <x v="1"/>
  </r>
  <r>
    <n v="2065"/>
    <s v="Eva Hilario"/>
    <x v="0"/>
    <s v="Female"/>
    <n v="48"/>
    <x v="2"/>
    <x v="906"/>
    <x v="2"/>
    <x v="2"/>
    <x v="1"/>
    <n v="307"/>
    <x v="1"/>
  </r>
  <r>
    <n v="2066"/>
    <s v="Feliciano Wong"/>
    <x v="4"/>
    <s v="Male"/>
    <n v="40"/>
    <x v="2"/>
    <x v="907"/>
    <x v="2"/>
    <x v="2"/>
    <x v="1"/>
    <n v="2160"/>
    <x v="2"/>
  </r>
  <r>
    <n v="2067"/>
    <s v="Riley Ocampo Tan"/>
    <x v="0"/>
    <s v="Other"/>
    <n v="29"/>
    <x v="3"/>
    <x v="17"/>
    <x v="2"/>
    <x v="2"/>
    <x v="1"/>
    <n v="2224"/>
    <x v="6"/>
  </r>
  <r>
    <n v="2068"/>
    <s v="Leonard Santiago Pascual"/>
    <x v="2"/>
    <s v="Male"/>
    <n v="41"/>
    <x v="2"/>
    <x v="908"/>
    <x v="2"/>
    <x v="2"/>
    <x v="1"/>
    <n v="418"/>
    <x v="5"/>
  </r>
  <r>
    <n v="2069"/>
    <s v="Diana Ocampo Aguilar"/>
    <x v="5"/>
    <s v="Female"/>
    <n v="27"/>
    <x v="3"/>
    <x v="786"/>
    <x v="382"/>
    <x v="0"/>
    <x v="0"/>
    <n v="1464"/>
    <x v="0"/>
  </r>
  <r>
    <n v="2070"/>
    <s v="Carmen Cruz Sy"/>
    <x v="1"/>
    <s v="Female"/>
    <n v="40"/>
    <x v="2"/>
    <x v="909"/>
    <x v="2"/>
    <x v="2"/>
    <x v="1"/>
    <n v="2323"/>
    <x v="6"/>
  </r>
  <r>
    <n v="2071"/>
    <s v="Efren Co"/>
    <x v="0"/>
    <s v="Other"/>
    <n v="23"/>
    <x v="3"/>
    <x v="910"/>
    <x v="383"/>
    <x v="0"/>
    <x v="0"/>
    <n v="1354"/>
    <x v="4"/>
  </r>
  <r>
    <n v="2072"/>
    <s v="Lourdes Mendoza Mangubat"/>
    <x v="0"/>
    <s v="Female"/>
    <n v="46"/>
    <x v="2"/>
    <x v="316"/>
    <x v="2"/>
    <x v="2"/>
    <x v="1"/>
    <n v="1634"/>
    <x v="0"/>
  </r>
  <r>
    <n v="2073"/>
    <s v="Elena Ong"/>
    <x v="0"/>
    <s v="Other"/>
    <n v="22"/>
    <x v="3"/>
    <x v="911"/>
    <x v="2"/>
    <x v="2"/>
    <x v="1"/>
    <n v="686"/>
    <x v="5"/>
  </r>
  <r>
    <n v="2074"/>
    <s v="Maricel Flores Miranda"/>
    <x v="1"/>
    <s v="Female"/>
    <n v="50"/>
    <x v="1"/>
    <x v="912"/>
    <x v="2"/>
    <x v="2"/>
    <x v="1"/>
    <n v="2769"/>
    <x v="3"/>
  </r>
  <r>
    <n v="2075"/>
    <s v="Bong Diaz Corpuz"/>
    <x v="2"/>
    <s v="Male"/>
    <n v="31"/>
    <x v="0"/>
    <x v="913"/>
    <x v="2"/>
    <x v="2"/>
    <x v="1"/>
    <n v="1037"/>
    <x v="7"/>
  </r>
  <r>
    <n v="2076"/>
    <s v="Bea Garcia"/>
    <x v="5"/>
    <s v="Female"/>
    <n v="39"/>
    <x v="0"/>
    <x v="914"/>
    <x v="2"/>
    <x v="2"/>
    <x v="1"/>
    <n v="1616"/>
    <x v="0"/>
  </r>
  <r>
    <n v="2077"/>
    <s v="Ernesto Lozano"/>
    <x v="5"/>
    <s v="Male"/>
    <n v="34"/>
    <x v="0"/>
    <x v="748"/>
    <x v="2"/>
    <x v="2"/>
    <x v="1"/>
    <n v="591"/>
    <x v="5"/>
  </r>
  <r>
    <n v="2078"/>
    <s v="Casey Navarro Zamora"/>
    <x v="0"/>
    <s v="Other"/>
    <n v="30"/>
    <x v="0"/>
    <x v="479"/>
    <x v="2"/>
    <x v="2"/>
    <x v="1"/>
    <n v="1824"/>
    <x v="0"/>
  </r>
  <r>
    <n v="2079"/>
    <s v="Mylene Go Dela Cruz"/>
    <x v="1"/>
    <s v="Female"/>
    <n v="25"/>
    <x v="3"/>
    <x v="464"/>
    <x v="2"/>
    <x v="2"/>
    <x v="1"/>
    <n v="1944"/>
    <x v="2"/>
  </r>
  <r>
    <n v="2080"/>
    <s v="Crisanto Castro"/>
    <x v="4"/>
    <s v="Male"/>
    <n v="37"/>
    <x v="0"/>
    <x v="915"/>
    <x v="2"/>
    <x v="2"/>
    <x v="1"/>
    <n v="1281"/>
    <x v="4"/>
  </r>
  <r>
    <n v="2081"/>
    <s v="Carlos Rivera"/>
    <x v="0"/>
    <s v="Male"/>
    <n v="32"/>
    <x v="0"/>
    <x v="916"/>
    <x v="2"/>
    <x v="9"/>
    <x v="1"/>
    <n v="1219"/>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C5C13D-C943-423D-A979-B6AE677EF4A0}" name="DepartmentTurnover" cacheId="3"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8" rowHeaderCaption="Department" colHeaderCaption="">
  <location ref="B19:C26" firstHeaderRow="1" firstDataRow="2" firstDataCol="1"/>
  <pivotFields count="18">
    <pivotField dataField="1" showAll="0"/>
    <pivotField showAll="0"/>
    <pivotField axis="axisRow" showAll="0" sortType="descending">
      <items count="7">
        <item x="1"/>
        <item x="3"/>
        <item x="5"/>
        <item x="4"/>
        <item x="0"/>
        <item x="2"/>
        <item t="default"/>
      </items>
      <autoSortScope>
        <pivotArea dataOnly="0" outline="0" fieldPosition="0">
          <references count="2">
            <reference field="4294967294" count="1" selected="0">
              <x v="0"/>
            </reference>
            <reference field="9" count="1" selected="0">
              <x v="1"/>
            </reference>
          </references>
        </pivotArea>
      </autoSortScope>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h="1"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2"/>
  </rowFields>
  <rowItems count="6">
    <i>
      <x/>
    </i>
    <i>
      <x v="3"/>
    </i>
    <i>
      <x v="4"/>
    </i>
    <i>
      <x v="2"/>
    </i>
    <i>
      <x v="5"/>
    </i>
    <i>
      <x v="1"/>
    </i>
  </rowItems>
  <colFields count="1">
    <field x="9"/>
  </colFields>
  <colItems count="1">
    <i>
      <x v="1"/>
    </i>
  </colItems>
  <dataFields count="1">
    <dataField name="Count of Exits per" fld="0" subtotal="count" baseField="2" baseItem="0"/>
  </dataFields>
  <formats count="4">
    <format dxfId="23">
      <pivotArea type="all" dataOnly="0" outline="0" fieldPosition="0"/>
    </format>
    <format dxfId="22">
      <pivotArea outline="0" collapsedLevelsAreSubtotals="1" fieldPosition="0"/>
    </format>
    <format dxfId="21">
      <pivotArea field="9" type="button" dataOnly="0" labelOnly="1" outline="0" axis="axisCol" fieldPosition="0"/>
    </format>
    <format dxfId="20">
      <pivotArea dataOnly="0" labelOnly="1" fieldPosition="0">
        <references count="1">
          <reference field="9" count="0"/>
        </references>
      </pivotArea>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Employee Count" fld="0" subtotal="count" baseField="0" baseItem="0"/>
  </dataFields>
  <formats count="6">
    <format dxfId="29">
      <pivotArea type="all" dataOnly="0" outline="0" fieldPosition="0"/>
    </format>
    <format dxfId="28">
      <pivotArea outline="0" collapsedLevelsAreSubtotals="1" fieldPosition="0"/>
    </format>
    <format dxfId="27">
      <pivotArea dataOnly="0" labelOnly="1" outline="0" axis="axisValues" fieldPosition="0"/>
    </format>
    <format dxfId="26">
      <pivotArea dataOnly="0" labelOnly="1" outline="0" axis="axisValues" fieldPosition="0"/>
    </format>
    <format dxfId="25">
      <pivotArea outline="0" collapsedLevelsAreSubtotals="1" fieldPosition="0"/>
    </format>
    <format dxfId="2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022E71-680F-4FE8-86C7-B58976AA7303}" name="ActiveByTenure" cacheId="3"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 rowHeaderCaption="Tenure (years)" colHeaderCaption="">
  <location ref="AF12:AG23" firstHeaderRow="1" firstDataRow="2"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x="1"/>
        <item h="1"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1"/>
  </rowFields>
  <rowItems count="10">
    <i>
      <x/>
    </i>
    <i>
      <x v="1"/>
    </i>
    <i>
      <x v="2"/>
    </i>
    <i>
      <x v="3"/>
    </i>
    <i>
      <x v="4"/>
    </i>
    <i>
      <x v="5"/>
    </i>
    <i>
      <x v="6"/>
    </i>
    <i>
      <x v="7"/>
    </i>
    <i>
      <x v="8"/>
    </i>
    <i t="grand">
      <x/>
    </i>
  </rowItems>
  <colFields count="1">
    <field x="9"/>
  </colFields>
  <colItems count="1">
    <i>
      <x/>
    </i>
  </colItems>
  <dataFields count="1">
    <dataField name="Active Tenure" fld="0" subtotal="count" baseField="11" baseItem="0"/>
  </dataFields>
  <formats count="1">
    <format dxfId="30">
      <pivotArea type="all" dataOnly="0" outline="0"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45CDFC4-762B-4D71-A34A-B6C23C943E9C}" name="ExitedByTenure" cacheId="3"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5" rowHeaderCaption="Tenure (years)" colHeaderCaption="">
  <location ref="AC12:AD20" firstHeaderRow="1" firstDataRow="2"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h="1" x="1"/>
        <item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1"/>
  </rowFields>
  <rowItems count="7">
    <i>
      <x/>
    </i>
    <i>
      <x v="1"/>
    </i>
    <i>
      <x v="2"/>
    </i>
    <i>
      <x v="3"/>
    </i>
    <i>
      <x v="4"/>
    </i>
    <i>
      <x v="5"/>
    </i>
    <i t="grand">
      <x/>
    </i>
  </rowItems>
  <colFields count="1">
    <field x="9"/>
  </colFields>
  <colItems count="1">
    <i>
      <x v="1"/>
    </i>
  </colItems>
  <dataFields count="1">
    <dataField name="Exited Tenure" fld="0" subtotal="count" baseField="11" baseItem="0"/>
  </dataFields>
  <formats count="3">
    <format dxfId="33">
      <pivotArea dataOnly="0" labelOnly="1" fieldPosition="0">
        <references count="1">
          <reference field="9" count="0"/>
        </references>
      </pivotArea>
    </format>
    <format dxfId="32">
      <pivotArea dataOnly="0" labelOnly="1" fieldPosition="0">
        <references count="1">
          <reference field="9" count="0"/>
        </references>
      </pivotArea>
    </format>
    <format dxfId="31">
      <pivotArea type="all" dataOnly="0" outline="0" fieldPosition="0"/>
    </format>
  </formats>
  <chartFormats count="2">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3A928D-8A15-4365-A029-13FAF9CC3BE0}" name="ExitAgeBracket" cacheId="3"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 rowHeaderCaption="Age Bracket" colHeaderCaption="">
  <location ref="AJ4:AL11" firstHeaderRow="1" firstDataRow="2" firstDataCol="1"/>
  <pivotFields count="18">
    <pivotField dataField="1" showAll="0"/>
    <pivotField showAll="0"/>
    <pivotField showAll="0">
      <items count="7">
        <item x="1"/>
        <item x="3"/>
        <item x="5"/>
        <item x="4"/>
        <item x="0"/>
        <item x="2"/>
        <item t="default"/>
      </items>
    </pivotField>
    <pivotField showAll="0"/>
    <pivotField showAll="0"/>
    <pivotField axis="axisRow" showAll="0">
      <items count="6">
        <item x="3"/>
        <item x="0"/>
        <item x="2"/>
        <item x="1"/>
        <item x="4"/>
        <item t="default"/>
      </items>
    </pivotField>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x="1"/>
        <item x="0"/>
        <item t="default"/>
      </items>
    </pivotField>
    <pivotField showAll="0"/>
    <pivotField showAll="0"/>
    <pivotField showAll="0" defaultSubtotal="0"/>
    <pivotField showAll="0" defaultSubtotal="0"/>
    <pivotField showAll="0" defaultSubtotal="0">
      <items count="10">
        <item x="0"/>
        <item x="1"/>
        <item x="2"/>
        <item x="3"/>
        <item x="4"/>
        <item x="5"/>
        <item x="6"/>
        <item x="7"/>
        <item x="8"/>
        <item x="9"/>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5"/>
  </rowFields>
  <rowItems count="6">
    <i>
      <x/>
    </i>
    <i>
      <x v="1"/>
    </i>
    <i>
      <x v="2"/>
    </i>
    <i>
      <x v="3"/>
    </i>
    <i>
      <x v="4"/>
    </i>
    <i t="grand">
      <x/>
    </i>
  </rowItems>
  <colFields count="1">
    <field x="9"/>
  </colFields>
  <colItems count="2">
    <i>
      <x/>
    </i>
    <i>
      <x v="1"/>
    </i>
  </colItems>
  <dataFields count="1">
    <dataField name="Active vs. Exited" fld="0" subtotal="count" baseField="5" baseItem="0"/>
  </dataFields>
  <formats count="9">
    <format dxfId="42">
      <pivotArea type="origin" dataOnly="0" labelOnly="1" outline="0"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field="9" type="button" dataOnly="0" labelOnly="1" outline="0" axis="axisCol" fieldPosition="0"/>
    </format>
    <format dxfId="37">
      <pivotArea field="5" type="button" dataOnly="0" labelOnly="1" outline="0" axis="axisRow" fieldPosition="0"/>
    </format>
    <format dxfId="36">
      <pivotArea dataOnly="0" labelOnly="1" fieldPosition="0">
        <references count="1">
          <reference field="5" count="0"/>
        </references>
      </pivotArea>
    </format>
    <format dxfId="35">
      <pivotArea dataOnly="0" labelOnly="1" grandRow="1" outline="0" fieldPosition="0"/>
    </format>
    <format dxfId="34">
      <pivotArea dataOnly="0" labelOnly="1"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24E6235-B21D-40A5-81C2-CDC6926FDBE1}" name="NewHiresVsExits" cacheId="3" applyNumberFormats="0" applyBorderFormats="0" applyFontFormats="0" applyPatternFormats="0" applyAlignmentFormats="0" applyWidthHeightFormats="1" dataCaption="Values" updatedVersion="8" minRefreshableVersion="3" colGrandTotals="0" itemPrintTitles="1" createdVersion="8" indent="0" outline="1" outlineData="1" multipleFieldFilters="0" chartFormat="4" rowHeaderCaption="" colHeaderCaption="">
  <location ref="O4:Q46" firstHeaderRow="1" firstDataRow="2"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x="1"/>
        <item x="0"/>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1">
        <item sd="0" x="0"/>
        <item x="1"/>
        <item x="2"/>
        <item x="3"/>
        <item x="4"/>
        <item x="5"/>
        <item x="6"/>
        <item x="7"/>
        <item x="8"/>
        <item sd="0"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2">
    <field x="14"/>
    <field x="13"/>
  </rowFields>
  <rowItems count="41">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i>
      <x v="7"/>
    </i>
    <i r="1">
      <x v="1"/>
    </i>
    <i r="1">
      <x v="2"/>
    </i>
    <i r="1">
      <x v="3"/>
    </i>
    <i r="1">
      <x v="4"/>
    </i>
    <i>
      <x v="8"/>
    </i>
    <i r="1">
      <x v="1"/>
    </i>
    <i r="1">
      <x v="2"/>
    </i>
    <i r="1">
      <x v="3"/>
    </i>
    <i r="1">
      <x v="4"/>
    </i>
    <i t="grand">
      <x/>
    </i>
  </rowItems>
  <colFields count="1">
    <field x="9"/>
  </colFields>
  <colItems count="2">
    <i>
      <x/>
    </i>
    <i>
      <x v="1"/>
    </i>
  </colItems>
  <dataFields count="1">
    <dataField name="New Hires vs. Exits Trend" fld="0" subtotal="count" baseField="9" baseItem="0"/>
  </dataFields>
  <formats count="4">
    <format dxfId="46">
      <pivotArea type="all" dataOnly="0" outline="0" fieldPosition="0"/>
    </format>
    <format dxfId="45">
      <pivotArea type="origin" dataOnly="0" labelOnly="1" outline="0" fieldPosition="0"/>
    </format>
    <format dxfId="44">
      <pivotArea field="9" type="button" dataOnly="0" labelOnly="1" outline="0" axis="axisCol" fieldPosition="0"/>
    </format>
    <format dxfId="43">
      <pivotArea type="topRight" dataOnly="0" labelOnly="1" outline="0" fieldPosition="0"/>
    </format>
  </formats>
  <chartFormats count="2">
    <chartFormat chart="3" format="12" series="1">
      <pivotArea type="data" outline="0" fieldPosition="0">
        <references count="2">
          <reference field="4294967294" count="1" selected="0">
            <x v="0"/>
          </reference>
          <reference field="9" count="1" selected="0">
            <x v="0"/>
          </reference>
        </references>
      </pivotArea>
    </chartFormat>
    <chartFormat chart="3" format="13"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33F08DE-867F-40E7-A175-25B64FB11ACC}" name="ExitBreakdown"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ason">
  <location ref="K4:L13" firstHeaderRow="1" firstDataRow="1"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axis="axisRow" showAll="0" sortType="descending">
      <items count="11">
        <item h="1" x="2"/>
        <item x="0"/>
        <item x="4"/>
        <item x="8"/>
        <item x="1"/>
        <item x="7"/>
        <item x="3"/>
        <item x="6"/>
        <item x="5"/>
        <item h="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8"/>
  </rowFields>
  <rowItems count="9">
    <i>
      <x v="1"/>
    </i>
    <i>
      <x v="8"/>
    </i>
    <i>
      <x v="6"/>
    </i>
    <i>
      <x v="4"/>
    </i>
    <i>
      <x v="7"/>
    </i>
    <i>
      <x v="3"/>
    </i>
    <i>
      <x v="2"/>
    </i>
    <i>
      <x v="5"/>
    </i>
    <i t="grand">
      <x/>
    </i>
  </rowItems>
  <colItems count="1">
    <i/>
  </colItems>
  <dataFields count="1">
    <dataField name="Exit Count" fld="0" subtotal="count" baseField="7" baseItem="1"/>
  </dataFields>
  <formats count="8">
    <format dxfId="54">
      <pivotArea type="all" dataOnly="0" outline="0" fieldPosition="0"/>
    </format>
    <format dxfId="53">
      <pivotArea outline="0" collapsedLevelsAreSubtotals="1" fieldPosition="0"/>
    </format>
    <format dxfId="52">
      <pivotArea field="8" type="button" dataOnly="0" labelOnly="1" outline="0" axis="axisRow" fieldPosition="0"/>
    </format>
    <format dxfId="51">
      <pivotArea dataOnly="0" labelOnly="1" fieldPosition="0">
        <references count="1">
          <reference field="8" count="0"/>
        </references>
      </pivotArea>
    </format>
    <format dxfId="50">
      <pivotArea dataOnly="0" labelOnly="1" grandRow="1" outline="0" fieldPosition="0"/>
    </format>
    <format dxfId="49">
      <pivotArea dataOnly="0" labelOnly="1" outline="0" axis="axisValues" fieldPosition="0"/>
    </format>
    <format dxfId="48">
      <pivotArea field="8" type="button" dataOnly="0" labelOnly="1" outline="0" axis="axisRow" fieldPosition="0"/>
    </format>
    <format dxfId="47">
      <pivotArea dataOnly="0" labelOnly="1" outline="0" axis="axisValues" fieldPosition="0"/>
    </format>
  </formats>
  <chartFormats count="9">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8" count="1" selected="0">
            <x v="1"/>
          </reference>
        </references>
      </pivotArea>
    </chartFormat>
    <chartFormat chart="3" format="20">
      <pivotArea type="data" outline="0" fieldPosition="0">
        <references count="2">
          <reference field="4294967294" count="1" selected="0">
            <x v="0"/>
          </reference>
          <reference field="8" count="1" selected="0">
            <x v="8"/>
          </reference>
        </references>
      </pivotArea>
    </chartFormat>
    <chartFormat chart="3" format="21">
      <pivotArea type="data" outline="0" fieldPosition="0">
        <references count="2">
          <reference field="4294967294" count="1" selected="0">
            <x v="0"/>
          </reference>
          <reference field="8" count="1" selected="0">
            <x v="6"/>
          </reference>
        </references>
      </pivotArea>
    </chartFormat>
    <chartFormat chart="3" format="22">
      <pivotArea type="data" outline="0" fieldPosition="0">
        <references count="2">
          <reference field="4294967294" count="1" selected="0">
            <x v="0"/>
          </reference>
          <reference field="8" count="1" selected="0">
            <x v="4"/>
          </reference>
        </references>
      </pivotArea>
    </chartFormat>
    <chartFormat chart="3" format="23">
      <pivotArea type="data" outline="0" fieldPosition="0">
        <references count="2">
          <reference field="4294967294" count="1" selected="0">
            <x v="0"/>
          </reference>
          <reference field="8" count="1" selected="0">
            <x v="7"/>
          </reference>
        </references>
      </pivotArea>
    </chartFormat>
    <chartFormat chart="3" format="24">
      <pivotArea type="data" outline="0" fieldPosition="0">
        <references count="2">
          <reference field="4294967294" count="1" selected="0">
            <x v="0"/>
          </reference>
          <reference field="8" count="1" selected="0">
            <x v="3"/>
          </reference>
        </references>
      </pivotArea>
    </chartFormat>
    <chartFormat chart="3" format="25">
      <pivotArea type="data" outline="0" fieldPosition="0">
        <references count="2">
          <reference field="4294967294" count="1" selected="0">
            <x v="0"/>
          </reference>
          <reference field="8" count="1" selected="0">
            <x v="2"/>
          </reference>
        </references>
      </pivotArea>
    </chartFormat>
    <chartFormat chart="3" format="26">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Row" showAll="0">
      <items count="3">
        <item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3">
    <i>
      <x/>
    </i>
    <i>
      <x v="1"/>
    </i>
    <i t="grand">
      <x/>
    </i>
  </rowItems>
  <colItems count="1">
    <i/>
  </colItems>
  <dataFields count="1">
    <dataField name="Employee Count" fld="0" subtotal="count" baseField="8" baseItem="0"/>
  </dataFields>
  <formats count="9">
    <format dxfId="63">
      <pivotArea type="all" dataOnly="0" outline="0" fieldPosition="0"/>
    </format>
    <format dxfId="62">
      <pivotArea outline="0" collapsedLevelsAreSubtotals="1" fieldPosition="0"/>
    </format>
    <format dxfId="61">
      <pivotArea field="9" type="button" dataOnly="0" labelOnly="1" outline="0" axis="axisRow" fieldPosition="0"/>
    </format>
    <format dxfId="60">
      <pivotArea dataOnly="0" labelOnly="1" fieldPosition="0">
        <references count="1">
          <reference field="9" count="0"/>
        </references>
      </pivotArea>
    </format>
    <format dxfId="59">
      <pivotArea dataOnly="0" labelOnly="1" grandRow="1" outline="0" fieldPosition="0"/>
    </format>
    <format dxfId="58">
      <pivotArea dataOnly="0" labelOnly="1" outline="0" axis="axisValues" fieldPosition="0"/>
    </format>
    <format dxfId="57">
      <pivotArea dataOnly="0" labelOnly="1" fieldPosition="0">
        <references count="1">
          <reference field="9" count="1">
            <x v="1"/>
          </reference>
        </references>
      </pivotArea>
    </format>
    <format dxfId="56">
      <pivotArea outline="0" collapsedLevelsAreSubtotals="1" fieldPosition="0"/>
    </format>
    <format dxfId="5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E76686-8FDA-4BE1-B129-2E4AE8AD71BF}" name="TenureByStatus"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AC4:AD7" firstHeaderRow="1" firstDataRow="1" firstDataCol="1"/>
  <pivotFields count="18">
    <pivotField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Row" showAll="0">
      <items count="3">
        <item x="1"/>
        <item x="0"/>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3">
    <i>
      <x/>
    </i>
    <i>
      <x v="1"/>
    </i>
    <i t="grand">
      <x/>
    </i>
  </rowItems>
  <colItems count="1">
    <i/>
  </colItems>
  <dataFields count="1">
    <dataField name="Average Tenure (days)" fld="10" subtotal="average" baseField="0" baseItem="0"/>
  </dataFields>
  <formats count="8">
    <format dxfId="71">
      <pivotArea type="all" dataOnly="0" outline="0" fieldPosition="0"/>
    </format>
    <format dxfId="70">
      <pivotArea outline="0" collapsedLevelsAreSubtotals="1" fieldPosition="0"/>
    </format>
    <format dxfId="69">
      <pivotArea dataOnly="0" labelOnly="1" outline="0" axis="axisValues" fieldPosition="0"/>
    </format>
    <format dxfId="68">
      <pivotArea type="all" dataOnly="0" outline="0" fieldPosition="0"/>
    </format>
    <format dxfId="67">
      <pivotArea outline="0" collapsedLevelsAreSubtotals="1" fieldPosition="0"/>
    </format>
    <format dxfId="66">
      <pivotArea dataOnly="0" labelOnly="1" outline="0" axis="axisValues" fieldPosition="0"/>
    </format>
    <format dxfId="65">
      <pivotArea field="9" type="button" dataOnly="0" labelOnly="1" outline="0" axis="axisRow" fieldPosition="0"/>
    </format>
    <format dxfId="6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58270CE-F539-48F2-9973-A4B5723710D2}" sourceName="Department">
  <pivotTables>
    <pivotTable tabId="1" name="TotalEmployee"/>
    <pivotTable tabId="1" name="StatusPivot"/>
    <pivotTable tabId="1" name="ExitBreakdown"/>
    <pivotTable tabId="1" name="TenureByStatus"/>
    <pivotTable tabId="1" name="ActiveByTenure"/>
    <pivotTable tabId="1" name="ExitedByTenure"/>
    <pivotTable tabId="1" name="NewHiresVsExits"/>
    <pivotTable tabId="1" name="ExitAgeBracket"/>
  </pivotTables>
  <data>
    <tabular pivotCacheId="951281545">
      <items count="6">
        <i x="1" s="1"/>
        <i x="3" s="1"/>
        <i x="5" s="1"/>
        <i x="4"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Slicer" xr10:uid="{3E35807C-A3A9-46F8-8241-0C9BA8B7E86C}" cache="Slicer_Department1" caption="Department" columnCount="6" showCaption="0" style="department-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L1082" totalsRowShown="0">
  <autoFilter ref="A1:L1082" xr:uid="{9E57ED8E-AB55-4F15-B64F-2A473A45EC33}">
    <filterColumn colId="6">
      <filters>
        <dateGroupItem year="2018" dateTimeGrouping="year"/>
      </filters>
    </filterColumn>
  </autoFilter>
  <sortState xmlns:xlrd2="http://schemas.microsoft.com/office/spreadsheetml/2017/richdata2" ref="A2:L1082">
    <sortCondition ref="A1:A1082"/>
  </sortState>
  <tableColumns count="12">
    <tableColumn id="1" xr3:uid="{CC36F6D0-F738-4C11-9C02-9F209A902637}" name="Employee ID"/>
    <tableColumn id="2" xr3:uid="{4BA5DBD8-5D39-44EB-A361-B0765692C1AA}" name="Full Name" dataDxfId="19"/>
    <tableColumn id="3" xr3:uid="{889A7F92-FAC3-46E6-BF99-BC94D4B6F06D}" name="Department" dataDxfId="18"/>
    <tableColumn id="4" xr3:uid="{35408E3C-0A04-40FF-89FC-C68D9A72ADDE}" name="Gender" dataDxfId="17"/>
    <tableColumn id="5" xr3:uid="{AE754CC7-C763-4FAA-999E-E48D0629467D}" name="Age"/>
    <tableColumn id="10" xr3:uid="{0F629A70-447F-4B34-ADB1-0314AD86ABAD}" name="Age bracket" dataDxfId="16">
      <calculatedColumnFormula array="1">_xlfn.IFS(EmployeeData[[#This Row],[Age]]&lt;30,"20s",EmployeeData[[#This Row],[Age]]&lt;40,"30s",EmployeeData[[#This Row],[Age]]&lt;50,"40s",EmployeeData[[#This Row],[Age]]&lt;60,"50s",EmployeeData[[#This Row],[Age]]&gt;=60,"60s")</calculatedColumnFormula>
    </tableColumn>
    <tableColumn id="6" xr3:uid="{3275900A-848B-4C52-B452-DFDEDDCA99EE}" name="Join Date" dataDxfId="15"/>
    <tableColumn id="7" xr3:uid="{080D401A-9B4A-4959-B31A-694A39E65571}" name="Exit Date" dataDxfId="14"/>
    <tableColumn id="8" xr3:uid="{85B7AAF4-6DF5-4CAB-B9AA-53CDDF6B312B}" name="Exit Reason" dataDxfId="13"/>
    <tableColumn id="9" xr3:uid="{521A603B-EBE9-4E17-A593-E4D1F5409910}" name="Status" dataDxfId="12"/>
    <tableColumn id="12" xr3:uid="{A40A80E7-F813-473C-AE6B-846F211BABA6}" name="Tenure (days)" dataDxfId="11">
      <calculatedColumnFormula array="1">_xlfn.IFS(EmployeeData[[#This Row],[Status]]="Active",_xlfn.DAYS(TODAY(),EmployeeData[[#This Row],[Join Date]]),EmployeeData[[#This Row],[Status]]="Exited",_xlfn.DAYS(EmployeeData[[#This Row],[Exit Date]],EmployeeData[[#This Row],[Join Date]]))</calculatedColumnFormula>
    </tableColumn>
    <tableColumn id="11" xr3:uid="{0A74DB64-AAD0-40B3-BEFF-5140D9EBD3E5}" name="Tenure (years)" dataDxfId="10">
      <calculatedColumnFormula array="1">_xlfn.IFS(EmployeeData[[#This Row],[Status]]="Exited",DATEDIF(EmployeeData[[#This Row],[Join Date]], EmployeeData[[#This Row],[Exit Date]], "Y"),EmployeeData[[#This Row],[Status]]="Active",DATEDIF(EmployeeData[[#This Row],[Join Date]], TODAY(), "Y"))</calculatedColumnFormula>
    </tableColumn>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2.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tabColor rgb="FF76549A"/>
  </sheetPr>
  <dimension ref="A1:K5038"/>
  <sheetViews>
    <sheetView showGridLines="0" showRowColHeaders="0" tabSelected="1" zoomScaleNormal="100" workbookViewId="0">
      <selection activeCell="I40" sqref="I40"/>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4" spans="1:11" x14ac:dyDescent="0.3">
      <c r="A4" s="2"/>
      <c r="B4" s="2"/>
      <c r="C4" s="2"/>
      <c r="D4" s="2"/>
      <c r="E4" s="2"/>
      <c r="F4" s="2"/>
      <c r="G4" s="2"/>
      <c r="H4" s="2"/>
      <c r="I4" s="2"/>
      <c r="J4" s="2"/>
      <c r="K4" s="2"/>
    </row>
    <row r="5" spans="1:11" x14ac:dyDescent="0.3">
      <c r="A5" s="2"/>
      <c r="B5" s="2"/>
      <c r="C5" s="2"/>
      <c r="D5" s="2"/>
      <c r="E5" s="2"/>
      <c r="F5" s="2"/>
      <c r="G5" s="2"/>
      <c r="H5" s="2"/>
      <c r="I5" s="2"/>
      <c r="J5" s="2"/>
      <c r="K5" s="2"/>
    </row>
    <row r="6" spans="1:11" x14ac:dyDescent="0.3">
      <c r="A6" s="2"/>
      <c r="B6" s="2"/>
      <c r="C6" s="2"/>
      <c r="D6" s="2"/>
      <c r="E6" s="2"/>
      <c r="F6" s="2"/>
      <c r="G6" s="2"/>
      <c r="H6" s="2"/>
      <c r="I6" s="2"/>
      <c r="J6" s="2"/>
      <c r="K6" s="2"/>
    </row>
    <row r="7" spans="1:11" x14ac:dyDescent="0.3">
      <c r="A7" s="2"/>
      <c r="B7" s="2"/>
      <c r="C7" s="2"/>
      <c r="D7" s="2"/>
      <c r="E7" s="2"/>
      <c r="F7" s="2"/>
      <c r="G7" s="2"/>
      <c r="H7" s="2"/>
      <c r="I7" s="2"/>
      <c r="J7" s="2"/>
      <c r="K7" s="2"/>
    </row>
    <row r="8" spans="1:11" x14ac:dyDescent="0.3">
      <c r="A8" s="2"/>
      <c r="B8" s="2"/>
      <c r="C8" s="2"/>
      <c r="D8" s="2"/>
      <c r="E8" s="2"/>
      <c r="F8" s="2"/>
      <c r="G8" s="2"/>
      <c r="H8" s="2"/>
      <c r="I8" s="2"/>
      <c r="J8" s="2"/>
      <c r="K8" s="2"/>
    </row>
    <row r="9" spans="1:11" x14ac:dyDescent="0.3">
      <c r="A9" s="2"/>
      <c r="B9" s="2"/>
      <c r="C9" s="2"/>
      <c r="D9" s="2"/>
      <c r="E9" s="2"/>
      <c r="F9" s="2"/>
      <c r="G9" s="2"/>
      <c r="H9" s="2"/>
      <c r="I9" s="2"/>
      <c r="J9" s="2"/>
      <c r="K9" s="2"/>
    </row>
    <row r="10" spans="1:11" x14ac:dyDescent="0.3">
      <c r="A10" s="71"/>
      <c r="B10" s="71"/>
      <c r="C10" s="71"/>
      <c r="D10" s="71"/>
      <c r="E10" s="71"/>
      <c r="F10" s="71"/>
      <c r="G10" s="71"/>
      <c r="H10" s="71"/>
      <c r="I10" s="71"/>
      <c r="J10" s="71"/>
      <c r="K10" s="71"/>
    </row>
    <row r="37" spans="2:10" ht="19.95" customHeight="1" x14ac:dyDescent="0.3">
      <c r="B37" s="72" t="s">
        <v>0</v>
      </c>
      <c r="C37" s="72" t="s">
        <v>1</v>
      </c>
      <c r="D37" s="72" t="s">
        <v>2</v>
      </c>
      <c r="E37" s="72" t="s">
        <v>3</v>
      </c>
      <c r="F37" s="72" t="s">
        <v>4</v>
      </c>
      <c r="G37" s="72" t="s">
        <v>5</v>
      </c>
      <c r="H37" s="72" t="s">
        <v>6</v>
      </c>
      <c r="I37" s="72" t="s">
        <v>7</v>
      </c>
      <c r="J37" s="72"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6" cm="1">
        <f t="array" ref="G38">IFERROR(INDEX(EmployeeData[Join Date], ROW() - 37), "")</f>
        <v>44104</v>
      </c>
      <c r="H38" s="6"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6" cm="1">
        <f t="array" ref="G39">IFERROR(INDEX(EmployeeData[Join Date], ROW() - 37), "")</f>
        <v>45566</v>
      </c>
      <c r="H39" s="6"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6" cm="1">
        <f t="array" ref="G40">IFERROR(INDEX(EmployeeData[Join Date], ROW() - 37), "")</f>
        <v>45960</v>
      </c>
      <c r="H40" s="6"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6" cm="1">
        <f t="array" ref="G41">IFERROR(INDEX(EmployeeData[Join Date], ROW() - 37), "")</f>
        <v>44509</v>
      </c>
      <c r="H41" s="6"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6" cm="1">
        <f t="array" ref="G42">IFERROR(INDEX(EmployeeData[Join Date], ROW() - 37), "")</f>
        <v>44301</v>
      </c>
      <c r="H42" s="6"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6" cm="1">
        <f t="array" ref="G43">IFERROR(INDEX(EmployeeData[Join Date], ROW() - 37), "")</f>
        <v>43427</v>
      </c>
      <c r="H43" s="6"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6" cm="1">
        <f t="array" ref="G44">IFERROR(INDEX(EmployeeData[Join Date], ROW() - 37), "")</f>
        <v>45975</v>
      </c>
      <c r="H44" s="6"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6" cm="1">
        <f t="array" ref="G45">IFERROR(INDEX(EmployeeData[Join Date], ROW() - 37), "")</f>
        <v>44655</v>
      </c>
      <c r="H45" s="6"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6" cm="1">
        <f t="array" ref="G46">IFERROR(INDEX(EmployeeData[Join Date], ROW() - 37), "")</f>
        <v>44744</v>
      </c>
      <c r="H46" s="6"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6" cm="1">
        <f t="array" ref="G47">IFERROR(INDEX(EmployeeData[Join Date], ROW() - 37), "")</f>
        <v>43686</v>
      </c>
      <c r="H47" s="6"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6" cm="1">
        <f t="array" ref="G48">IFERROR(INDEX(EmployeeData[Join Date], ROW() - 37), "")</f>
        <v>43999</v>
      </c>
      <c r="H48" s="6"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6" cm="1">
        <f t="array" ref="G49">IFERROR(INDEX(EmployeeData[Join Date], ROW() - 37), "")</f>
        <v>45888</v>
      </c>
      <c r="H49" s="6"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6" cm="1">
        <f t="array" ref="G50">IFERROR(INDEX(EmployeeData[Join Date], ROW() - 37), "")</f>
        <v>45887</v>
      </c>
      <c r="H50" s="6"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6" cm="1">
        <f t="array" ref="G51">IFERROR(INDEX(EmployeeData[Join Date], ROW() - 37), "")</f>
        <v>44959</v>
      </c>
      <c r="H51" s="6"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6" cm="1">
        <f t="array" ref="G52">IFERROR(INDEX(EmployeeData[Join Date], ROW() - 37), "")</f>
        <v>45595</v>
      </c>
      <c r="H52" s="6"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6" cm="1">
        <f t="array" ref="G53">IFERROR(INDEX(EmployeeData[Join Date], ROW() - 37), "")</f>
        <v>44587</v>
      </c>
      <c r="H53" s="6"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6" cm="1">
        <f t="array" ref="G54">IFERROR(INDEX(EmployeeData[Join Date], ROW() - 37), "")</f>
        <v>45282</v>
      </c>
      <c r="H54" s="6"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6" cm="1">
        <f t="array" ref="G55">IFERROR(INDEX(EmployeeData[Join Date], ROW() - 37), "")</f>
        <v>43968</v>
      </c>
      <c r="H55" s="6"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6" cm="1">
        <f t="array" ref="G56">IFERROR(INDEX(EmployeeData[Join Date], ROW() - 37), "")</f>
        <v>44116</v>
      </c>
      <c r="H56" s="6"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6" cm="1">
        <f t="array" ref="G57">IFERROR(INDEX(EmployeeData[Join Date], ROW() - 37), "")</f>
        <v>43377</v>
      </c>
      <c r="H57" s="6"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6" cm="1">
        <f t="array" ref="G58">IFERROR(INDEX(EmployeeData[Join Date], ROW() - 37), "")</f>
        <v>45439</v>
      </c>
      <c r="H58" s="6"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6" cm="1">
        <f t="array" ref="G59">IFERROR(INDEX(EmployeeData[Join Date], ROW() - 37), "")</f>
        <v>44552</v>
      </c>
      <c r="H59" s="6"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6" cm="1">
        <f t="array" ref="G60">IFERROR(INDEX(EmployeeData[Join Date], ROW() - 37), "")</f>
        <v>44119</v>
      </c>
      <c r="H60" s="6"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6" cm="1">
        <f t="array" ref="G61">IFERROR(INDEX(EmployeeData[Join Date], ROW() - 37), "")</f>
        <v>43502</v>
      </c>
      <c r="H61" s="6"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6" cm="1">
        <f t="array" ref="G62">IFERROR(INDEX(EmployeeData[Join Date], ROW() - 37), "")</f>
        <v>43775</v>
      </c>
      <c r="H62" s="6"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6" cm="1">
        <f t="array" ref="G63">IFERROR(INDEX(EmployeeData[Join Date], ROW() - 37), "")</f>
        <v>43735</v>
      </c>
      <c r="H63" s="6"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6" cm="1">
        <f t="array" ref="G64">IFERROR(INDEX(EmployeeData[Join Date], ROW() - 37), "")</f>
        <v>45276</v>
      </c>
      <c r="H64" s="6"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6" cm="1">
        <f t="array" ref="G65">IFERROR(INDEX(EmployeeData[Join Date], ROW() - 37), "")</f>
        <v>44109</v>
      </c>
      <c r="H65" s="6"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6" cm="1">
        <f t="array" ref="G66">IFERROR(INDEX(EmployeeData[Join Date], ROW() - 37), "")</f>
        <v>44078</v>
      </c>
      <c r="H66" s="6"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6" cm="1">
        <f t="array" ref="G67">IFERROR(INDEX(EmployeeData[Join Date], ROW() - 37), "")</f>
        <v>43510</v>
      </c>
      <c r="H67" s="6"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6" cm="1">
        <f t="array" ref="G68">IFERROR(INDEX(EmployeeData[Join Date], ROW() - 37), "")</f>
        <v>44895</v>
      </c>
      <c r="H68" s="6"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6" cm="1">
        <f t="array" ref="G69">IFERROR(INDEX(EmployeeData[Join Date], ROW() - 37), "")</f>
        <v>44327</v>
      </c>
      <c r="H69" s="6"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6" cm="1">
        <f t="array" ref="G70">IFERROR(INDEX(EmployeeData[Join Date], ROW() - 37), "")</f>
        <v>45578</v>
      </c>
      <c r="H70" s="6"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6" cm="1">
        <f t="array" ref="G71">IFERROR(INDEX(EmployeeData[Join Date], ROW() - 37), "")</f>
        <v>43281</v>
      </c>
      <c r="H71" s="6"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6" cm="1">
        <f t="array" ref="G72">IFERROR(INDEX(EmployeeData[Join Date], ROW() - 37), "")</f>
        <v>43559</v>
      </c>
      <c r="H72" s="6"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6" cm="1">
        <f t="array" ref="G73">IFERROR(INDEX(EmployeeData[Join Date], ROW() - 37), "")</f>
        <v>44566</v>
      </c>
      <c r="H73" s="6"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6" cm="1">
        <f t="array" ref="G74">IFERROR(INDEX(EmployeeData[Join Date], ROW() - 37), "")</f>
        <v>44070</v>
      </c>
      <c r="H74" s="6"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6" cm="1">
        <f t="array" ref="G75">IFERROR(INDEX(EmployeeData[Join Date], ROW() - 37), "")</f>
        <v>44193</v>
      </c>
      <c r="H75" s="6"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6" cm="1">
        <f t="array" ref="G76">IFERROR(INDEX(EmployeeData[Join Date], ROW() - 37), "")</f>
        <v>44014</v>
      </c>
      <c r="H76" s="6"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6" cm="1">
        <f t="array" ref="G77">IFERROR(INDEX(EmployeeData[Join Date], ROW() - 37), "")</f>
        <v>45884</v>
      </c>
      <c r="H77" s="6"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6" cm="1">
        <f t="array" ref="G78">IFERROR(INDEX(EmployeeData[Join Date], ROW() - 37), "")</f>
        <v>45479</v>
      </c>
      <c r="H78" s="6"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6" cm="1">
        <f t="array" ref="G79">IFERROR(INDEX(EmployeeData[Join Date], ROW() - 37), "")</f>
        <v>45584</v>
      </c>
      <c r="H79" s="6"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6" cm="1">
        <f t="array" ref="G80">IFERROR(INDEX(EmployeeData[Join Date], ROW() - 37), "")</f>
        <v>43107</v>
      </c>
      <c r="H80" s="6"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6" cm="1">
        <f t="array" ref="G81">IFERROR(INDEX(EmployeeData[Join Date], ROW() - 37), "")</f>
        <v>44867</v>
      </c>
      <c r="H81" s="6"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6" cm="1">
        <f t="array" ref="G82">IFERROR(INDEX(EmployeeData[Join Date], ROW() - 37), "")</f>
        <v>44749</v>
      </c>
      <c r="H82" s="6"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6" cm="1">
        <f t="array" ref="G83">IFERROR(INDEX(EmployeeData[Join Date], ROW() - 37), "")</f>
        <v>44333</v>
      </c>
      <c r="H83" s="6"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6" cm="1">
        <f t="array" ref="G84">IFERROR(INDEX(EmployeeData[Join Date], ROW() - 37), "")</f>
        <v>45005</v>
      </c>
      <c r="H84" s="6"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6" cm="1">
        <f t="array" ref="G85">IFERROR(INDEX(EmployeeData[Join Date], ROW() - 37), "")</f>
        <v>43483</v>
      </c>
      <c r="H85" s="6"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6" cm="1">
        <f t="array" ref="G86">IFERROR(INDEX(EmployeeData[Join Date], ROW() - 37), "")</f>
        <v>45604</v>
      </c>
      <c r="H86" s="6"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6" cm="1">
        <f t="array" ref="G87">IFERROR(INDEX(EmployeeData[Join Date], ROW() - 37), "")</f>
        <v>44100</v>
      </c>
      <c r="H87" s="6"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6" cm="1">
        <f t="array" ref="G88">IFERROR(INDEX(EmployeeData[Join Date], ROW() - 37), "")</f>
        <v>44970</v>
      </c>
      <c r="H88" s="6"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6" cm="1">
        <f t="array" ref="G89">IFERROR(INDEX(EmployeeData[Join Date], ROW() - 37), "")</f>
        <v>44848</v>
      </c>
      <c r="H89" s="6"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6" cm="1">
        <f t="array" ref="G90">IFERROR(INDEX(EmployeeData[Join Date], ROW() - 37), "")</f>
        <v>44113</v>
      </c>
      <c r="H90" s="6"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6" cm="1">
        <f t="array" ref="G91">IFERROR(INDEX(EmployeeData[Join Date], ROW() - 37), "")</f>
        <v>44061</v>
      </c>
      <c r="H91" s="6"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6" cm="1">
        <f t="array" ref="G92">IFERROR(INDEX(EmployeeData[Join Date], ROW() - 37), "")</f>
        <v>44800</v>
      </c>
      <c r="H92" s="6"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6" cm="1">
        <f t="array" ref="G93">IFERROR(INDEX(EmployeeData[Join Date], ROW() - 37), "")</f>
        <v>45949</v>
      </c>
      <c r="H93" s="6"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6" cm="1">
        <f t="array" ref="G94">IFERROR(INDEX(EmployeeData[Join Date], ROW() - 37), "")</f>
        <v>45305</v>
      </c>
      <c r="H94" s="6"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6" cm="1">
        <f t="array" ref="G95">IFERROR(INDEX(EmployeeData[Join Date], ROW() - 37), "")</f>
        <v>43219</v>
      </c>
      <c r="H95" s="6"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6" cm="1">
        <f t="array" ref="G96">IFERROR(INDEX(EmployeeData[Join Date], ROW() - 37), "")</f>
        <v>43211</v>
      </c>
      <c r="H96" s="6"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6" cm="1">
        <f t="array" ref="G97">IFERROR(INDEX(EmployeeData[Join Date], ROW() - 37), "")</f>
        <v>43845</v>
      </c>
      <c r="H97" s="6"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6" cm="1">
        <f t="array" ref="G98">IFERROR(INDEX(EmployeeData[Join Date], ROW() - 37), "")</f>
        <v>44134</v>
      </c>
      <c r="H98" s="6"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6" cm="1">
        <f t="array" ref="G99">IFERROR(INDEX(EmployeeData[Join Date], ROW() - 37), "")</f>
        <v>45763</v>
      </c>
      <c r="H99" s="6"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6" cm="1">
        <f t="array" ref="G100">IFERROR(INDEX(EmployeeData[Join Date], ROW() - 37), "")</f>
        <v>45843</v>
      </c>
      <c r="H100" s="6"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6" cm="1">
        <f t="array" ref="G101">IFERROR(INDEX(EmployeeData[Join Date], ROW() - 37), "")</f>
        <v>43543</v>
      </c>
      <c r="H101" s="6"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6" cm="1">
        <f t="array" ref="G102">IFERROR(INDEX(EmployeeData[Join Date], ROW() - 37), "")</f>
        <v>43412</v>
      </c>
      <c r="H102" s="6"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6" cm="1">
        <f t="array" ref="G103">IFERROR(INDEX(EmployeeData[Join Date], ROW() - 37), "")</f>
        <v>45419</v>
      </c>
      <c r="H103" s="6"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6" cm="1">
        <f t="array" ref="G104">IFERROR(INDEX(EmployeeData[Join Date], ROW() - 37), "")</f>
        <v>44821</v>
      </c>
      <c r="H104" s="6"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6" cm="1">
        <f t="array" ref="G105">IFERROR(INDEX(EmployeeData[Join Date], ROW() - 37), "")</f>
        <v>44884</v>
      </c>
      <c r="H105" s="6"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6" cm="1">
        <f t="array" ref="G106">IFERROR(INDEX(EmployeeData[Join Date], ROW() - 37), "")</f>
        <v>45527</v>
      </c>
      <c r="H106" s="6"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6" cm="1">
        <f t="array" ref="G107">IFERROR(INDEX(EmployeeData[Join Date], ROW() - 37), "")</f>
        <v>44478</v>
      </c>
      <c r="H107" s="6"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6" cm="1">
        <f t="array" ref="G108">IFERROR(INDEX(EmployeeData[Join Date], ROW() - 37), "")</f>
        <v>45377</v>
      </c>
      <c r="H108" s="6"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6" cm="1">
        <f t="array" ref="G109">IFERROR(INDEX(EmployeeData[Join Date], ROW() - 37), "")</f>
        <v>44936</v>
      </c>
      <c r="H109" s="6"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6" cm="1">
        <f t="array" ref="G110">IFERROR(INDEX(EmployeeData[Join Date], ROW() - 37), "")</f>
        <v>45368</v>
      </c>
      <c r="H110" s="6"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6" cm="1">
        <f t="array" ref="G111">IFERROR(INDEX(EmployeeData[Join Date], ROW() - 37), "")</f>
        <v>44045</v>
      </c>
      <c r="H111" s="6"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6" cm="1">
        <f t="array" ref="G112">IFERROR(INDEX(EmployeeData[Join Date], ROW() - 37), "")</f>
        <v>45545</v>
      </c>
      <c r="H112" s="6"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6" cm="1">
        <f t="array" ref="G113">IFERROR(INDEX(EmployeeData[Join Date], ROW() - 37), "")</f>
        <v>43287</v>
      </c>
      <c r="H113" s="6"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6" cm="1">
        <f t="array" ref="G114">IFERROR(INDEX(EmployeeData[Join Date], ROW() - 37), "")</f>
        <v>43521</v>
      </c>
      <c r="H114" s="6"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6" cm="1">
        <f t="array" ref="G115">IFERROR(INDEX(EmployeeData[Join Date], ROW() - 37), "")</f>
        <v>45057</v>
      </c>
      <c r="H115" s="6"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6" cm="1">
        <f t="array" ref="G116">IFERROR(INDEX(EmployeeData[Join Date], ROW() - 37), "")</f>
        <v>44345</v>
      </c>
      <c r="H116" s="6"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6" cm="1">
        <f t="array" ref="G117">IFERROR(INDEX(EmployeeData[Join Date], ROW() - 37), "")</f>
        <v>44318</v>
      </c>
      <c r="H117" s="6"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6" cm="1">
        <f t="array" ref="G118">IFERROR(INDEX(EmployeeData[Join Date], ROW() - 37), "")</f>
        <v>45663</v>
      </c>
      <c r="H118" s="6"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6" cm="1">
        <f t="array" ref="G119">IFERROR(INDEX(EmployeeData[Join Date], ROW() - 37), "")</f>
        <v>44293</v>
      </c>
      <c r="H119" s="6"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6" cm="1">
        <f t="array" ref="G120">IFERROR(INDEX(EmployeeData[Join Date], ROW() - 37), "")</f>
        <v>45809</v>
      </c>
      <c r="H120" s="6"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6" cm="1">
        <f t="array" ref="G121">IFERROR(INDEX(EmployeeData[Join Date], ROW() - 37), "")</f>
        <v>43393</v>
      </c>
      <c r="H121" s="6"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6" cm="1">
        <f t="array" ref="G122">IFERROR(INDEX(EmployeeData[Join Date], ROW() - 37), "")</f>
        <v>45150</v>
      </c>
      <c r="H122" s="6"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6" cm="1">
        <f t="array" ref="G123">IFERROR(INDEX(EmployeeData[Join Date], ROW() - 37), "")</f>
        <v>43475</v>
      </c>
      <c r="H123" s="6"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6" cm="1">
        <f t="array" ref="G124">IFERROR(INDEX(EmployeeData[Join Date], ROW() - 37), "")</f>
        <v>43844</v>
      </c>
      <c r="H124" s="6"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6" cm="1">
        <f t="array" ref="G125">IFERROR(INDEX(EmployeeData[Join Date], ROW() - 37), "")</f>
        <v>44466</v>
      </c>
      <c r="H125" s="6"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6" cm="1">
        <f t="array" ref="G126">IFERROR(INDEX(EmployeeData[Join Date], ROW() - 37), "")</f>
        <v>43251</v>
      </c>
      <c r="H126" s="6"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6" cm="1">
        <f t="array" ref="G127">IFERROR(INDEX(EmployeeData[Join Date], ROW() - 37), "")</f>
        <v>45794</v>
      </c>
      <c r="H127" s="6"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6" cm="1">
        <f t="array" ref="G128">IFERROR(INDEX(EmployeeData[Join Date], ROW() - 37), "")</f>
        <v>43312</v>
      </c>
      <c r="H128" s="6"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6" cm="1">
        <f t="array" ref="G129">IFERROR(INDEX(EmployeeData[Join Date], ROW() - 37), "")</f>
        <v>43749</v>
      </c>
      <c r="H129" s="6"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6" cm="1">
        <f t="array" ref="G130">IFERROR(INDEX(EmployeeData[Join Date], ROW() - 37), "")</f>
        <v>45754</v>
      </c>
      <c r="H130" s="6"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6" cm="1">
        <f t="array" ref="G131">IFERROR(INDEX(EmployeeData[Join Date], ROW() - 37), "")</f>
        <v>44099</v>
      </c>
      <c r="H131" s="6"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6" cm="1">
        <f t="array" ref="G132">IFERROR(INDEX(EmployeeData[Join Date], ROW() - 37), "")</f>
        <v>44493</v>
      </c>
      <c r="H132" s="6"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6" cm="1">
        <f t="array" ref="G133">IFERROR(INDEX(EmployeeData[Join Date], ROW() - 37), "")</f>
        <v>45476</v>
      </c>
      <c r="H133" s="6"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6" cm="1">
        <f t="array" ref="G134">IFERROR(INDEX(EmployeeData[Join Date], ROW() - 37), "")</f>
        <v>44646</v>
      </c>
      <c r="H134" s="6"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6" cm="1">
        <f t="array" ref="G135">IFERROR(INDEX(EmployeeData[Join Date], ROW() - 37), "")</f>
        <v>43279</v>
      </c>
      <c r="H135" s="6"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6" cm="1">
        <f t="array" ref="G136">IFERROR(INDEX(EmployeeData[Join Date], ROW() - 37), "")</f>
        <v>45129</v>
      </c>
      <c r="H136" s="6"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6" cm="1">
        <f t="array" ref="G137">IFERROR(INDEX(EmployeeData[Join Date], ROW() - 37), "")</f>
        <v>43509</v>
      </c>
      <c r="H137" s="6"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6" cm="1">
        <f t="array" ref="G138">IFERROR(INDEX(EmployeeData[Join Date], ROW() - 37), "")</f>
        <v>43407</v>
      </c>
      <c r="H138" s="6"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6" cm="1">
        <f t="array" ref="G139">IFERROR(INDEX(EmployeeData[Join Date], ROW() - 37), "")</f>
        <v>45863</v>
      </c>
      <c r="H139" s="6"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6" cm="1">
        <f t="array" ref="G140">IFERROR(INDEX(EmployeeData[Join Date], ROW() - 37), "")</f>
        <v>43248</v>
      </c>
      <c r="H140" s="6"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6" cm="1">
        <f t="array" ref="G141">IFERROR(INDEX(EmployeeData[Join Date], ROW() - 37), "")</f>
        <v>44878</v>
      </c>
      <c r="H141" s="6"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6" cm="1">
        <f t="array" ref="G142">IFERROR(INDEX(EmployeeData[Join Date], ROW() - 37), "")</f>
        <v>44302</v>
      </c>
      <c r="H142" s="6"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6" cm="1">
        <f t="array" ref="G143">IFERROR(INDEX(EmployeeData[Join Date], ROW() - 37), "")</f>
        <v>45639</v>
      </c>
      <c r="H143" s="6"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6" cm="1">
        <f t="array" ref="G144">IFERROR(INDEX(EmployeeData[Join Date], ROW() - 37), "")</f>
        <v>45006</v>
      </c>
      <c r="H144" s="6"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6" cm="1">
        <f t="array" ref="G145">IFERROR(INDEX(EmployeeData[Join Date], ROW() - 37), "")</f>
        <v>45928</v>
      </c>
      <c r="H145" s="6"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6" cm="1">
        <f t="array" ref="G146">IFERROR(INDEX(EmployeeData[Join Date], ROW() - 37), "")</f>
        <v>43190</v>
      </c>
      <c r="H146" s="6"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6" cm="1">
        <f t="array" ref="G147">IFERROR(INDEX(EmployeeData[Join Date], ROW() - 37), "")</f>
        <v>44043</v>
      </c>
      <c r="H147" s="6"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6" cm="1">
        <f t="array" ref="G148">IFERROR(INDEX(EmployeeData[Join Date], ROW() - 37), "")</f>
        <v>45674</v>
      </c>
      <c r="H148" s="6"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6" cm="1">
        <f t="array" ref="G149">IFERROR(INDEX(EmployeeData[Join Date], ROW() - 37), "")</f>
        <v>44439</v>
      </c>
      <c r="H149" s="6"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6" cm="1">
        <f t="array" ref="G150">IFERROR(INDEX(EmployeeData[Join Date], ROW() - 37), "")</f>
        <v>44153</v>
      </c>
      <c r="H150" s="6"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6" cm="1">
        <f t="array" ref="G151">IFERROR(INDEX(EmployeeData[Join Date], ROW() - 37), "")</f>
        <v>43677</v>
      </c>
      <c r="H151" s="6"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6" cm="1">
        <f t="array" ref="G152">IFERROR(INDEX(EmployeeData[Join Date], ROW() - 37), "")</f>
        <v>44599</v>
      </c>
      <c r="H152" s="6"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6" cm="1">
        <f t="array" ref="G153">IFERROR(INDEX(EmployeeData[Join Date], ROW() - 37), "")</f>
        <v>43544</v>
      </c>
      <c r="H153" s="6"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6" cm="1">
        <f t="array" ref="G154">IFERROR(INDEX(EmployeeData[Join Date], ROW() - 37), "")</f>
        <v>45753</v>
      </c>
      <c r="H154" s="6"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6" cm="1">
        <f t="array" ref="G155">IFERROR(INDEX(EmployeeData[Join Date], ROW() - 37), "")</f>
        <v>43576</v>
      </c>
      <c r="H155" s="6"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6" cm="1">
        <f t="array" ref="G156">IFERROR(INDEX(EmployeeData[Join Date], ROW() - 37), "")</f>
        <v>43733</v>
      </c>
      <c r="H156" s="6"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6" cm="1">
        <f t="array" ref="G157">IFERROR(INDEX(EmployeeData[Join Date], ROW() - 37), "")</f>
        <v>43990</v>
      </c>
      <c r="H157" s="6"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6" cm="1">
        <f t="array" ref="G158">IFERROR(INDEX(EmployeeData[Join Date], ROW() - 37), "")</f>
        <v>43349</v>
      </c>
      <c r="H158" s="6"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6" cm="1">
        <f t="array" ref="G159">IFERROR(INDEX(EmployeeData[Join Date], ROW() - 37), "")</f>
        <v>45729</v>
      </c>
      <c r="H159" s="6"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6" cm="1">
        <f t="array" ref="G160">IFERROR(INDEX(EmployeeData[Join Date], ROW() - 37), "")</f>
        <v>43941</v>
      </c>
      <c r="H160" s="6"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6" cm="1">
        <f t="array" ref="G161">IFERROR(INDEX(EmployeeData[Join Date], ROW() - 37), "")</f>
        <v>43693</v>
      </c>
      <c r="H161" s="6"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6" cm="1">
        <f t="array" ref="G162">IFERROR(INDEX(EmployeeData[Join Date], ROW() - 37), "")</f>
        <v>43161</v>
      </c>
      <c r="H162" s="6"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6" cm="1">
        <f t="array" ref="G163">IFERROR(INDEX(EmployeeData[Join Date], ROW() - 37), "")</f>
        <v>45051</v>
      </c>
      <c r="H163" s="6"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6" cm="1">
        <f t="array" ref="G164">IFERROR(INDEX(EmployeeData[Join Date], ROW() - 37), "")</f>
        <v>45799</v>
      </c>
      <c r="H164" s="6"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6" cm="1">
        <f t="array" ref="G165">IFERROR(INDEX(EmployeeData[Join Date], ROW() - 37), "")</f>
        <v>44847</v>
      </c>
      <c r="H165" s="6"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6" cm="1">
        <f t="array" ref="G166">IFERROR(INDEX(EmployeeData[Join Date], ROW() - 37), "")</f>
        <v>43370</v>
      </c>
      <c r="H166" s="6"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6" cm="1">
        <f t="array" ref="G167">IFERROR(INDEX(EmployeeData[Join Date], ROW() - 37), "")</f>
        <v>43981</v>
      </c>
      <c r="H167" s="6"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6" cm="1">
        <f t="array" ref="G168">IFERROR(INDEX(EmployeeData[Join Date], ROW() - 37), "")</f>
        <v>44849</v>
      </c>
      <c r="H168" s="6"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6" cm="1">
        <f t="array" ref="G169">IFERROR(INDEX(EmployeeData[Join Date], ROW() - 37), "")</f>
        <v>44869</v>
      </c>
      <c r="H169" s="6"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6" cm="1">
        <f t="array" ref="G170">IFERROR(INDEX(EmployeeData[Join Date], ROW() - 37), "")</f>
        <v>43311</v>
      </c>
      <c r="H170" s="6"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6" cm="1">
        <f t="array" ref="G171">IFERROR(INDEX(EmployeeData[Join Date], ROW() - 37), "")</f>
        <v>44535</v>
      </c>
      <c r="H171" s="6"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6" cm="1">
        <f t="array" ref="G172">IFERROR(INDEX(EmployeeData[Join Date], ROW() - 37), "")</f>
        <v>45647</v>
      </c>
      <c r="H172" s="6"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6" cm="1">
        <f t="array" ref="G173">IFERROR(INDEX(EmployeeData[Join Date], ROW() - 37), "")</f>
        <v>43839</v>
      </c>
      <c r="H173" s="6"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6" cm="1">
        <f t="array" ref="G174">IFERROR(INDEX(EmployeeData[Join Date], ROW() - 37), "")</f>
        <v>45694</v>
      </c>
      <c r="H174" s="6"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6" cm="1">
        <f t="array" ref="G175">IFERROR(INDEX(EmployeeData[Join Date], ROW() - 37), "")</f>
        <v>44377</v>
      </c>
      <c r="H175" s="6"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6" cm="1">
        <f t="array" ref="G176">IFERROR(INDEX(EmployeeData[Join Date], ROW() - 37), "")</f>
        <v>45861</v>
      </c>
      <c r="H176" s="6"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6" cm="1">
        <f t="array" ref="G177">IFERROR(INDEX(EmployeeData[Join Date], ROW() - 37), "")</f>
        <v>44861</v>
      </c>
      <c r="H177" s="6"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6" cm="1">
        <f t="array" ref="G178">IFERROR(INDEX(EmployeeData[Join Date], ROW() - 37), "")</f>
        <v>43663</v>
      </c>
      <c r="H178" s="6"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6" cm="1">
        <f t="array" ref="G179">IFERROR(INDEX(EmployeeData[Join Date], ROW() - 37), "")</f>
        <v>45282</v>
      </c>
      <c r="H179" s="6"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6" cm="1">
        <f t="array" ref="G180">IFERROR(INDEX(EmployeeData[Join Date], ROW() - 37), "")</f>
        <v>44887</v>
      </c>
      <c r="H180" s="6"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6" cm="1">
        <f t="array" ref="G181">IFERROR(INDEX(EmployeeData[Join Date], ROW() - 37), "")</f>
        <v>43804</v>
      </c>
      <c r="H181" s="6"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6" cm="1">
        <f t="array" ref="G182">IFERROR(INDEX(EmployeeData[Join Date], ROW() - 37), "")</f>
        <v>44885</v>
      </c>
      <c r="H182" s="6"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6" cm="1">
        <f t="array" ref="G183">IFERROR(INDEX(EmployeeData[Join Date], ROW() - 37), "")</f>
        <v>43413</v>
      </c>
      <c r="H183" s="6"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6" cm="1">
        <f t="array" ref="G184">IFERROR(INDEX(EmployeeData[Join Date], ROW() - 37), "")</f>
        <v>44068</v>
      </c>
      <c r="H184" s="6"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6" cm="1">
        <f t="array" ref="G185">IFERROR(INDEX(EmployeeData[Join Date], ROW() - 37), "")</f>
        <v>45001</v>
      </c>
      <c r="H185" s="6"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6" cm="1">
        <f t="array" ref="G186">IFERROR(INDEX(EmployeeData[Join Date], ROW() - 37), "")</f>
        <v>45670</v>
      </c>
      <c r="H186" s="6"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6" cm="1">
        <f t="array" ref="G187">IFERROR(INDEX(EmployeeData[Join Date], ROW() - 37), "")</f>
        <v>44372</v>
      </c>
      <c r="H187" s="6"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6" cm="1">
        <f t="array" ref="G188">IFERROR(INDEX(EmployeeData[Join Date], ROW() - 37), "")</f>
        <v>45620</v>
      </c>
      <c r="H188" s="6"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6" cm="1">
        <f t="array" ref="G189">IFERROR(INDEX(EmployeeData[Join Date], ROW() - 37), "")</f>
        <v>44417</v>
      </c>
      <c r="H189" s="6"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6" cm="1">
        <f t="array" ref="G190">IFERROR(INDEX(EmployeeData[Join Date], ROW() - 37), "")</f>
        <v>43446</v>
      </c>
      <c r="H190" s="6"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6" cm="1">
        <f t="array" ref="G191">IFERROR(INDEX(EmployeeData[Join Date], ROW() - 37), "")</f>
        <v>44591</v>
      </c>
      <c r="H191" s="6"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6" cm="1">
        <f t="array" ref="G192">IFERROR(INDEX(EmployeeData[Join Date], ROW() - 37), "")</f>
        <v>44264</v>
      </c>
      <c r="H192" s="6"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6" cm="1">
        <f t="array" ref="G193">IFERROR(INDEX(EmployeeData[Join Date], ROW() - 37), "")</f>
        <v>43629</v>
      </c>
      <c r="H193" s="6"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6" cm="1">
        <f t="array" ref="G194">IFERROR(INDEX(EmployeeData[Join Date], ROW() - 37), "")</f>
        <v>43483</v>
      </c>
      <c r="H194" s="6"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6" cm="1">
        <f t="array" ref="G195">IFERROR(INDEX(EmployeeData[Join Date], ROW() - 37), "")</f>
        <v>45092</v>
      </c>
      <c r="H195" s="6"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6" cm="1">
        <f t="array" ref="G196">IFERROR(INDEX(EmployeeData[Join Date], ROW() - 37), "")</f>
        <v>45547</v>
      </c>
      <c r="H196" s="6"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6" cm="1">
        <f t="array" ref="G197">IFERROR(INDEX(EmployeeData[Join Date], ROW() - 37), "")</f>
        <v>44920</v>
      </c>
      <c r="H197" s="6"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6" cm="1">
        <f t="array" ref="G198">IFERROR(INDEX(EmployeeData[Join Date], ROW() - 37), "")</f>
        <v>44607</v>
      </c>
      <c r="H198" s="6"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6" cm="1">
        <f t="array" ref="G199">IFERROR(INDEX(EmployeeData[Join Date], ROW() - 37), "")</f>
        <v>43764</v>
      </c>
      <c r="H199" s="6"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6" cm="1">
        <f t="array" ref="G200">IFERROR(INDEX(EmployeeData[Join Date], ROW() - 37), "")</f>
        <v>45372</v>
      </c>
      <c r="H200" s="6"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6" cm="1">
        <f t="array" ref="G201">IFERROR(INDEX(EmployeeData[Join Date], ROW() - 37), "")</f>
        <v>44892</v>
      </c>
      <c r="H201" s="6"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6" cm="1">
        <f t="array" ref="G202">IFERROR(INDEX(EmployeeData[Join Date], ROW() - 37), "")</f>
        <v>44636</v>
      </c>
      <c r="H202" s="6"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6" cm="1">
        <f t="array" ref="G203">IFERROR(INDEX(EmployeeData[Join Date], ROW() - 37), "")</f>
        <v>45990</v>
      </c>
      <c r="H203" s="6"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6" cm="1">
        <f t="array" ref="G204">IFERROR(INDEX(EmployeeData[Join Date], ROW() - 37), "")</f>
        <v>44834</v>
      </c>
      <c r="H204" s="6"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6" cm="1">
        <f t="array" ref="G205">IFERROR(INDEX(EmployeeData[Join Date], ROW() - 37), "")</f>
        <v>45545</v>
      </c>
      <c r="H205" s="6"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6" cm="1">
        <f t="array" ref="G206">IFERROR(INDEX(EmployeeData[Join Date], ROW() - 37), "")</f>
        <v>44086</v>
      </c>
      <c r="H206" s="6"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6" cm="1">
        <f t="array" ref="G207">IFERROR(INDEX(EmployeeData[Join Date], ROW() - 37), "")</f>
        <v>45329</v>
      </c>
      <c r="H207" s="6"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6" cm="1">
        <f t="array" ref="G208">IFERROR(INDEX(EmployeeData[Join Date], ROW() - 37), "")</f>
        <v>44139</v>
      </c>
      <c r="H208" s="6"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6" cm="1">
        <f t="array" ref="G209">IFERROR(INDEX(EmployeeData[Join Date], ROW() - 37), "")</f>
        <v>43647</v>
      </c>
      <c r="H209" s="6"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6" cm="1">
        <f t="array" ref="G210">IFERROR(INDEX(EmployeeData[Join Date], ROW() - 37), "")</f>
        <v>44975</v>
      </c>
      <c r="H210" s="6"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6" cm="1">
        <f t="array" ref="G211">IFERROR(INDEX(EmployeeData[Join Date], ROW() - 37), "")</f>
        <v>45040</v>
      </c>
      <c r="H211" s="6"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6" cm="1">
        <f t="array" ref="G212">IFERROR(INDEX(EmployeeData[Join Date], ROW() - 37), "")</f>
        <v>44684</v>
      </c>
      <c r="H212" s="6"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6" cm="1">
        <f t="array" ref="G213">IFERROR(INDEX(EmployeeData[Join Date], ROW() - 37), "")</f>
        <v>43424</v>
      </c>
      <c r="H213" s="6"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6" cm="1">
        <f t="array" ref="G214">IFERROR(INDEX(EmployeeData[Join Date], ROW() - 37), "")</f>
        <v>44927</v>
      </c>
      <c r="H214" s="6"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6" cm="1">
        <f t="array" ref="G215">IFERROR(INDEX(EmployeeData[Join Date], ROW() - 37), "")</f>
        <v>45619</v>
      </c>
      <c r="H215" s="6"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6" cm="1">
        <f t="array" ref="G216">IFERROR(INDEX(EmployeeData[Join Date], ROW() - 37), "")</f>
        <v>44589</v>
      </c>
      <c r="H216" s="6"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6" cm="1">
        <f t="array" ref="G217">IFERROR(INDEX(EmployeeData[Join Date], ROW() - 37), "")</f>
        <v>44584</v>
      </c>
      <c r="H217" s="6"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6" cm="1">
        <f t="array" ref="G218">IFERROR(INDEX(EmployeeData[Join Date], ROW() - 37), "")</f>
        <v>44919</v>
      </c>
      <c r="H218" s="6"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6" cm="1">
        <f t="array" ref="G219">IFERROR(INDEX(EmployeeData[Join Date], ROW() - 37), "")</f>
        <v>43207</v>
      </c>
      <c r="H219" s="6"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6" cm="1">
        <f t="array" ref="G220">IFERROR(INDEX(EmployeeData[Join Date], ROW() - 37), "")</f>
        <v>43979</v>
      </c>
      <c r="H220" s="6"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6" cm="1">
        <f t="array" ref="G221">IFERROR(INDEX(EmployeeData[Join Date], ROW() - 37), "")</f>
        <v>44952</v>
      </c>
      <c r="H221" s="6"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6" cm="1">
        <f t="array" ref="G222">IFERROR(INDEX(EmployeeData[Join Date], ROW() - 37), "")</f>
        <v>43746</v>
      </c>
      <c r="H222" s="6"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6" cm="1">
        <f t="array" ref="G223">IFERROR(INDEX(EmployeeData[Join Date], ROW() - 37), "")</f>
        <v>45124</v>
      </c>
      <c r="H223" s="6"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6" cm="1">
        <f t="array" ref="G224">IFERROR(INDEX(EmployeeData[Join Date], ROW() - 37), "")</f>
        <v>45254</v>
      </c>
      <c r="H224" s="6"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6" cm="1">
        <f t="array" ref="G225">IFERROR(INDEX(EmployeeData[Join Date], ROW() - 37), "")</f>
        <v>44512</v>
      </c>
      <c r="H225" s="6"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6" cm="1">
        <f t="array" ref="G226">IFERROR(INDEX(EmployeeData[Join Date], ROW() - 37), "")</f>
        <v>43775</v>
      </c>
      <c r="H226" s="6"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6" cm="1">
        <f t="array" ref="G227">IFERROR(INDEX(EmployeeData[Join Date], ROW() - 37), "")</f>
        <v>44225</v>
      </c>
      <c r="H227" s="6"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6" cm="1">
        <f t="array" ref="G228">IFERROR(INDEX(EmployeeData[Join Date], ROW() - 37), "")</f>
        <v>45799</v>
      </c>
      <c r="H228" s="6"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6" cm="1">
        <f t="array" ref="G229">IFERROR(INDEX(EmployeeData[Join Date], ROW() - 37), "")</f>
        <v>43433</v>
      </c>
      <c r="H229" s="6"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6" cm="1">
        <f t="array" ref="G230">IFERROR(INDEX(EmployeeData[Join Date], ROW() - 37), "")</f>
        <v>44287</v>
      </c>
      <c r="H230" s="6"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6" cm="1">
        <f t="array" ref="G231">IFERROR(INDEX(EmployeeData[Join Date], ROW() - 37), "")</f>
        <v>43748</v>
      </c>
      <c r="H231" s="6"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6" cm="1">
        <f t="array" ref="G232">IFERROR(INDEX(EmployeeData[Join Date], ROW() - 37), "")</f>
        <v>44734</v>
      </c>
      <c r="H232" s="6"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6" cm="1">
        <f t="array" ref="G233">IFERROR(INDEX(EmployeeData[Join Date], ROW() - 37), "")</f>
        <v>43308</v>
      </c>
      <c r="H233" s="6"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6" cm="1">
        <f t="array" ref="G234">IFERROR(INDEX(EmployeeData[Join Date], ROW() - 37), "")</f>
        <v>44381</v>
      </c>
      <c r="H234" s="6"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6" cm="1">
        <f t="array" ref="G235">IFERROR(INDEX(EmployeeData[Join Date], ROW() - 37), "")</f>
        <v>45171</v>
      </c>
      <c r="H235" s="6"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6" cm="1">
        <f t="array" ref="G236">IFERROR(INDEX(EmployeeData[Join Date], ROW() - 37), "")</f>
        <v>44271</v>
      </c>
      <c r="H236" s="6"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6" cm="1">
        <f t="array" ref="G237">IFERROR(INDEX(EmployeeData[Join Date], ROW() - 37), "")</f>
        <v>43286</v>
      </c>
      <c r="H237" s="6"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6" cm="1">
        <f t="array" ref="G238">IFERROR(INDEX(EmployeeData[Join Date], ROW() - 37), "")</f>
        <v>44246</v>
      </c>
      <c r="H238" s="6"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6" cm="1">
        <f t="array" ref="G239">IFERROR(INDEX(EmployeeData[Join Date], ROW() - 37), "")</f>
        <v>45385</v>
      </c>
      <c r="H239" s="6"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6" cm="1">
        <f t="array" ref="G240">IFERROR(INDEX(EmployeeData[Join Date], ROW() - 37), "")</f>
        <v>43662</v>
      </c>
      <c r="H240" s="6"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6" cm="1">
        <f t="array" ref="G241">IFERROR(INDEX(EmployeeData[Join Date], ROW() - 37), "")</f>
        <v>44710</v>
      </c>
      <c r="H241" s="6"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6" cm="1">
        <f t="array" ref="G242">IFERROR(INDEX(EmployeeData[Join Date], ROW() - 37), "")</f>
        <v>44609</v>
      </c>
      <c r="H242" s="6"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6" cm="1">
        <f t="array" ref="G243">IFERROR(INDEX(EmployeeData[Join Date], ROW() - 37), "")</f>
        <v>45786</v>
      </c>
      <c r="H243" s="6"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6" cm="1">
        <f t="array" ref="G244">IFERROR(INDEX(EmployeeData[Join Date], ROW() - 37), "")</f>
        <v>43706</v>
      </c>
      <c r="H244" s="6"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6" cm="1">
        <f t="array" ref="G245">IFERROR(INDEX(EmployeeData[Join Date], ROW() - 37), "")</f>
        <v>43721</v>
      </c>
      <c r="H245" s="6"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6" cm="1">
        <f t="array" ref="G246">IFERROR(INDEX(EmployeeData[Join Date], ROW() - 37), "")</f>
        <v>45991</v>
      </c>
      <c r="H246" s="6"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6" cm="1">
        <f t="array" ref="G247">IFERROR(INDEX(EmployeeData[Join Date], ROW() - 37), "")</f>
        <v>44552</v>
      </c>
      <c r="H247" s="6"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6" cm="1">
        <f t="array" ref="G248">IFERROR(INDEX(EmployeeData[Join Date], ROW() - 37), "")</f>
        <v>44284</v>
      </c>
      <c r="H248" s="6"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6" cm="1">
        <f t="array" ref="G249">IFERROR(INDEX(EmployeeData[Join Date], ROW() - 37), "")</f>
        <v>44656</v>
      </c>
      <c r="H249" s="6"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6" cm="1">
        <f t="array" ref="G250">IFERROR(INDEX(EmployeeData[Join Date], ROW() - 37), "")</f>
        <v>43424</v>
      </c>
      <c r="H250" s="6"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6" cm="1">
        <f t="array" ref="G251">IFERROR(INDEX(EmployeeData[Join Date], ROW() - 37), "")</f>
        <v>43548</v>
      </c>
      <c r="H251" s="6"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6" cm="1">
        <f t="array" ref="G252">IFERROR(INDEX(EmployeeData[Join Date], ROW() - 37), "")</f>
        <v>44453</v>
      </c>
      <c r="H252" s="6"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6" cm="1">
        <f t="array" ref="G253">IFERROR(INDEX(EmployeeData[Join Date], ROW() - 37), "")</f>
        <v>44767</v>
      </c>
      <c r="H253" s="6"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6" cm="1">
        <f t="array" ref="G254">IFERROR(INDEX(EmployeeData[Join Date], ROW() - 37), "")</f>
        <v>45746</v>
      </c>
      <c r="H254" s="6"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6" cm="1">
        <f t="array" ref="G255">IFERROR(INDEX(EmployeeData[Join Date], ROW() - 37), "")</f>
        <v>44812</v>
      </c>
      <c r="H255" s="6"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6" cm="1">
        <f t="array" ref="G256">IFERROR(INDEX(EmployeeData[Join Date], ROW() - 37), "")</f>
        <v>43254</v>
      </c>
      <c r="H256" s="6"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6" cm="1">
        <f t="array" ref="G257">IFERROR(INDEX(EmployeeData[Join Date], ROW() - 37), "")</f>
        <v>45018</v>
      </c>
      <c r="H257" s="6"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6" cm="1">
        <f t="array" ref="G258">IFERROR(INDEX(EmployeeData[Join Date], ROW() - 37), "")</f>
        <v>43819</v>
      </c>
      <c r="H258" s="6"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6" cm="1">
        <f t="array" ref="G259">IFERROR(INDEX(EmployeeData[Join Date], ROW() - 37), "")</f>
        <v>45056</v>
      </c>
      <c r="H259" s="6"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6" cm="1">
        <f t="array" ref="G260">IFERROR(INDEX(EmployeeData[Join Date], ROW() - 37), "")</f>
        <v>43147</v>
      </c>
      <c r="H260" s="6"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6" cm="1">
        <f t="array" ref="G261">IFERROR(INDEX(EmployeeData[Join Date], ROW() - 37), "")</f>
        <v>45928</v>
      </c>
      <c r="H261" s="6"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6" cm="1">
        <f t="array" ref="G262">IFERROR(INDEX(EmployeeData[Join Date], ROW() - 37), "")</f>
        <v>44804</v>
      </c>
      <c r="H262" s="6"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6" cm="1">
        <f t="array" ref="G263">IFERROR(INDEX(EmployeeData[Join Date], ROW() - 37), "")</f>
        <v>45253</v>
      </c>
      <c r="H263" s="6"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6" cm="1">
        <f t="array" ref="G264">IFERROR(INDEX(EmployeeData[Join Date], ROW() - 37), "")</f>
        <v>43929</v>
      </c>
      <c r="H264" s="6"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6" cm="1">
        <f t="array" ref="G265">IFERROR(INDEX(EmployeeData[Join Date], ROW() - 37), "")</f>
        <v>45103</v>
      </c>
      <c r="H265" s="6"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6" cm="1">
        <f t="array" ref="G266">IFERROR(INDEX(EmployeeData[Join Date], ROW() - 37), "")</f>
        <v>45856</v>
      </c>
      <c r="H266" s="6"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6" cm="1">
        <f t="array" ref="G267">IFERROR(INDEX(EmployeeData[Join Date], ROW() - 37), "")</f>
        <v>44836</v>
      </c>
      <c r="H267" s="6"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6" cm="1">
        <f t="array" ref="G268">IFERROR(INDEX(EmployeeData[Join Date], ROW() - 37), "")</f>
        <v>43655</v>
      </c>
      <c r="H268" s="6"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6" cm="1">
        <f t="array" ref="G269">IFERROR(INDEX(EmployeeData[Join Date], ROW() - 37), "")</f>
        <v>44639</v>
      </c>
      <c r="H269" s="6"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6" cm="1">
        <f t="array" ref="G270">IFERROR(INDEX(EmployeeData[Join Date], ROW() - 37), "")</f>
        <v>45267</v>
      </c>
      <c r="H270" s="6"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6" cm="1">
        <f t="array" ref="G271">IFERROR(INDEX(EmployeeData[Join Date], ROW() - 37), "")</f>
        <v>44987</v>
      </c>
      <c r="H271" s="6"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6" cm="1">
        <f t="array" ref="G272">IFERROR(INDEX(EmployeeData[Join Date], ROW() - 37), "")</f>
        <v>44086</v>
      </c>
      <c r="H272" s="6"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6" cm="1">
        <f t="array" ref="G273">IFERROR(INDEX(EmployeeData[Join Date], ROW() - 37), "")</f>
        <v>44748</v>
      </c>
      <c r="H273" s="6"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6" cm="1">
        <f t="array" ref="G274">IFERROR(INDEX(EmployeeData[Join Date], ROW() - 37), "")</f>
        <v>44060</v>
      </c>
      <c r="H274" s="6"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6" cm="1">
        <f t="array" ref="G275">IFERROR(INDEX(EmployeeData[Join Date], ROW() - 37), "")</f>
        <v>44006</v>
      </c>
      <c r="H275" s="6"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6" cm="1">
        <f t="array" ref="G276">IFERROR(INDEX(EmployeeData[Join Date], ROW() - 37), "")</f>
        <v>43293</v>
      </c>
      <c r="H276" s="6"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6" cm="1">
        <f t="array" ref="G277">IFERROR(INDEX(EmployeeData[Join Date], ROW() - 37), "")</f>
        <v>45304</v>
      </c>
      <c r="H277" s="6"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6" cm="1">
        <f t="array" ref="G278">IFERROR(INDEX(EmployeeData[Join Date], ROW() - 37), "")</f>
        <v>45404</v>
      </c>
      <c r="H278" s="6"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6" cm="1">
        <f t="array" ref="G279">IFERROR(INDEX(EmployeeData[Join Date], ROW() - 37), "")</f>
        <v>44943</v>
      </c>
      <c r="H279" s="6"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6" cm="1">
        <f t="array" ref="G280">IFERROR(INDEX(EmployeeData[Join Date], ROW() - 37), "")</f>
        <v>43399</v>
      </c>
      <c r="H280" s="6"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6" cm="1">
        <f t="array" ref="G281">IFERROR(INDEX(EmployeeData[Join Date], ROW() - 37), "")</f>
        <v>45062</v>
      </c>
      <c r="H281" s="6"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6" cm="1">
        <f t="array" ref="G282">IFERROR(INDEX(EmployeeData[Join Date], ROW() - 37), "")</f>
        <v>45010</v>
      </c>
      <c r="H282" s="6"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6" cm="1">
        <f t="array" ref="G283">IFERROR(INDEX(EmployeeData[Join Date], ROW() - 37), "")</f>
        <v>44412</v>
      </c>
      <c r="H283" s="6"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6" cm="1">
        <f t="array" ref="G284">IFERROR(INDEX(EmployeeData[Join Date], ROW() - 37), "")</f>
        <v>45493</v>
      </c>
      <c r="H284" s="6"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6" cm="1">
        <f t="array" ref="G285">IFERROR(INDEX(EmployeeData[Join Date], ROW() - 37), "")</f>
        <v>45146</v>
      </c>
      <c r="H285" s="6"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6" cm="1">
        <f t="array" ref="G286">IFERROR(INDEX(EmployeeData[Join Date], ROW() - 37), "")</f>
        <v>44988</v>
      </c>
      <c r="H286" s="6"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6" cm="1">
        <f t="array" ref="G287">IFERROR(INDEX(EmployeeData[Join Date], ROW() - 37), "")</f>
        <v>45838</v>
      </c>
      <c r="H287" s="6"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6" cm="1">
        <f t="array" ref="G288">IFERROR(INDEX(EmployeeData[Join Date], ROW() - 37), "")</f>
        <v>43348</v>
      </c>
      <c r="H288" s="6"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6" cm="1">
        <f t="array" ref="G289">IFERROR(INDEX(EmployeeData[Join Date], ROW() - 37), "")</f>
        <v>45269</v>
      </c>
      <c r="H289" s="6"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6" cm="1">
        <f t="array" ref="G290">IFERROR(INDEX(EmployeeData[Join Date], ROW() - 37), "")</f>
        <v>43495</v>
      </c>
      <c r="H290" s="6"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6" cm="1">
        <f t="array" ref="G291">IFERROR(INDEX(EmployeeData[Join Date], ROW() - 37), "")</f>
        <v>43424</v>
      </c>
      <c r="H291" s="6"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6" cm="1">
        <f t="array" ref="G292">IFERROR(INDEX(EmployeeData[Join Date], ROW() - 37), "")</f>
        <v>43483</v>
      </c>
      <c r="H292" s="6"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6" cm="1">
        <f t="array" ref="G293">IFERROR(INDEX(EmployeeData[Join Date], ROW() - 37), "")</f>
        <v>45742</v>
      </c>
      <c r="H293" s="6"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6" cm="1">
        <f t="array" ref="G294">IFERROR(INDEX(EmployeeData[Join Date], ROW() - 37), "")</f>
        <v>45048</v>
      </c>
      <c r="H294" s="6"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6" cm="1">
        <f t="array" ref="G295">IFERROR(INDEX(EmployeeData[Join Date], ROW() - 37), "")</f>
        <v>43949</v>
      </c>
      <c r="H295" s="6"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6" cm="1">
        <f t="array" ref="G296">IFERROR(INDEX(EmployeeData[Join Date], ROW() - 37), "")</f>
        <v>44459</v>
      </c>
      <c r="H296" s="6"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6" cm="1">
        <f t="array" ref="G297">IFERROR(INDEX(EmployeeData[Join Date], ROW() - 37), "")</f>
        <v>43501</v>
      </c>
      <c r="H297" s="6"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6" cm="1">
        <f t="array" ref="G298">IFERROR(INDEX(EmployeeData[Join Date], ROW() - 37), "")</f>
        <v>43222</v>
      </c>
      <c r="H298" s="6"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6" cm="1">
        <f t="array" ref="G299">IFERROR(INDEX(EmployeeData[Join Date], ROW() - 37), "")</f>
        <v>43452</v>
      </c>
      <c r="H299" s="6"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6" cm="1">
        <f t="array" ref="G300">IFERROR(INDEX(EmployeeData[Join Date], ROW() - 37), "")</f>
        <v>44696</v>
      </c>
      <c r="H300" s="6"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6" cm="1">
        <f t="array" ref="G301">IFERROR(INDEX(EmployeeData[Join Date], ROW() - 37), "")</f>
        <v>44939</v>
      </c>
      <c r="H301" s="6"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6" cm="1">
        <f t="array" ref="G302">IFERROR(INDEX(EmployeeData[Join Date], ROW() - 37), "")</f>
        <v>44678</v>
      </c>
      <c r="H302" s="6"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6" cm="1">
        <f t="array" ref="G303">IFERROR(INDEX(EmployeeData[Join Date], ROW() - 37), "")</f>
        <v>45235</v>
      </c>
      <c r="H303" s="6"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6" cm="1">
        <f t="array" ref="G304">IFERROR(INDEX(EmployeeData[Join Date], ROW() - 37), "")</f>
        <v>44328</v>
      </c>
      <c r="H304" s="6"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6" cm="1">
        <f t="array" ref="G305">IFERROR(INDEX(EmployeeData[Join Date], ROW() - 37), "")</f>
        <v>44976</v>
      </c>
      <c r="H305" s="6"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6" cm="1">
        <f t="array" ref="G306">IFERROR(INDEX(EmployeeData[Join Date], ROW() - 37), "")</f>
        <v>44472</v>
      </c>
      <c r="H306" s="6"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6" cm="1">
        <f t="array" ref="G307">IFERROR(INDEX(EmployeeData[Join Date], ROW() - 37), "")</f>
        <v>44408</v>
      </c>
      <c r="H307" s="6"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6" cm="1">
        <f t="array" ref="G308">IFERROR(INDEX(EmployeeData[Join Date], ROW() - 37), "")</f>
        <v>45526</v>
      </c>
      <c r="H308" s="6"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6" cm="1">
        <f t="array" ref="G309">IFERROR(INDEX(EmployeeData[Join Date], ROW() - 37), "")</f>
        <v>44896</v>
      </c>
      <c r="H309" s="6"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6" cm="1">
        <f t="array" ref="G310">IFERROR(INDEX(EmployeeData[Join Date], ROW() - 37), "")</f>
        <v>45798</v>
      </c>
      <c r="H310" s="6"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6" cm="1">
        <f t="array" ref="G311">IFERROR(INDEX(EmployeeData[Join Date], ROW() - 37), "")</f>
        <v>45934</v>
      </c>
      <c r="H311" s="6"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6" cm="1">
        <f t="array" ref="G312">IFERROR(INDEX(EmployeeData[Join Date], ROW() - 37), "")</f>
        <v>43548</v>
      </c>
      <c r="H312" s="6"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6" cm="1">
        <f t="array" ref="G313">IFERROR(INDEX(EmployeeData[Join Date], ROW() - 37), "")</f>
        <v>44459</v>
      </c>
      <c r="H313" s="6"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6" cm="1">
        <f t="array" ref="G314">IFERROR(INDEX(EmployeeData[Join Date], ROW() - 37), "")</f>
        <v>45478</v>
      </c>
      <c r="H314" s="6"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6" cm="1">
        <f t="array" ref="G315">IFERROR(INDEX(EmployeeData[Join Date], ROW() - 37), "")</f>
        <v>43718</v>
      </c>
      <c r="H315" s="6"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6" cm="1">
        <f t="array" ref="G316">IFERROR(INDEX(EmployeeData[Join Date], ROW() - 37), "")</f>
        <v>44527</v>
      </c>
      <c r="H316" s="6"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6" cm="1">
        <f t="array" ref="G317">IFERROR(INDEX(EmployeeData[Join Date], ROW() - 37), "")</f>
        <v>43376</v>
      </c>
      <c r="H317" s="6"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6" cm="1">
        <f t="array" ref="G318">IFERROR(INDEX(EmployeeData[Join Date], ROW() - 37), "")</f>
        <v>43815</v>
      </c>
      <c r="H318" s="6"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6" cm="1">
        <f t="array" ref="G319">IFERROR(INDEX(EmployeeData[Join Date], ROW() - 37), "")</f>
        <v>43864</v>
      </c>
      <c r="H319" s="6"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6" cm="1">
        <f t="array" ref="G320">IFERROR(INDEX(EmployeeData[Join Date], ROW() - 37), "")</f>
        <v>45987</v>
      </c>
      <c r="H320" s="6"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6" cm="1">
        <f t="array" ref="G321">IFERROR(INDEX(EmployeeData[Join Date], ROW() - 37), "")</f>
        <v>44175</v>
      </c>
      <c r="H321" s="6"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6" cm="1">
        <f t="array" ref="G322">IFERROR(INDEX(EmployeeData[Join Date], ROW() - 37), "")</f>
        <v>45505</v>
      </c>
      <c r="H322" s="6"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6" cm="1">
        <f t="array" ref="G323">IFERROR(INDEX(EmployeeData[Join Date], ROW() - 37), "")</f>
        <v>45853</v>
      </c>
      <c r="H323" s="6"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6" cm="1">
        <f t="array" ref="G324">IFERROR(INDEX(EmployeeData[Join Date], ROW() - 37), "")</f>
        <v>45455</v>
      </c>
      <c r="H324" s="6"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6" cm="1">
        <f t="array" ref="G325">IFERROR(INDEX(EmployeeData[Join Date], ROW() - 37), "")</f>
        <v>45373</v>
      </c>
      <c r="H325" s="6"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6" cm="1">
        <f t="array" ref="G326">IFERROR(INDEX(EmployeeData[Join Date], ROW() - 37), "")</f>
        <v>43660</v>
      </c>
      <c r="H326" s="6"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6" cm="1">
        <f t="array" ref="G327">IFERROR(INDEX(EmployeeData[Join Date], ROW() - 37), "")</f>
        <v>43786</v>
      </c>
      <c r="H327" s="6"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6" cm="1">
        <f t="array" ref="G328">IFERROR(INDEX(EmployeeData[Join Date], ROW() - 37), "")</f>
        <v>45417</v>
      </c>
      <c r="H328" s="6"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6" cm="1">
        <f t="array" ref="G329">IFERROR(INDEX(EmployeeData[Join Date], ROW() - 37), "")</f>
        <v>45321</v>
      </c>
      <c r="H329" s="6"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6" cm="1">
        <f t="array" ref="G330">IFERROR(INDEX(EmployeeData[Join Date], ROW() - 37), "")</f>
        <v>44320</v>
      </c>
      <c r="H330" s="6"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6" cm="1">
        <f t="array" ref="G331">IFERROR(INDEX(EmployeeData[Join Date], ROW() - 37), "")</f>
        <v>43960</v>
      </c>
      <c r="H331" s="6"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6" cm="1">
        <f t="array" ref="G332">IFERROR(INDEX(EmployeeData[Join Date], ROW() - 37), "")</f>
        <v>43948</v>
      </c>
      <c r="H332" s="6"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6" cm="1">
        <f t="array" ref="G333">IFERROR(INDEX(EmployeeData[Join Date], ROW() - 37), "")</f>
        <v>45446</v>
      </c>
      <c r="H333" s="6"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6" cm="1">
        <f t="array" ref="G334">IFERROR(INDEX(EmployeeData[Join Date], ROW() - 37), "")</f>
        <v>45787</v>
      </c>
      <c r="H334" s="6"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6" cm="1">
        <f t="array" ref="G335">IFERROR(INDEX(EmployeeData[Join Date], ROW() - 37), "")</f>
        <v>44637</v>
      </c>
      <c r="H335" s="6"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6" cm="1">
        <f t="array" ref="G336">IFERROR(INDEX(EmployeeData[Join Date], ROW() - 37), "")</f>
        <v>45100</v>
      </c>
      <c r="H336" s="6"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6" cm="1">
        <f t="array" ref="G337">IFERROR(INDEX(EmployeeData[Join Date], ROW() - 37), "")</f>
        <v>45290</v>
      </c>
      <c r="H337" s="6"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6" cm="1">
        <f t="array" ref="G338">IFERROR(INDEX(EmployeeData[Join Date], ROW() - 37), "")</f>
        <v>43635</v>
      </c>
      <c r="H338" s="6"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6" cm="1">
        <f t="array" ref="G339">IFERROR(INDEX(EmployeeData[Join Date], ROW() - 37), "")</f>
        <v>43167</v>
      </c>
      <c r="H339" s="6"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6" cm="1">
        <f t="array" ref="G340">IFERROR(INDEX(EmployeeData[Join Date], ROW() - 37), "")</f>
        <v>43483</v>
      </c>
      <c r="H340" s="6"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6" cm="1">
        <f t="array" ref="G341">IFERROR(INDEX(EmployeeData[Join Date], ROW() - 37), "")</f>
        <v>44859</v>
      </c>
      <c r="H341" s="6"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6" cm="1">
        <f t="array" ref="G342">IFERROR(INDEX(EmployeeData[Join Date], ROW() - 37), "")</f>
        <v>43139</v>
      </c>
      <c r="H342" s="6"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6" cm="1">
        <f t="array" ref="G343">IFERROR(INDEX(EmployeeData[Join Date], ROW() - 37), "")</f>
        <v>43523</v>
      </c>
      <c r="H343" s="6"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6" cm="1">
        <f t="array" ref="G344">IFERROR(INDEX(EmployeeData[Join Date], ROW() - 37), "")</f>
        <v>45600</v>
      </c>
      <c r="H344" s="6"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6" cm="1">
        <f t="array" ref="G345">IFERROR(INDEX(EmployeeData[Join Date], ROW() - 37), "")</f>
        <v>45624</v>
      </c>
      <c r="H345" s="6"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6" cm="1">
        <f t="array" ref="G346">IFERROR(INDEX(EmployeeData[Join Date], ROW() - 37), "")</f>
        <v>44540</v>
      </c>
      <c r="H346" s="6"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6" cm="1">
        <f t="array" ref="G347">IFERROR(INDEX(EmployeeData[Join Date], ROW() - 37), "")</f>
        <v>45929</v>
      </c>
      <c r="H347" s="6"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6" cm="1">
        <f t="array" ref="G348">IFERROR(INDEX(EmployeeData[Join Date], ROW() - 37), "")</f>
        <v>45128</v>
      </c>
      <c r="H348" s="6"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6" cm="1">
        <f t="array" ref="G349">IFERROR(INDEX(EmployeeData[Join Date], ROW() - 37), "")</f>
        <v>44580</v>
      </c>
      <c r="H349" s="6"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6" cm="1">
        <f t="array" ref="G350">IFERROR(INDEX(EmployeeData[Join Date], ROW() - 37), "")</f>
        <v>45030</v>
      </c>
      <c r="H350" s="6"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6" cm="1">
        <f t="array" ref="G351">IFERROR(INDEX(EmployeeData[Join Date], ROW() - 37), "")</f>
        <v>44731</v>
      </c>
      <c r="H351" s="6"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6" cm="1">
        <f t="array" ref="G352">IFERROR(INDEX(EmployeeData[Join Date], ROW() - 37), "")</f>
        <v>44237</v>
      </c>
      <c r="H352" s="6"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6" cm="1">
        <f t="array" ref="G353">IFERROR(INDEX(EmployeeData[Join Date], ROW() - 37), "")</f>
        <v>44371</v>
      </c>
      <c r="H353" s="6"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6" cm="1">
        <f t="array" ref="G354">IFERROR(INDEX(EmployeeData[Join Date], ROW() - 37), "")</f>
        <v>44367</v>
      </c>
      <c r="H354" s="6"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6" cm="1">
        <f t="array" ref="G355">IFERROR(INDEX(EmployeeData[Join Date], ROW() - 37), "")</f>
        <v>45243</v>
      </c>
      <c r="H355" s="6"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6" cm="1">
        <f t="array" ref="G356">IFERROR(INDEX(EmployeeData[Join Date], ROW() - 37), "")</f>
        <v>44473</v>
      </c>
      <c r="H356" s="6"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6" cm="1">
        <f t="array" ref="G357">IFERROR(INDEX(EmployeeData[Join Date], ROW() - 37), "")</f>
        <v>45147</v>
      </c>
      <c r="H357" s="6"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6" cm="1">
        <f t="array" ref="G358">IFERROR(INDEX(EmployeeData[Join Date], ROW() - 37), "")</f>
        <v>44036</v>
      </c>
      <c r="H358" s="6"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6" cm="1">
        <f t="array" ref="G359">IFERROR(INDEX(EmployeeData[Join Date], ROW() - 37), "")</f>
        <v>44669</v>
      </c>
      <c r="H359" s="6"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6" cm="1">
        <f t="array" ref="G360">IFERROR(INDEX(EmployeeData[Join Date], ROW() - 37), "")</f>
        <v>44212</v>
      </c>
      <c r="H360" s="6"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6" cm="1">
        <f t="array" ref="G361">IFERROR(INDEX(EmployeeData[Join Date], ROW() - 37), "")</f>
        <v>44743</v>
      </c>
      <c r="H361" s="6"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6" cm="1">
        <f t="array" ref="G362">IFERROR(INDEX(EmployeeData[Join Date], ROW() - 37), "")</f>
        <v>44345</v>
      </c>
      <c r="H362" s="6"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6" cm="1">
        <f t="array" ref="G363">IFERROR(INDEX(EmployeeData[Join Date], ROW() - 37), "")</f>
        <v>44105</v>
      </c>
      <c r="H363" s="6"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6" cm="1">
        <f t="array" ref="G364">IFERROR(INDEX(EmployeeData[Join Date], ROW() - 37), "")</f>
        <v>44360</v>
      </c>
      <c r="H364" s="6"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6" cm="1">
        <f t="array" ref="G365">IFERROR(INDEX(EmployeeData[Join Date], ROW() - 37), "")</f>
        <v>43482</v>
      </c>
      <c r="H365" s="6"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6" cm="1">
        <f t="array" ref="G366">IFERROR(INDEX(EmployeeData[Join Date], ROW() - 37), "")</f>
        <v>45479</v>
      </c>
      <c r="H366" s="6"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6" cm="1">
        <f t="array" ref="G367">IFERROR(INDEX(EmployeeData[Join Date], ROW() - 37), "")</f>
        <v>44295</v>
      </c>
      <c r="H367" s="6"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6" cm="1">
        <f t="array" ref="G368">IFERROR(INDEX(EmployeeData[Join Date], ROW() - 37), "")</f>
        <v>43406</v>
      </c>
      <c r="H368" s="6"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6" cm="1">
        <f t="array" ref="G369">IFERROR(INDEX(EmployeeData[Join Date], ROW() - 37), "")</f>
        <v>43595</v>
      </c>
      <c r="H369" s="6"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6" cm="1">
        <f t="array" ref="G370">IFERROR(INDEX(EmployeeData[Join Date], ROW() - 37), "")</f>
        <v>45987</v>
      </c>
      <c r="H370" s="6"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6" cm="1">
        <f t="array" ref="G371">IFERROR(INDEX(EmployeeData[Join Date], ROW() - 37), "")</f>
        <v>44558</v>
      </c>
      <c r="H371" s="6"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6" cm="1">
        <f t="array" ref="G372">IFERROR(INDEX(EmployeeData[Join Date], ROW() - 37), "")</f>
        <v>45378</v>
      </c>
      <c r="H372" s="6"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6" cm="1">
        <f t="array" ref="G373">IFERROR(INDEX(EmployeeData[Join Date], ROW() - 37), "")</f>
        <v>43636</v>
      </c>
      <c r="H373" s="6"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6" cm="1">
        <f t="array" ref="G374">IFERROR(INDEX(EmployeeData[Join Date], ROW() - 37), "")</f>
        <v>43628</v>
      </c>
      <c r="H374" s="6"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6" cm="1">
        <f t="array" ref="G375">IFERROR(INDEX(EmployeeData[Join Date], ROW() - 37), "")</f>
        <v>44668</v>
      </c>
      <c r="H375" s="6"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6" cm="1">
        <f t="array" ref="G376">IFERROR(INDEX(EmployeeData[Join Date], ROW() - 37), "")</f>
        <v>43242</v>
      </c>
      <c r="H376" s="6"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6" cm="1">
        <f t="array" ref="G377">IFERROR(INDEX(EmployeeData[Join Date], ROW() - 37), "")</f>
        <v>44246</v>
      </c>
      <c r="H377" s="6"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6" cm="1">
        <f t="array" ref="G378">IFERROR(INDEX(EmployeeData[Join Date], ROW() - 37), "")</f>
        <v>43180</v>
      </c>
      <c r="H378" s="6"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6" cm="1">
        <f t="array" ref="G379">IFERROR(INDEX(EmployeeData[Join Date], ROW() - 37), "")</f>
        <v>44691</v>
      </c>
      <c r="H379" s="6"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6" cm="1">
        <f t="array" ref="G380">IFERROR(INDEX(EmployeeData[Join Date], ROW() - 37), "")</f>
        <v>43754</v>
      </c>
      <c r="H380" s="6"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6" cm="1">
        <f t="array" ref="G381">IFERROR(INDEX(EmployeeData[Join Date], ROW() - 37), "")</f>
        <v>43822</v>
      </c>
      <c r="H381" s="6"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6" cm="1">
        <f t="array" ref="G382">IFERROR(INDEX(EmployeeData[Join Date], ROW() - 37), "")</f>
        <v>43872</v>
      </c>
      <c r="H382" s="6"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6" cm="1">
        <f t="array" ref="G383">IFERROR(INDEX(EmployeeData[Join Date], ROW() - 37), "")</f>
        <v>43182</v>
      </c>
      <c r="H383" s="6"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6" cm="1">
        <f t="array" ref="G384">IFERROR(INDEX(EmployeeData[Join Date], ROW() - 37), "")</f>
        <v>44426</v>
      </c>
      <c r="H384" s="6"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6" cm="1">
        <f t="array" ref="G385">IFERROR(INDEX(EmployeeData[Join Date], ROW() - 37), "")</f>
        <v>45986</v>
      </c>
      <c r="H385" s="6"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6" cm="1">
        <f t="array" ref="G386">IFERROR(INDEX(EmployeeData[Join Date], ROW() - 37), "")</f>
        <v>45719</v>
      </c>
      <c r="H386" s="6"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6" cm="1">
        <f t="array" ref="G387">IFERROR(INDEX(EmployeeData[Join Date], ROW() - 37), "")</f>
        <v>44015</v>
      </c>
      <c r="H387" s="6"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6" cm="1">
        <f t="array" ref="G388">IFERROR(INDEX(EmployeeData[Join Date], ROW() - 37), "")</f>
        <v>44704</v>
      </c>
      <c r="H388" s="6"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6" cm="1">
        <f t="array" ref="G389">IFERROR(INDEX(EmployeeData[Join Date], ROW() - 37), "")</f>
        <v>45720</v>
      </c>
      <c r="H389" s="6"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6" cm="1">
        <f t="array" ref="G390">IFERROR(INDEX(EmployeeData[Join Date], ROW() - 37), "")</f>
        <v>45706</v>
      </c>
      <c r="H390" s="6"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6" cm="1">
        <f t="array" ref="G391">IFERROR(INDEX(EmployeeData[Join Date], ROW() - 37), "")</f>
        <v>44187</v>
      </c>
      <c r="H391" s="6"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6" cm="1">
        <f t="array" ref="G392">IFERROR(INDEX(EmployeeData[Join Date], ROW() - 37), "")</f>
        <v>43782</v>
      </c>
      <c r="H392" s="6"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6" cm="1">
        <f t="array" ref="G393">IFERROR(INDEX(EmployeeData[Join Date], ROW() - 37), "")</f>
        <v>45767</v>
      </c>
      <c r="H393" s="6"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6" cm="1">
        <f t="array" ref="G394">IFERROR(INDEX(EmployeeData[Join Date], ROW() - 37), "")</f>
        <v>43404</v>
      </c>
      <c r="H394" s="6"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6" cm="1">
        <f t="array" ref="G395">IFERROR(INDEX(EmployeeData[Join Date], ROW() - 37), "")</f>
        <v>45986</v>
      </c>
      <c r="H395" s="6"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6" cm="1">
        <f t="array" ref="G396">IFERROR(INDEX(EmployeeData[Join Date], ROW() - 37), "")</f>
        <v>45313</v>
      </c>
      <c r="H396" s="6"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6" cm="1">
        <f t="array" ref="G397">IFERROR(INDEX(EmployeeData[Join Date], ROW() - 37), "")</f>
        <v>43459</v>
      </c>
      <c r="H397" s="6"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6" cm="1">
        <f t="array" ref="G398">IFERROR(INDEX(EmployeeData[Join Date], ROW() - 37), "")</f>
        <v>44364</v>
      </c>
      <c r="H398" s="6"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6" cm="1">
        <f t="array" ref="G399">IFERROR(INDEX(EmployeeData[Join Date], ROW() - 37), "")</f>
        <v>43858</v>
      </c>
      <c r="H399" s="6"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6" cm="1">
        <f t="array" ref="G400">IFERROR(INDEX(EmployeeData[Join Date], ROW() - 37), "")</f>
        <v>43353</v>
      </c>
      <c r="H400" s="6"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6" cm="1">
        <f t="array" ref="G401">IFERROR(INDEX(EmployeeData[Join Date], ROW() - 37), "")</f>
        <v>44815</v>
      </c>
      <c r="H401" s="6"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6" cm="1">
        <f t="array" ref="G402">IFERROR(INDEX(EmployeeData[Join Date], ROW() - 37), "")</f>
        <v>45157</v>
      </c>
      <c r="H402" s="6"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6" cm="1">
        <f t="array" ref="G403">IFERROR(INDEX(EmployeeData[Join Date], ROW() - 37), "")</f>
        <v>43809</v>
      </c>
      <c r="H403" s="6"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6" cm="1">
        <f t="array" ref="G404">IFERROR(INDEX(EmployeeData[Join Date], ROW() - 37), "")</f>
        <v>43928</v>
      </c>
      <c r="H404" s="6"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6" cm="1">
        <f t="array" ref="G405">IFERROR(INDEX(EmployeeData[Join Date], ROW() - 37), "")</f>
        <v>44436</v>
      </c>
      <c r="H405" s="6"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6" cm="1">
        <f t="array" ref="G406">IFERROR(INDEX(EmployeeData[Join Date], ROW() - 37), "")</f>
        <v>45241</v>
      </c>
      <c r="H406" s="6"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6" cm="1">
        <f t="array" ref="G407">IFERROR(INDEX(EmployeeData[Join Date], ROW() - 37), "")</f>
        <v>44272</v>
      </c>
      <c r="H407" s="6"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6" cm="1">
        <f t="array" ref="G408">IFERROR(INDEX(EmployeeData[Join Date], ROW() - 37), "")</f>
        <v>44229</v>
      </c>
      <c r="H408" s="6"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6" cm="1">
        <f t="array" ref="G409">IFERROR(INDEX(EmployeeData[Join Date], ROW() - 37), "")</f>
        <v>45929</v>
      </c>
      <c r="H409" s="6"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6" cm="1">
        <f t="array" ref="G410">IFERROR(INDEX(EmployeeData[Join Date], ROW() - 37), "")</f>
        <v>44034</v>
      </c>
      <c r="H410" s="6"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6" cm="1">
        <f t="array" ref="G411">IFERROR(INDEX(EmployeeData[Join Date], ROW() - 37), "")</f>
        <v>43966</v>
      </c>
      <c r="H411" s="6"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6" cm="1">
        <f t="array" ref="G412">IFERROR(INDEX(EmployeeData[Join Date], ROW() - 37), "")</f>
        <v>43369</v>
      </c>
      <c r="H412" s="6"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6" cm="1">
        <f t="array" ref="G413">IFERROR(INDEX(EmployeeData[Join Date], ROW() - 37), "")</f>
        <v>44122</v>
      </c>
      <c r="H413" s="6"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6" cm="1">
        <f t="array" ref="G414">IFERROR(INDEX(EmployeeData[Join Date], ROW() - 37), "")</f>
        <v>45891</v>
      </c>
      <c r="H414" s="6"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6" cm="1">
        <f t="array" ref="G415">IFERROR(INDEX(EmployeeData[Join Date], ROW() - 37), "")</f>
        <v>43770</v>
      </c>
      <c r="H415" s="6"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6" cm="1">
        <f t="array" ref="G416">IFERROR(INDEX(EmployeeData[Join Date], ROW() - 37), "")</f>
        <v>43768</v>
      </c>
      <c r="H416" s="6"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6" cm="1">
        <f t="array" ref="G417">IFERROR(INDEX(EmployeeData[Join Date], ROW() - 37), "")</f>
        <v>45203</v>
      </c>
      <c r="H417" s="6"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6" cm="1">
        <f t="array" ref="G418">IFERROR(INDEX(EmployeeData[Join Date], ROW() - 37), "")</f>
        <v>44017</v>
      </c>
      <c r="H418" s="6"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6" cm="1">
        <f t="array" ref="G419">IFERROR(INDEX(EmployeeData[Join Date], ROW() - 37), "")</f>
        <v>45012</v>
      </c>
      <c r="H419" s="6"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6" cm="1">
        <f t="array" ref="G420">IFERROR(INDEX(EmployeeData[Join Date], ROW() - 37), "")</f>
        <v>44323</v>
      </c>
      <c r="H420" s="6"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6" cm="1">
        <f t="array" ref="G421">IFERROR(INDEX(EmployeeData[Join Date], ROW() - 37), "")</f>
        <v>45788</v>
      </c>
      <c r="H421" s="6"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6" cm="1">
        <f t="array" ref="G422">IFERROR(INDEX(EmployeeData[Join Date], ROW() - 37), "")</f>
        <v>45806</v>
      </c>
      <c r="H422" s="6"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6" cm="1">
        <f t="array" ref="G423">IFERROR(INDEX(EmployeeData[Join Date], ROW() - 37), "")</f>
        <v>46001</v>
      </c>
      <c r="H423" s="6"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6" cm="1">
        <f t="array" ref="G424">IFERROR(INDEX(EmployeeData[Join Date], ROW() - 37), "")</f>
        <v>45852</v>
      </c>
      <c r="H424" s="6"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6" cm="1">
        <f t="array" ref="G425">IFERROR(INDEX(EmployeeData[Join Date], ROW() - 37), "")</f>
        <v>43850</v>
      </c>
      <c r="H425" s="6"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6" cm="1">
        <f t="array" ref="G426">IFERROR(INDEX(EmployeeData[Join Date], ROW() - 37), "")</f>
        <v>44458</v>
      </c>
      <c r="H426" s="6"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6" cm="1">
        <f t="array" ref="G427">IFERROR(INDEX(EmployeeData[Join Date], ROW() - 37), "")</f>
        <v>45035</v>
      </c>
      <c r="H427" s="6"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6" cm="1">
        <f t="array" ref="G428">IFERROR(INDEX(EmployeeData[Join Date], ROW() - 37), "")</f>
        <v>43718</v>
      </c>
      <c r="H428" s="6"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6" cm="1">
        <f t="array" ref="G429">IFERROR(INDEX(EmployeeData[Join Date], ROW() - 37), "")</f>
        <v>44384</v>
      </c>
      <c r="H429" s="6"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6" cm="1">
        <f t="array" ref="G430">IFERROR(INDEX(EmployeeData[Join Date], ROW() - 37), "")</f>
        <v>43631</v>
      </c>
      <c r="H430" s="6"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6" cm="1">
        <f t="array" ref="G431">IFERROR(INDEX(EmployeeData[Join Date], ROW() - 37), "")</f>
        <v>44629</v>
      </c>
      <c r="H431" s="6"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6" cm="1">
        <f t="array" ref="G432">IFERROR(INDEX(EmployeeData[Join Date], ROW() - 37), "")</f>
        <v>44379</v>
      </c>
      <c r="H432" s="6"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6" cm="1">
        <f t="array" ref="G433">IFERROR(INDEX(EmployeeData[Join Date], ROW() - 37), "")</f>
        <v>45543</v>
      </c>
      <c r="H433" s="6"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6" cm="1">
        <f t="array" ref="G434">IFERROR(INDEX(EmployeeData[Join Date], ROW() - 37), "")</f>
        <v>43872</v>
      </c>
      <c r="H434" s="6"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6" cm="1">
        <f t="array" ref="G435">IFERROR(INDEX(EmployeeData[Join Date], ROW() - 37), "")</f>
        <v>43793</v>
      </c>
      <c r="H435" s="6"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6" cm="1">
        <f t="array" ref="G436">IFERROR(INDEX(EmployeeData[Join Date], ROW() - 37), "")</f>
        <v>45778</v>
      </c>
      <c r="H436" s="6"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6" cm="1">
        <f t="array" ref="G437">IFERROR(INDEX(EmployeeData[Join Date], ROW() - 37), "")</f>
        <v>45975</v>
      </c>
      <c r="H437" s="6"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6" cm="1">
        <f t="array" ref="G438">IFERROR(INDEX(EmployeeData[Join Date], ROW() - 37), "")</f>
        <v>44816</v>
      </c>
      <c r="H438" s="6"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6" cm="1">
        <f t="array" ref="G439">IFERROR(INDEX(EmployeeData[Join Date], ROW() - 37), "")</f>
        <v>45139</v>
      </c>
      <c r="H439" s="6"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6" cm="1">
        <f t="array" ref="G440">IFERROR(INDEX(EmployeeData[Join Date], ROW() - 37), "")</f>
        <v>43951</v>
      </c>
      <c r="H440" s="6"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6" cm="1">
        <f t="array" ref="G441">IFERROR(INDEX(EmployeeData[Join Date], ROW() - 37), "")</f>
        <v>45841</v>
      </c>
      <c r="H441" s="6"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6" cm="1">
        <f t="array" ref="G442">IFERROR(INDEX(EmployeeData[Join Date], ROW() - 37), "")</f>
        <v>44313</v>
      </c>
      <c r="H442" s="6"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6" cm="1">
        <f t="array" ref="G443">IFERROR(INDEX(EmployeeData[Join Date], ROW() - 37), "")</f>
        <v>43575</v>
      </c>
      <c r="H443" s="6"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6" cm="1">
        <f t="array" ref="G444">IFERROR(INDEX(EmployeeData[Join Date], ROW() - 37), "")</f>
        <v>43481</v>
      </c>
      <c r="H444" s="6"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6" cm="1">
        <f t="array" ref="G445">IFERROR(INDEX(EmployeeData[Join Date], ROW() - 37), "")</f>
        <v>44828</v>
      </c>
      <c r="H445" s="6"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6" cm="1">
        <f t="array" ref="G446">IFERROR(INDEX(EmployeeData[Join Date], ROW() - 37), "")</f>
        <v>44805</v>
      </c>
      <c r="H446" s="6"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6" cm="1">
        <f t="array" ref="G447">IFERROR(INDEX(EmployeeData[Join Date], ROW() - 37), "")</f>
        <v>45605</v>
      </c>
      <c r="H447" s="6"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6" cm="1">
        <f t="array" ref="G448">IFERROR(INDEX(EmployeeData[Join Date], ROW() - 37), "")</f>
        <v>43360</v>
      </c>
      <c r="H448" s="6"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6" cm="1">
        <f t="array" ref="G449">IFERROR(INDEX(EmployeeData[Join Date], ROW() - 37), "")</f>
        <v>45227</v>
      </c>
      <c r="H449" s="6"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6" cm="1">
        <f t="array" ref="G450">IFERROR(INDEX(EmployeeData[Join Date], ROW() - 37), "")</f>
        <v>43709</v>
      </c>
      <c r="H450" s="6"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6" cm="1">
        <f t="array" ref="G451">IFERROR(INDEX(EmployeeData[Join Date], ROW() - 37), "")</f>
        <v>43778</v>
      </c>
      <c r="H451" s="6"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6" cm="1">
        <f t="array" ref="G452">IFERROR(INDEX(EmployeeData[Join Date], ROW() - 37), "")</f>
        <v>44920</v>
      </c>
      <c r="H452" s="6"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6" cm="1">
        <f t="array" ref="G453">IFERROR(INDEX(EmployeeData[Join Date], ROW() - 37), "")</f>
        <v>45777</v>
      </c>
      <c r="H453" s="6"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6" cm="1">
        <f t="array" ref="G454">IFERROR(INDEX(EmployeeData[Join Date], ROW() - 37), "")</f>
        <v>45183</v>
      </c>
      <c r="H454" s="6"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6" cm="1">
        <f t="array" ref="G455">IFERROR(INDEX(EmployeeData[Join Date], ROW() - 37), "")</f>
        <v>45395</v>
      </c>
      <c r="H455" s="6"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6" cm="1">
        <f t="array" ref="G456">IFERROR(INDEX(EmployeeData[Join Date], ROW() - 37), "")</f>
        <v>45799</v>
      </c>
      <c r="H456" s="6"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6" cm="1">
        <f t="array" ref="G457">IFERROR(INDEX(EmployeeData[Join Date], ROW() - 37), "")</f>
        <v>44777</v>
      </c>
      <c r="H457" s="6"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6" cm="1">
        <f t="array" ref="G458">IFERROR(INDEX(EmployeeData[Join Date], ROW() - 37), "")</f>
        <v>43291</v>
      </c>
      <c r="H458" s="6"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6" cm="1">
        <f t="array" ref="G459">IFERROR(INDEX(EmployeeData[Join Date], ROW() - 37), "")</f>
        <v>45367</v>
      </c>
      <c r="H459" s="6"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6" cm="1">
        <f t="array" ref="G460">IFERROR(INDEX(EmployeeData[Join Date], ROW() - 37), "")</f>
        <v>43626</v>
      </c>
      <c r="H460" s="6"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6" cm="1">
        <f t="array" ref="G461">IFERROR(INDEX(EmployeeData[Join Date], ROW() - 37), "")</f>
        <v>44730</v>
      </c>
      <c r="H461" s="6"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6" cm="1">
        <f t="array" ref="G462">IFERROR(INDEX(EmployeeData[Join Date], ROW() - 37), "")</f>
        <v>44325</v>
      </c>
      <c r="H462" s="6"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6" cm="1">
        <f t="array" ref="G463">IFERROR(INDEX(EmployeeData[Join Date], ROW() - 37), "")</f>
        <v>43959</v>
      </c>
      <c r="H463" s="6"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6" cm="1">
        <f t="array" ref="G464">IFERROR(INDEX(EmployeeData[Join Date], ROW() - 37), "")</f>
        <v>45164</v>
      </c>
      <c r="H464" s="6"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6" cm="1">
        <f t="array" ref="G465">IFERROR(INDEX(EmployeeData[Join Date], ROW() - 37), "")</f>
        <v>45862</v>
      </c>
      <c r="H465" s="6"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6" cm="1">
        <f t="array" ref="G466">IFERROR(INDEX(EmployeeData[Join Date], ROW() - 37), "")</f>
        <v>43204</v>
      </c>
      <c r="H466" s="6"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6" cm="1">
        <f t="array" ref="G467">IFERROR(INDEX(EmployeeData[Join Date], ROW() - 37), "")</f>
        <v>45900</v>
      </c>
      <c r="H467" s="6"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6" cm="1">
        <f t="array" ref="G468">IFERROR(INDEX(EmployeeData[Join Date], ROW() - 37), "")</f>
        <v>45624</v>
      </c>
      <c r="H468" s="6"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6" cm="1">
        <f t="array" ref="G469">IFERROR(INDEX(EmployeeData[Join Date], ROW() - 37), "")</f>
        <v>45939</v>
      </c>
      <c r="H469" s="6"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6" cm="1">
        <f t="array" ref="G470">IFERROR(INDEX(EmployeeData[Join Date], ROW() - 37), "")</f>
        <v>43932</v>
      </c>
      <c r="H470" s="6"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6" cm="1">
        <f t="array" ref="G471">IFERROR(INDEX(EmployeeData[Join Date], ROW() - 37), "")</f>
        <v>45339</v>
      </c>
      <c r="H471" s="6"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6" cm="1">
        <f t="array" ref="G472">IFERROR(INDEX(EmployeeData[Join Date], ROW() - 37), "")</f>
        <v>43866</v>
      </c>
      <c r="H472" s="6"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6" cm="1">
        <f t="array" ref="G473">IFERROR(INDEX(EmployeeData[Join Date], ROW() - 37), "")</f>
        <v>45493</v>
      </c>
      <c r="H473" s="6"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6" cm="1">
        <f t="array" ref="G474">IFERROR(INDEX(EmployeeData[Join Date], ROW() - 37), "")</f>
        <v>45662</v>
      </c>
      <c r="H474" s="6"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6" cm="1">
        <f t="array" ref="G475">IFERROR(INDEX(EmployeeData[Join Date], ROW() - 37), "")</f>
        <v>45253</v>
      </c>
      <c r="H475" s="6"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6" cm="1">
        <f t="array" ref="G476">IFERROR(INDEX(EmployeeData[Join Date], ROW() - 37), "")</f>
        <v>45818</v>
      </c>
      <c r="H476" s="6"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6" cm="1">
        <f t="array" ref="G477">IFERROR(INDEX(EmployeeData[Join Date], ROW() - 37), "")</f>
        <v>43264</v>
      </c>
      <c r="H477" s="6"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6" cm="1">
        <f t="array" ref="G478">IFERROR(INDEX(EmployeeData[Join Date], ROW() - 37), "")</f>
        <v>44259</v>
      </c>
      <c r="H478" s="6"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6" cm="1">
        <f t="array" ref="G479">IFERROR(INDEX(EmployeeData[Join Date], ROW() - 37), "")</f>
        <v>44413</v>
      </c>
      <c r="H479" s="6"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6" cm="1">
        <f t="array" ref="G480">IFERROR(INDEX(EmployeeData[Join Date], ROW() - 37), "")</f>
        <v>43964</v>
      </c>
      <c r="H480" s="6"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6" cm="1">
        <f t="array" ref="G481">IFERROR(INDEX(EmployeeData[Join Date], ROW() - 37), "")</f>
        <v>45749</v>
      </c>
      <c r="H481" s="6"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6" cm="1">
        <f t="array" ref="G482">IFERROR(INDEX(EmployeeData[Join Date], ROW() - 37), "")</f>
        <v>43459</v>
      </c>
      <c r="H482" s="6"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6" cm="1">
        <f t="array" ref="G483">IFERROR(INDEX(EmployeeData[Join Date], ROW() - 37), "")</f>
        <v>45682</v>
      </c>
      <c r="H483" s="6"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6" cm="1">
        <f t="array" ref="G484">IFERROR(INDEX(EmployeeData[Join Date], ROW() - 37), "")</f>
        <v>45499</v>
      </c>
      <c r="H484" s="6"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6" cm="1">
        <f t="array" ref="G485">IFERROR(INDEX(EmployeeData[Join Date], ROW() - 37), "")</f>
        <v>44663</v>
      </c>
      <c r="H485" s="6"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6" cm="1">
        <f t="array" ref="G486">IFERROR(INDEX(EmployeeData[Join Date], ROW() - 37), "")</f>
        <v>44309</v>
      </c>
      <c r="H486" s="6"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6" cm="1">
        <f t="array" ref="G487">IFERROR(INDEX(EmployeeData[Join Date], ROW() - 37), "")</f>
        <v>43146</v>
      </c>
      <c r="H487" s="6"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6" cm="1">
        <f t="array" ref="G488">IFERROR(INDEX(EmployeeData[Join Date], ROW() - 37), "")</f>
        <v>43449</v>
      </c>
      <c r="H488" s="6"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6" cm="1">
        <f t="array" ref="G489">IFERROR(INDEX(EmployeeData[Join Date], ROW() - 37), "")</f>
        <v>43843</v>
      </c>
      <c r="H489" s="6"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6" cm="1">
        <f t="array" ref="G490">IFERROR(INDEX(EmployeeData[Join Date], ROW() - 37), "")</f>
        <v>45741</v>
      </c>
      <c r="H490" s="6"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6" cm="1">
        <f t="array" ref="G491">IFERROR(INDEX(EmployeeData[Join Date], ROW() - 37), "")</f>
        <v>44563</v>
      </c>
      <c r="H491" s="6"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6" cm="1">
        <f t="array" ref="G492">IFERROR(INDEX(EmployeeData[Join Date], ROW() - 37), "")</f>
        <v>43725</v>
      </c>
      <c r="H492" s="6"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6" cm="1">
        <f t="array" ref="G493">IFERROR(INDEX(EmployeeData[Join Date], ROW() - 37), "")</f>
        <v>45725</v>
      </c>
      <c r="H493" s="6"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6" cm="1">
        <f t="array" ref="G494">IFERROR(INDEX(EmployeeData[Join Date], ROW() - 37), "")</f>
        <v>44570</v>
      </c>
      <c r="H494" s="6"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6" cm="1">
        <f t="array" ref="G495">IFERROR(INDEX(EmployeeData[Join Date], ROW() - 37), "")</f>
        <v>45307</v>
      </c>
      <c r="H495" s="6"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6" cm="1">
        <f t="array" ref="G496">IFERROR(INDEX(EmployeeData[Join Date], ROW() - 37), "")</f>
        <v>45472</v>
      </c>
      <c r="H496" s="6"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6" cm="1">
        <f t="array" ref="G497">IFERROR(INDEX(EmployeeData[Join Date], ROW() - 37), "")</f>
        <v>45034</v>
      </c>
      <c r="H497" s="6"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6" cm="1">
        <f t="array" ref="G498">IFERROR(INDEX(EmployeeData[Join Date], ROW() - 37), "")</f>
        <v>44726</v>
      </c>
      <c r="H498" s="6"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6" cm="1">
        <f t="array" ref="G499">IFERROR(INDEX(EmployeeData[Join Date], ROW() - 37), "")</f>
        <v>45081</v>
      </c>
      <c r="H499" s="6"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6" cm="1">
        <f t="array" ref="G500">IFERROR(INDEX(EmployeeData[Join Date], ROW() - 37), "")</f>
        <v>43276</v>
      </c>
      <c r="H500" s="6"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6" cm="1">
        <f t="array" ref="G501">IFERROR(INDEX(EmployeeData[Join Date], ROW() - 37), "")</f>
        <v>43523</v>
      </c>
      <c r="H501" s="6"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6" cm="1">
        <f t="array" ref="G502">IFERROR(INDEX(EmployeeData[Join Date], ROW() - 37), "")</f>
        <v>45436</v>
      </c>
      <c r="H502" s="6"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6" cm="1">
        <f t="array" ref="G503">IFERROR(INDEX(EmployeeData[Join Date], ROW() - 37), "")</f>
        <v>45095</v>
      </c>
      <c r="H503" s="6"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6" cm="1">
        <f t="array" ref="G504">IFERROR(INDEX(EmployeeData[Join Date], ROW() - 37), "")</f>
        <v>45736</v>
      </c>
      <c r="H504" s="6"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6" cm="1">
        <f t="array" ref="G505">IFERROR(INDEX(EmployeeData[Join Date], ROW() - 37), "")</f>
        <v>43565</v>
      </c>
      <c r="H505" s="6"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6" cm="1">
        <f t="array" ref="G506">IFERROR(INDEX(EmployeeData[Join Date], ROW() - 37), "")</f>
        <v>43277</v>
      </c>
      <c r="H506" s="6"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6" cm="1">
        <f t="array" ref="G507">IFERROR(INDEX(EmployeeData[Join Date], ROW() - 37), "")</f>
        <v>45217</v>
      </c>
      <c r="H507" s="6"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6" cm="1">
        <f t="array" ref="G508">IFERROR(INDEX(EmployeeData[Join Date], ROW() - 37), "")</f>
        <v>45073</v>
      </c>
      <c r="H508" s="6"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6" cm="1">
        <f t="array" ref="G509">IFERROR(INDEX(EmployeeData[Join Date], ROW() - 37), "")</f>
        <v>43787</v>
      </c>
      <c r="H509" s="6"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6" cm="1">
        <f t="array" ref="G510">IFERROR(INDEX(EmployeeData[Join Date], ROW() - 37), "")</f>
        <v>43168</v>
      </c>
      <c r="H510" s="6"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6" cm="1">
        <f t="array" ref="G511">IFERROR(INDEX(EmployeeData[Join Date], ROW() - 37), "")</f>
        <v>45162</v>
      </c>
      <c r="H511" s="6"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6" cm="1">
        <f t="array" ref="G512">IFERROR(INDEX(EmployeeData[Join Date], ROW() - 37), "")</f>
        <v>45880</v>
      </c>
      <c r="H512" s="6"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6" cm="1">
        <f t="array" ref="G513">IFERROR(INDEX(EmployeeData[Join Date], ROW() - 37), "")</f>
        <v>44662</v>
      </c>
      <c r="H513" s="6"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6" cm="1">
        <f t="array" ref="G514">IFERROR(INDEX(EmployeeData[Join Date], ROW() - 37), "")</f>
        <v>44774</v>
      </c>
      <c r="H514" s="6"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6" cm="1">
        <f t="array" ref="G515">IFERROR(INDEX(EmployeeData[Join Date], ROW() - 37), "")</f>
        <v>44775</v>
      </c>
      <c r="H515" s="6"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6" cm="1">
        <f t="array" ref="G516">IFERROR(INDEX(EmployeeData[Join Date], ROW() - 37), "")</f>
        <v>45888</v>
      </c>
      <c r="H516" s="6"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6" cm="1">
        <f t="array" ref="G517">IFERROR(INDEX(EmployeeData[Join Date], ROW() - 37), "")</f>
        <v>44140</v>
      </c>
      <c r="H517" s="6"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6" cm="1">
        <f t="array" ref="G518">IFERROR(INDEX(EmployeeData[Join Date], ROW() - 37), "")</f>
        <v>44042</v>
      </c>
      <c r="H518" s="6"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6" cm="1">
        <f t="array" ref="G519">IFERROR(INDEX(EmployeeData[Join Date], ROW() - 37), "")</f>
        <v>43759</v>
      </c>
      <c r="H519" s="6"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6" cm="1">
        <f t="array" ref="G520">IFERROR(INDEX(EmployeeData[Join Date], ROW() - 37), "")</f>
        <v>43363</v>
      </c>
      <c r="H520" s="6"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6" cm="1">
        <f t="array" ref="G521">IFERROR(INDEX(EmployeeData[Join Date], ROW() - 37), "")</f>
        <v>43818</v>
      </c>
      <c r="H521" s="6"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6" cm="1">
        <f t="array" ref="G522">IFERROR(INDEX(EmployeeData[Join Date], ROW() - 37), "")</f>
        <v>45213</v>
      </c>
      <c r="H522" s="6"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6" cm="1">
        <f t="array" ref="G523">IFERROR(INDEX(EmployeeData[Join Date], ROW() - 37), "")</f>
        <v>43456</v>
      </c>
      <c r="H523" s="6"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6" cm="1">
        <f t="array" ref="G524">IFERROR(INDEX(EmployeeData[Join Date], ROW() - 37), "")</f>
        <v>45983</v>
      </c>
      <c r="H524" s="6"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6" cm="1">
        <f t="array" ref="G525">IFERROR(INDEX(EmployeeData[Join Date], ROW() - 37), "")</f>
        <v>44755</v>
      </c>
      <c r="H525" s="6"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6" cm="1">
        <f t="array" ref="G526">IFERROR(INDEX(EmployeeData[Join Date], ROW() - 37), "")</f>
        <v>43580</v>
      </c>
      <c r="H526" s="6"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6" cm="1">
        <f t="array" ref="G527">IFERROR(INDEX(EmployeeData[Join Date], ROW() - 37), "")</f>
        <v>45407</v>
      </c>
      <c r="H527" s="6"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6" cm="1">
        <f t="array" ref="G528">IFERROR(INDEX(EmployeeData[Join Date], ROW() - 37), "")</f>
        <v>43213</v>
      </c>
      <c r="H528" s="6"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6" cm="1">
        <f t="array" ref="G529">IFERROR(INDEX(EmployeeData[Join Date], ROW() - 37), "")</f>
        <v>44790</v>
      </c>
      <c r="H529" s="6"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6" cm="1">
        <f t="array" ref="G530">IFERROR(INDEX(EmployeeData[Join Date], ROW() - 37), "")</f>
        <v>43412</v>
      </c>
      <c r="H530" s="6"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6" cm="1">
        <f t="array" ref="G531">IFERROR(INDEX(EmployeeData[Join Date], ROW() - 37), "")</f>
        <v>45144</v>
      </c>
      <c r="H531" s="6"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6" cm="1">
        <f t="array" ref="G532">IFERROR(INDEX(EmployeeData[Join Date], ROW() - 37), "")</f>
        <v>45634</v>
      </c>
      <c r="H532" s="6"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6" cm="1">
        <f t="array" ref="G533">IFERROR(INDEX(EmployeeData[Join Date], ROW() - 37), "")</f>
        <v>43274</v>
      </c>
      <c r="H533" s="6"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6" cm="1">
        <f t="array" ref="G534">IFERROR(INDEX(EmployeeData[Join Date], ROW() - 37), "")</f>
        <v>44248</v>
      </c>
      <c r="H534" s="6"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6" cm="1">
        <f t="array" ref="G535">IFERROR(INDEX(EmployeeData[Join Date], ROW() - 37), "")</f>
        <v>44523</v>
      </c>
      <c r="H535" s="6"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6" cm="1">
        <f t="array" ref="G536">IFERROR(INDEX(EmployeeData[Join Date], ROW() - 37), "")</f>
        <v>43149</v>
      </c>
      <c r="H536" s="6"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6" cm="1">
        <f t="array" ref="G537">IFERROR(INDEX(EmployeeData[Join Date], ROW() - 37), "")</f>
        <v>44177</v>
      </c>
      <c r="H537" s="6"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6" cm="1">
        <f t="array" ref="G538">IFERROR(INDEX(EmployeeData[Join Date], ROW() - 37), "")</f>
        <v>44596</v>
      </c>
      <c r="H538" s="6"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6" cm="1">
        <f t="array" ref="G539">IFERROR(INDEX(EmployeeData[Join Date], ROW() - 37), "")</f>
        <v>44206</v>
      </c>
      <c r="H539" s="6"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6" cm="1">
        <f t="array" ref="G540">IFERROR(INDEX(EmployeeData[Join Date], ROW() - 37), "")</f>
        <v>45038</v>
      </c>
      <c r="H540" s="6"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6" cm="1">
        <f t="array" ref="G541">IFERROR(INDEX(EmployeeData[Join Date], ROW() - 37), "")</f>
        <v>45426</v>
      </c>
      <c r="H541" s="6"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6" cm="1">
        <f t="array" ref="G542">IFERROR(INDEX(EmployeeData[Join Date], ROW() - 37), "")</f>
        <v>44471</v>
      </c>
      <c r="H542" s="6"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6" cm="1">
        <f t="array" ref="G543">IFERROR(INDEX(EmployeeData[Join Date], ROW() - 37), "")</f>
        <v>45463</v>
      </c>
      <c r="H543" s="6"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6" cm="1">
        <f t="array" ref="G544">IFERROR(INDEX(EmployeeData[Join Date], ROW() - 37), "")</f>
        <v>45097</v>
      </c>
      <c r="H544" s="6"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6" cm="1">
        <f t="array" ref="G545">IFERROR(INDEX(EmployeeData[Join Date], ROW() - 37), "")</f>
        <v>45724</v>
      </c>
      <c r="H545" s="6"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6" cm="1">
        <f t="array" ref="G546">IFERROR(INDEX(EmployeeData[Join Date], ROW() - 37), "")</f>
        <v>43425</v>
      </c>
      <c r="H546" s="6"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6" cm="1">
        <f t="array" ref="G547">IFERROR(INDEX(EmployeeData[Join Date], ROW() - 37), "")</f>
        <v>45505</v>
      </c>
      <c r="H547" s="6"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6" cm="1">
        <f t="array" ref="G548">IFERROR(INDEX(EmployeeData[Join Date], ROW() - 37), "")</f>
        <v>45971</v>
      </c>
      <c r="H548" s="6"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6" cm="1">
        <f t="array" ref="G549">IFERROR(INDEX(EmployeeData[Join Date], ROW() - 37), "")</f>
        <v>43321</v>
      </c>
      <c r="H549" s="6"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6" cm="1">
        <f t="array" ref="G550">IFERROR(INDEX(EmployeeData[Join Date], ROW() - 37), "")</f>
        <v>44368</v>
      </c>
      <c r="H550" s="6"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6" cm="1">
        <f t="array" ref="G551">IFERROR(INDEX(EmployeeData[Join Date], ROW() - 37), "")</f>
        <v>45051</v>
      </c>
      <c r="H551" s="6"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6" cm="1">
        <f t="array" ref="G552">IFERROR(INDEX(EmployeeData[Join Date], ROW() - 37), "")</f>
        <v>45521</v>
      </c>
      <c r="H552" s="6"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6" cm="1">
        <f t="array" ref="G553">IFERROR(INDEX(EmployeeData[Join Date], ROW() - 37), "")</f>
        <v>43467</v>
      </c>
      <c r="H553" s="6"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6" cm="1">
        <f t="array" ref="G554">IFERROR(INDEX(EmployeeData[Join Date], ROW() - 37), "")</f>
        <v>44509</v>
      </c>
      <c r="H554" s="6"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6" cm="1">
        <f t="array" ref="G555">IFERROR(INDEX(EmployeeData[Join Date], ROW() - 37), "")</f>
        <v>45346</v>
      </c>
      <c r="H555" s="6"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6" cm="1">
        <f t="array" ref="G556">IFERROR(INDEX(EmployeeData[Join Date], ROW() - 37), "")</f>
        <v>44830</v>
      </c>
      <c r="H556" s="6"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6" cm="1">
        <f t="array" ref="G557">IFERROR(INDEX(EmployeeData[Join Date], ROW() - 37), "")</f>
        <v>44202</v>
      </c>
      <c r="H557" s="6"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6" cm="1">
        <f t="array" ref="G558">IFERROR(INDEX(EmployeeData[Join Date], ROW() - 37), "")</f>
        <v>45970</v>
      </c>
      <c r="H558" s="6"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6" cm="1">
        <f t="array" ref="G559">IFERROR(INDEX(EmployeeData[Join Date], ROW() - 37), "")</f>
        <v>44256</v>
      </c>
      <c r="H559" s="6"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6" cm="1">
        <f t="array" ref="G560">IFERROR(INDEX(EmployeeData[Join Date], ROW() - 37), "")</f>
        <v>45142</v>
      </c>
      <c r="H560" s="6"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6" cm="1">
        <f t="array" ref="G561">IFERROR(INDEX(EmployeeData[Join Date], ROW() - 37), "")</f>
        <v>43330</v>
      </c>
      <c r="H561" s="6"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6" cm="1">
        <f t="array" ref="G562">IFERROR(INDEX(EmployeeData[Join Date], ROW() - 37), "")</f>
        <v>44120</v>
      </c>
      <c r="H562" s="6"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6" cm="1">
        <f t="array" ref="G563">IFERROR(INDEX(EmployeeData[Join Date], ROW() - 37), "")</f>
        <v>45235</v>
      </c>
      <c r="H563" s="6"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6" cm="1">
        <f t="array" ref="G564">IFERROR(INDEX(EmployeeData[Join Date], ROW() - 37), "")</f>
        <v>45352</v>
      </c>
      <c r="H564" s="6"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6" cm="1">
        <f t="array" ref="G565">IFERROR(INDEX(EmployeeData[Join Date], ROW() - 37), "")</f>
        <v>43563</v>
      </c>
      <c r="H565" s="6"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6" cm="1">
        <f t="array" ref="G566">IFERROR(INDEX(EmployeeData[Join Date], ROW() - 37), "")</f>
        <v>45920</v>
      </c>
      <c r="H566" s="6"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6" cm="1">
        <f t="array" ref="G567">IFERROR(INDEX(EmployeeData[Join Date], ROW() - 37), "")</f>
        <v>43345</v>
      </c>
      <c r="H567" s="6"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6" cm="1">
        <f t="array" ref="G568">IFERROR(INDEX(EmployeeData[Join Date], ROW() - 37), "")</f>
        <v>44897</v>
      </c>
      <c r="H568" s="6"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6" cm="1">
        <f t="array" ref="G569">IFERROR(INDEX(EmployeeData[Join Date], ROW() - 37), "")</f>
        <v>45390</v>
      </c>
      <c r="H569" s="6"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6" cm="1">
        <f t="array" ref="G570">IFERROR(INDEX(EmployeeData[Join Date], ROW() - 37), "")</f>
        <v>43757</v>
      </c>
      <c r="H570" s="6"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6" cm="1">
        <f t="array" ref="G571">IFERROR(INDEX(EmployeeData[Join Date], ROW() - 37), "")</f>
        <v>43177</v>
      </c>
      <c r="H571" s="6"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6" cm="1">
        <f t="array" ref="G572">IFERROR(INDEX(EmployeeData[Join Date], ROW() - 37), "")</f>
        <v>43878</v>
      </c>
      <c r="H572" s="6"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6" cm="1">
        <f t="array" ref="G573">IFERROR(INDEX(EmployeeData[Join Date], ROW() - 37), "")</f>
        <v>43495</v>
      </c>
      <c r="H573" s="6"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6" cm="1">
        <f t="array" ref="G574">IFERROR(INDEX(EmployeeData[Join Date], ROW() - 37), "")</f>
        <v>43539</v>
      </c>
      <c r="H574" s="6"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6" cm="1">
        <f t="array" ref="G575">IFERROR(INDEX(EmployeeData[Join Date], ROW() - 37), "")</f>
        <v>44149</v>
      </c>
      <c r="H575" s="6"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6" cm="1">
        <f t="array" ref="G576">IFERROR(INDEX(EmployeeData[Join Date], ROW() - 37), "")</f>
        <v>45018</v>
      </c>
      <c r="H576" s="6"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6" cm="1">
        <f t="array" ref="G577">IFERROR(INDEX(EmployeeData[Join Date], ROW() - 37), "")</f>
        <v>45627</v>
      </c>
      <c r="H577" s="6"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6" cm="1">
        <f t="array" ref="G578">IFERROR(INDEX(EmployeeData[Join Date], ROW() - 37), "")</f>
        <v>45278</v>
      </c>
      <c r="H578" s="6"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6" cm="1">
        <f t="array" ref="G579">IFERROR(INDEX(EmployeeData[Join Date], ROW() - 37), "")</f>
        <v>45387</v>
      </c>
      <c r="H579" s="6"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6" cm="1">
        <f t="array" ref="G580">IFERROR(INDEX(EmployeeData[Join Date], ROW() - 37), "")</f>
        <v>43784</v>
      </c>
      <c r="H580" s="6"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6" cm="1">
        <f t="array" ref="G581">IFERROR(INDEX(EmployeeData[Join Date], ROW() - 37), "")</f>
        <v>44391</v>
      </c>
      <c r="H581" s="6"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6" cm="1">
        <f t="array" ref="G582">IFERROR(INDEX(EmployeeData[Join Date], ROW() - 37), "")</f>
        <v>45407</v>
      </c>
      <c r="H582" s="6"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6" cm="1">
        <f t="array" ref="G583">IFERROR(INDEX(EmployeeData[Join Date], ROW() - 37), "")</f>
        <v>44727</v>
      </c>
      <c r="H583" s="6"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6" cm="1">
        <f t="array" ref="G584">IFERROR(INDEX(EmployeeData[Join Date], ROW() - 37), "")</f>
        <v>44390</v>
      </c>
      <c r="H584" s="6"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6" cm="1">
        <f t="array" ref="G585">IFERROR(INDEX(EmployeeData[Join Date], ROW() - 37), "")</f>
        <v>43667</v>
      </c>
      <c r="H585" s="6"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6" cm="1">
        <f t="array" ref="G586">IFERROR(INDEX(EmployeeData[Join Date], ROW() - 37), "")</f>
        <v>43809</v>
      </c>
      <c r="H586" s="6"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6" cm="1">
        <f t="array" ref="G587">IFERROR(INDEX(EmployeeData[Join Date], ROW() - 37), "")</f>
        <v>43422</v>
      </c>
      <c r="H587" s="6"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6" cm="1">
        <f t="array" ref="G588">IFERROR(INDEX(EmployeeData[Join Date], ROW() - 37), "")</f>
        <v>44029</v>
      </c>
      <c r="H588" s="6"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6" cm="1">
        <f t="array" ref="G589">IFERROR(INDEX(EmployeeData[Join Date], ROW() - 37), "")</f>
        <v>43269</v>
      </c>
      <c r="H589" s="6"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6" cm="1">
        <f t="array" ref="G590">IFERROR(INDEX(EmployeeData[Join Date], ROW() - 37), "")</f>
        <v>45168</v>
      </c>
      <c r="H590" s="6"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6" cm="1">
        <f t="array" ref="G591">IFERROR(INDEX(EmployeeData[Join Date], ROW() - 37), "")</f>
        <v>44176</v>
      </c>
      <c r="H591" s="6"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6" cm="1">
        <f t="array" ref="G592">IFERROR(INDEX(EmployeeData[Join Date], ROW() - 37), "")</f>
        <v>45399</v>
      </c>
      <c r="H592" s="6"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6" cm="1">
        <f t="array" ref="G593">IFERROR(INDEX(EmployeeData[Join Date], ROW() - 37), "")</f>
        <v>43467</v>
      </c>
      <c r="H593" s="6"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6" cm="1">
        <f t="array" ref="G594">IFERROR(INDEX(EmployeeData[Join Date], ROW() - 37), "")</f>
        <v>45625</v>
      </c>
      <c r="H594" s="6"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6" cm="1">
        <f t="array" ref="G595">IFERROR(INDEX(EmployeeData[Join Date], ROW() - 37), "")</f>
        <v>43739</v>
      </c>
      <c r="H595" s="6"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6" cm="1">
        <f t="array" ref="G596">IFERROR(INDEX(EmployeeData[Join Date], ROW() - 37), "")</f>
        <v>44279</v>
      </c>
      <c r="H596" s="6"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6" cm="1">
        <f t="array" ref="G597">IFERROR(INDEX(EmployeeData[Join Date], ROW() - 37), "")</f>
        <v>45339</v>
      </c>
      <c r="H597" s="6"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6" cm="1">
        <f t="array" ref="G598">IFERROR(INDEX(EmployeeData[Join Date], ROW() - 37), "")</f>
        <v>45488</v>
      </c>
      <c r="H598" s="6"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6" cm="1">
        <f t="array" ref="G599">IFERROR(INDEX(EmployeeData[Join Date], ROW() - 37), "")</f>
        <v>43318</v>
      </c>
      <c r="H599" s="6"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6" cm="1">
        <f t="array" ref="G600">IFERROR(INDEX(EmployeeData[Join Date], ROW() - 37), "")</f>
        <v>43542</v>
      </c>
      <c r="H600" s="6"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6" cm="1">
        <f t="array" ref="G601">IFERROR(INDEX(EmployeeData[Join Date], ROW() - 37), "")</f>
        <v>43864</v>
      </c>
      <c r="H601" s="6"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6" cm="1">
        <f t="array" ref="G602">IFERROR(INDEX(EmployeeData[Join Date], ROW() - 37), "")</f>
        <v>43176</v>
      </c>
      <c r="H602" s="6"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6" cm="1">
        <f t="array" ref="G603">IFERROR(INDEX(EmployeeData[Join Date], ROW() - 37), "")</f>
        <v>45664</v>
      </c>
      <c r="H603" s="6"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6" cm="1">
        <f t="array" ref="G604">IFERROR(INDEX(EmployeeData[Join Date], ROW() - 37), "")</f>
        <v>45791</v>
      </c>
      <c r="H604" s="6"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6" cm="1">
        <f t="array" ref="G605">IFERROR(INDEX(EmployeeData[Join Date], ROW() - 37), "")</f>
        <v>44940</v>
      </c>
      <c r="H605" s="6"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6" cm="1">
        <f t="array" ref="G606">IFERROR(INDEX(EmployeeData[Join Date], ROW() - 37), "")</f>
        <v>43654</v>
      </c>
      <c r="H606" s="6"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6" cm="1">
        <f t="array" ref="G607">IFERROR(INDEX(EmployeeData[Join Date], ROW() - 37), "")</f>
        <v>45284</v>
      </c>
      <c r="H607" s="6"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6" cm="1">
        <f t="array" ref="G608">IFERROR(INDEX(EmployeeData[Join Date], ROW() - 37), "")</f>
        <v>44785</v>
      </c>
      <c r="H608" s="6"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6" cm="1">
        <f t="array" ref="G609">IFERROR(INDEX(EmployeeData[Join Date], ROW() - 37), "")</f>
        <v>45581</v>
      </c>
      <c r="H609" s="6"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6" cm="1">
        <f t="array" ref="G610">IFERROR(INDEX(EmployeeData[Join Date], ROW() - 37), "")</f>
        <v>43650</v>
      </c>
      <c r="H610" s="6"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6" cm="1">
        <f t="array" ref="G611">IFERROR(INDEX(EmployeeData[Join Date], ROW() - 37), "")</f>
        <v>45041</v>
      </c>
      <c r="H611" s="6"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6" cm="1">
        <f t="array" ref="G612">IFERROR(INDEX(EmployeeData[Join Date], ROW() - 37), "")</f>
        <v>43938</v>
      </c>
      <c r="H612" s="6"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6" cm="1">
        <f t="array" ref="G613">IFERROR(INDEX(EmployeeData[Join Date], ROW() - 37), "")</f>
        <v>45591</v>
      </c>
      <c r="H613" s="6"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6" cm="1">
        <f t="array" ref="G614">IFERROR(INDEX(EmployeeData[Join Date], ROW() - 37), "")</f>
        <v>44107</v>
      </c>
      <c r="H614" s="6"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6" cm="1">
        <f t="array" ref="G615">IFERROR(INDEX(EmployeeData[Join Date], ROW() - 37), "")</f>
        <v>43878</v>
      </c>
      <c r="H615" s="6"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6" cm="1">
        <f t="array" ref="G616">IFERROR(INDEX(EmployeeData[Join Date], ROW() - 37), "")</f>
        <v>43683</v>
      </c>
      <c r="H616" s="6"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6" cm="1">
        <f t="array" ref="G617">IFERROR(INDEX(EmployeeData[Join Date], ROW() - 37), "")</f>
        <v>43655</v>
      </c>
      <c r="H617" s="6"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6" cm="1">
        <f t="array" ref="G618">IFERROR(INDEX(EmployeeData[Join Date], ROW() - 37), "")</f>
        <v>44963</v>
      </c>
      <c r="H618" s="6"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6" cm="1">
        <f t="array" ref="G619">IFERROR(INDEX(EmployeeData[Join Date], ROW() - 37), "")</f>
        <v>43450</v>
      </c>
      <c r="H619" s="6"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6" cm="1">
        <f t="array" ref="G620">IFERROR(INDEX(EmployeeData[Join Date], ROW() - 37), "")</f>
        <v>45355</v>
      </c>
      <c r="H620" s="6"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6" cm="1">
        <f t="array" ref="G621">IFERROR(INDEX(EmployeeData[Join Date], ROW() - 37), "")</f>
        <v>44819</v>
      </c>
      <c r="H621" s="6"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6" cm="1">
        <f t="array" ref="G622">IFERROR(INDEX(EmployeeData[Join Date], ROW() - 37), "")</f>
        <v>44979</v>
      </c>
      <c r="H622" s="6"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6" cm="1">
        <f t="array" ref="G623">IFERROR(INDEX(EmployeeData[Join Date], ROW() - 37), "")</f>
        <v>45512</v>
      </c>
      <c r="H623" s="6"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6" cm="1">
        <f t="array" ref="G624">IFERROR(INDEX(EmployeeData[Join Date], ROW() - 37), "")</f>
        <v>43951</v>
      </c>
      <c r="H624" s="6"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6" cm="1">
        <f t="array" ref="G625">IFERROR(INDEX(EmployeeData[Join Date], ROW() - 37), "")</f>
        <v>44457</v>
      </c>
      <c r="H625" s="6"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6" cm="1">
        <f t="array" ref="G626">IFERROR(INDEX(EmployeeData[Join Date], ROW() - 37), "")</f>
        <v>45403</v>
      </c>
      <c r="H626" s="6"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6" cm="1">
        <f t="array" ref="G627">IFERROR(INDEX(EmployeeData[Join Date], ROW() - 37), "")</f>
        <v>44851</v>
      </c>
      <c r="H627" s="6"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6" cm="1">
        <f t="array" ref="G628">IFERROR(INDEX(EmployeeData[Join Date], ROW() - 37), "")</f>
        <v>44795</v>
      </c>
      <c r="H628" s="6"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6" cm="1">
        <f t="array" ref="G629">IFERROR(INDEX(EmployeeData[Join Date], ROW() - 37), "")</f>
        <v>44850</v>
      </c>
      <c r="H629" s="6"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6" cm="1">
        <f t="array" ref="G630">IFERROR(INDEX(EmployeeData[Join Date], ROW() - 37), "")</f>
        <v>45229</v>
      </c>
      <c r="H630" s="6"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6" cm="1">
        <f t="array" ref="G631">IFERROR(INDEX(EmployeeData[Join Date], ROW() - 37), "")</f>
        <v>43893</v>
      </c>
      <c r="H631" s="6"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6" cm="1">
        <f t="array" ref="G632">IFERROR(INDEX(EmployeeData[Join Date], ROW() - 37), "")</f>
        <v>43287</v>
      </c>
      <c r="H632" s="6"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6" cm="1">
        <f t="array" ref="G633">IFERROR(INDEX(EmployeeData[Join Date], ROW() - 37), "")</f>
        <v>43126</v>
      </c>
      <c r="H633" s="6"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6" cm="1">
        <f t="array" ref="G634">IFERROR(INDEX(EmployeeData[Join Date], ROW() - 37), "")</f>
        <v>45855</v>
      </c>
      <c r="H634" s="6"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6" cm="1">
        <f t="array" ref="G635">IFERROR(INDEX(EmployeeData[Join Date], ROW() - 37), "")</f>
        <v>44473</v>
      </c>
      <c r="H635" s="6"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6" cm="1">
        <f t="array" ref="G636">IFERROR(INDEX(EmployeeData[Join Date], ROW() - 37), "")</f>
        <v>45295</v>
      </c>
      <c r="H636" s="6"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6" cm="1">
        <f t="array" ref="G637">IFERROR(INDEX(EmployeeData[Join Date], ROW() - 37), "")</f>
        <v>45667</v>
      </c>
      <c r="H637" s="6"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6" cm="1">
        <f t="array" ref="G638">IFERROR(INDEX(EmployeeData[Join Date], ROW() - 37), "")</f>
        <v>45989</v>
      </c>
      <c r="H638" s="6"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6" cm="1">
        <f t="array" ref="G639">IFERROR(INDEX(EmployeeData[Join Date], ROW() - 37), "")</f>
        <v>43986</v>
      </c>
      <c r="H639" s="6"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6" cm="1">
        <f t="array" ref="G640">IFERROR(INDEX(EmployeeData[Join Date], ROW() - 37), "")</f>
        <v>45173</v>
      </c>
      <c r="H640" s="6"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6" cm="1">
        <f t="array" ref="G641">IFERROR(INDEX(EmployeeData[Join Date], ROW() - 37), "")</f>
        <v>43687</v>
      </c>
      <c r="H641" s="6"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6" cm="1">
        <f t="array" ref="G642">IFERROR(INDEX(EmployeeData[Join Date], ROW() - 37), "")</f>
        <v>44688</v>
      </c>
      <c r="H642" s="6"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6" cm="1">
        <f t="array" ref="G643">IFERROR(INDEX(EmployeeData[Join Date], ROW() - 37), "")</f>
        <v>44466</v>
      </c>
      <c r="H643" s="6"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6" cm="1">
        <f t="array" ref="G644">IFERROR(INDEX(EmployeeData[Join Date], ROW() - 37), "")</f>
        <v>44415</v>
      </c>
      <c r="H644" s="6"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6" cm="1">
        <f t="array" ref="G645">IFERROR(INDEX(EmployeeData[Join Date], ROW() - 37), "")</f>
        <v>45206</v>
      </c>
      <c r="H645" s="6"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6" cm="1">
        <f t="array" ref="G646">IFERROR(INDEX(EmployeeData[Join Date], ROW() - 37), "")</f>
        <v>45612</v>
      </c>
      <c r="H646" s="6"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6" cm="1">
        <f t="array" ref="G647">IFERROR(INDEX(EmployeeData[Join Date], ROW() - 37), "")</f>
        <v>44672</v>
      </c>
      <c r="H647" s="6"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6" cm="1">
        <f t="array" ref="G648">IFERROR(INDEX(EmployeeData[Join Date], ROW() - 37), "")</f>
        <v>44380</v>
      </c>
      <c r="H648" s="6"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6" cm="1">
        <f t="array" ref="G649">IFERROR(INDEX(EmployeeData[Join Date], ROW() - 37), "")</f>
        <v>43481</v>
      </c>
      <c r="H649" s="6"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6" cm="1">
        <f t="array" ref="G650">IFERROR(INDEX(EmployeeData[Join Date], ROW() - 37), "")</f>
        <v>45627</v>
      </c>
      <c r="H650" s="6"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6" cm="1">
        <f t="array" ref="G651">IFERROR(INDEX(EmployeeData[Join Date], ROW() - 37), "")</f>
        <v>44990</v>
      </c>
      <c r="H651" s="6"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6" cm="1">
        <f t="array" ref="G652">IFERROR(INDEX(EmployeeData[Join Date], ROW() - 37), "")</f>
        <v>44435</v>
      </c>
      <c r="H652" s="6"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6" cm="1">
        <f t="array" ref="G653">IFERROR(INDEX(EmployeeData[Join Date], ROW() - 37), "")</f>
        <v>45345</v>
      </c>
      <c r="H653" s="6"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6" cm="1">
        <f t="array" ref="G654">IFERROR(INDEX(EmployeeData[Join Date], ROW() - 37), "")</f>
        <v>45424</v>
      </c>
      <c r="H654" s="6"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6" cm="1">
        <f t="array" ref="G655">IFERROR(INDEX(EmployeeData[Join Date], ROW() - 37), "")</f>
        <v>43569</v>
      </c>
      <c r="H655" s="6"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6" cm="1">
        <f t="array" ref="G656">IFERROR(INDEX(EmployeeData[Join Date], ROW() - 37), "")</f>
        <v>45551</v>
      </c>
      <c r="H656" s="6"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6" cm="1">
        <f t="array" ref="G657">IFERROR(INDEX(EmployeeData[Join Date], ROW() - 37), "")</f>
        <v>43701</v>
      </c>
      <c r="H657" s="6"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6" cm="1">
        <f t="array" ref="G658">IFERROR(INDEX(EmployeeData[Join Date], ROW() - 37), "")</f>
        <v>44328</v>
      </c>
      <c r="H658" s="6"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6" cm="1">
        <f t="array" ref="G659">IFERROR(INDEX(EmployeeData[Join Date], ROW() - 37), "")</f>
        <v>43134</v>
      </c>
      <c r="H659" s="6"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6" cm="1">
        <f t="array" ref="G660">IFERROR(INDEX(EmployeeData[Join Date], ROW() - 37), "")</f>
        <v>43318</v>
      </c>
      <c r="H660" s="6"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6" cm="1">
        <f t="array" ref="G661">IFERROR(INDEX(EmployeeData[Join Date], ROW() - 37), "")</f>
        <v>44663</v>
      </c>
      <c r="H661" s="6"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6" cm="1">
        <f t="array" ref="G662">IFERROR(INDEX(EmployeeData[Join Date], ROW() - 37), "")</f>
        <v>44809</v>
      </c>
      <c r="H662" s="6"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6" cm="1">
        <f t="array" ref="G663">IFERROR(INDEX(EmployeeData[Join Date], ROW() - 37), "")</f>
        <v>43447</v>
      </c>
      <c r="H663" s="6"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6" cm="1">
        <f t="array" ref="G664">IFERROR(INDEX(EmployeeData[Join Date], ROW() - 37), "")</f>
        <v>44676</v>
      </c>
      <c r="H664" s="6"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6" cm="1">
        <f t="array" ref="G665">IFERROR(INDEX(EmployeeData[Join Date], ROW() - 37), "")</f>
        <v>45461</v>
      </c>
      <c r="H665" s="6"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6" cm="1">
        <f t="array" ref="G666">IFERROR(INDEX(EmployeeData[Join Date], ROW() - 37), "")</f>
        <v>45005</v>
      </c>
      <c r="H666" s="6"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6" cm="1">
        <f t="array" ref="G667">IFERROR(INDEX(EmployeeData[Join Date], ROW() - 37), "")</f>
        <v>45902</v>
      </c>
      <c r="H667" s="6"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6" cm="1">
        <f t="array" ref="G668">IFERROR(INDEX(EmployeeData[Join Date], ROW() - 37), "")</f>
        <v>45021</v>
      </c>
      <c r="H668" s="6"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6" cm="1">
        <f t="array" ref="G669">IFERROR(INDEX(EmployeeData[Join Date], ROW() - 37), "")</f>
        <v>44285</v>
      </c>
      <c r="H669" s="6"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6" cm="1">
        <f t="array" ref="G670">IFERROR(INDEX(EmployeeData[Join Date], ROW() - 37), "")</f>
        <v>43793</v>
      </c>
      <c r="H670" s="6"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6" cm="1">
        <f t="array" ref="G671">IFERROR(INDEX(EmployeeData[Join Date], ROW() - 37), "")</f>
        <v>43415</v>
      </c>
      <c r="H671" s="6"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6" cm="1">
        <f t="array" ref="G672">IFERROR(INDEX(EmployeeData[Join Date], ROW() - 37), "")</f>
        <v>45574</v>
      </c>
      <c r="H672" s="6"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6" cm="1">
        <f t="array" ref="G673">IFERROR(INDEX(EmployeeData[Join Date], ROW() - 37), "")</f>
        <v>44505</v>
      </c>
      <c r="H673" s="6"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6" cm="1">
        <f t="array" ref="G674">IFERROR(INDEX(EmployeeData[Join Date], ROW() - 37), "")</f>
        <v>44670</v>
      </c>
      <c r="H674" s="6"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6" cm="1">
        <f t="array" ref="G675">IFERROR(INDEX(EmployeeData[Join Date], ROW() - 37), "")</f>
        <v>43316</v>
      </c>
      <c r="H675" s="6"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6" cm="1">
        <f t="array" ref="G676">IFERROR(INDEX(EmployeeData[Join Date], ROW() - 37), "")</f>
        <v>45044</v>
      </c>
      <c r="H676" s="6"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6" cm="1">
        <f t="array" ref="G677">IFERROR(INDEX(EmployeeData[Join Date], ROW() - 37), "")</f>
        <v>43499</v>
      </c>
      <c r="H677" s="6"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6" cm="1">
        <f t="array" ref="G678">IFERROR(INDEX(EmployeeData[Join Date], ROW() - 37), "")</f>
        <v>44194</v>
      </c>
      <c r="H678" s="6"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6" cm="1">
        <f t="array" ref="G679">IFERROR(INDEX(EmployeeData[Join Date], ROW() - 37), "")</f>
        <v>43899</v>
      </c>
      <c r="H679" s="6"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6" cm="1">
        <f t="array" ref="G680">IFERROR(INDEX(EmployeeData[Join Date], ROW() - 37), "")</f>
        <v>45252</v>
      </c>
      <c r="H680" s="6"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6" cm="1">
        <f t="array" ref="G681">IFERROR(INDEX(EmployeeData[Join Date], ROW() - 37), "")</f>
        <v>45556</v>
      </c>
      <c r="H681" s="6"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6" cm="1">
        <f t="array" ref="G682">IFERROR(INDEX(EmployeeData[Join Date], ROW() - 37), "")</f>
        <v>43857</v>
      </c>
      <c r="H682" s="6"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6" cm="1">
        <f t="array" ref="G683">IFERROR(INDEX(EmployeeData[Join Date], ROW() - 37), "")</f>
        <v>44849</v>
      </c>
      <c r="H683" s="6"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6" cm="1">
        <f t="array" ref="G684">IFERROR(INDEX(EmployeeData[Join Date], ROW() - 37), "")</f>
        <v>44463</v>
      </c>
      <c r="H684" s="6"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6" cm="1">
        <f t="array" ref="G685">IFERROR(INDEX(EmployeeData[Join Date], ROW() - 37), "")</f>
        <v>43831</v>
      </c>
      <c r="H685" s="6"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6" cm="1">
        <f t="array" ref="G686">IFERROR(INDEX(EmployeeData[Join Date], ROW() - 37), "")</f>
        <v>44161</v>
      </c>
      <c r="H686" s="6"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6" cm="1">
        <f t="array" ref="G687">IFERROR(INDEX(EmployeeData[Join Date], ROW() - 37), "")</f>
        <v>45823</v>
      </c>
      <c r="H687" s="6"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6" cm="1">
        <f t="array" ref="G688">IFERROR(INDEX(EmployeeData[Join Date], ROW() - 37), "")</f>
        <v>45059</v>
      </c>
      <c r="H688" s="6"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6" cm="1">
        <f t="array" ref="G689">IFERROR(INDEX(EmployeeData[Join Date], ROW() - 37), "")</f>
        <v>43597</v>
      </c>
      <c r="H689" s="6"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6" cm="1">
        <f t="array" ref="G690">IFERROR(INDEX(EmployeeData[Join Date], ROW() - 37), "")</f>
        <v>44597</v>
      </c>
      <c r="H690" s="6"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6" cm="1">
        <f t="array" ref="G691">IFERROR(INDEX(EmployeeData[Join Date], ROW() - 37), "")</f>
        <v>43824</v>
      </c>
      <c r="H691" s="6"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6" cm="1">
        <f t="array" ref="G692">IFERROR(INDEX(EmployeeData[Join Date], ROW() - 37), "")</f>
        <v>45093</v>
      </c>
      <c r="H692" s="6"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6" cm="1">
        <f t="array" ref="G693">IFERROR(INDEX(EmployeeData[Join Date], ROW() - 37), "")</f>
        <v>44693</v>
      </c>
      <c r="H693" s="6"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6" cm="1">
        <f t="array" ref="G694">IFERROR(INDEX(EmployeeData[Join Date], ROW() - 37), "")</f>
        <v>43252</v>
      </c>
      <c r="H694" s="6"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6" cm="1">
        <f t="array" ref="G695">IFERROR(INDEX(EmployeeData[Join Date], ROW() - 37), "")</f>
        <v>43711</v>
      </c>
      <c r="H695" s="6"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6" cm="1">
        <f t="array" ref="G696">IFERROR(INDEX(EmployeeData[Join Date], ROW() - 37), "")</f>
        <v>44095</v>
      </c>
      <c r="H696" s="6"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6" cm="1">
        <f t="array" ref="G697">IFERROR(INDEX(EmployeeData[Join Date], ROW() - 37), "")</f>
        <v>44969</v>
      </c>
      <c r="H697" s="6"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6" cm="1">
        <f t="array" ref="G698">IFERROR(INDEX(EmployeeData[Join Date], ROW() - 37), "")</f>
        <v>43359</v>
      </c>
      <c r="H698" s="6"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6" cm="1">
        <f t="array" ref="G699">IFERROR(INDEX(EmployeeData[Join Date], ROW() - 37), "")</f>
        <v>43595</v>
      </c>
      <c r="H699" s="6"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6" cm="1">
        <f t="array" ref="G700">IFERROR(INDEX(EmployeeData[Join Date], ROW() - 37), "")</f>
        <v>43359</v>
      </c>
      <c r="H700" s="6"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6" cm="1">
        <f t="array" ref="G701">IFERROR(INDEX(EmployeeData[Join Date], ROW() - 37), "")</f>
        <v>43647</v>
      </c>
      <c r="H701" s="6"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6" cm="1">
        <f t="array" ref="G702">IFERROR(INDEX(EmployeeData[Join Date], ROW() - 37), "")</f>
        <v>44263</v>
      </c>
      <c r="H702" s="6"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6" cm="1">
        <f t="array" ref="G703">IFERROR(INDEX(EmployeeData[Join Date], ROW() - 37), "")</f>
        <v>44080</v>
      </c>
      <c r="H703" s="6"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6" cm="1">
        <f t="array" ref="G704">IFERROR(INDEX(EmployeeData[Join Date], ROW() - 37), "")</f>
        <v>44525</v>
      </c>
      <c r="H704" s="6"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6" cm="1">
        <f t="array" ref="G705">IFERROR(INDEX(EmployeeData[Join Date], ROW() - 37), "")</f>
        <v>45179</v>
      </c>
      <c r="H705" s="6"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6" cm="1">
        <f t="array" ref="G706">IFERROR(INDEX(EmployeeData[Join Date], ROW() - 37), "")</f>
        <v>45138</v>
      </c>
      <c r="H706" s="6"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6" cm="1">
        <f t="array" ref="G707">IFERROR(INDEX(EmployeeData[Join Date], ROW() - 37), "")</f>
        <v>43278</v>
      </c>
      <c r="H707" s="6"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6" cm="1">
        <f t="array" ref="G708">IFERROR(INDEX(EmployeeData[Join Date], ROW() - 37), "")</f>
        <v>44922</v>
      </c>
      <c r="H708" s="6"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6" cm="1">
        <f t="array" ref="G709">IFERROR(INDEX(EmployeeData[Join Date], ROW() - 37), "")</f>
        <v>43502</v>
      </c>
      <c r="H709" s="6"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6" cm="1">
        <f t="array" ref="G710">IFERROR(INDEX(EmployeeData[Join Date], ROW() - 37), "")</f>
        <v>45597</v>
      </c>
      <c r="H710" s="6"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6" cm="1">
        <f t="array" ref="G711">IFERROR(INDEX(EmployeeData[Join Date], ROW() - 37), "")</f>
        <v>44476</v>
      </c>
      <c r="H711" s="6"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6" cm="1">
        <f t="array" ref="G712">IFERROR(INDEX(EmployeeData[Join Date], ROW() - 37), "")</f>
        <v>44001</v>
      </c>
      <c r="H712" s="6"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6" cm="1">
        <f t="array" ref="G713">IFERROR(INDEX(EmployeeData[Join Date], ROW() - 37), "")</f>
        <v>44041</v>
      </c>
      <c r="H713" s="6"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6" cm="1">
        <f t="array" ref="G714">IFERROR(INDEX(EmployeeData[Join Date], ROW() - 37), "")</f>
        <v>44116</v>
      </c>
      <c r="H714" s="6"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6" cm="1">
        <f t="array" ref="G715">IFERROR(INDEX(EmployeeData[Join Date], ROW() - 37), "")</f>
        <v>43238</v>
      </c>
      <c r="H715" s="6"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6" cm="1">
        <f t="array" ref="G716">IFERROR(INDEX(EmployeeData[Join Date], ROW() - 37), "")</f>
        <v>44086</v>
      </c>
      <c r="H716" s="6"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6" cm="1">
        <f t="array" ref="G717">IFERROR(INDEX(EmployeeData[Join Date], ROW() - 37), "")</f>
        <v>45066</v>
      </c>
      <c r="H717" s="6"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6" cm="1">
        <f t="array" ref="G718">IFERROR(INDEX(EmployeeData[Join Date], ROW() - 37), "")</f>
        <v>45981</v>
      </c>
      <c r="H718" s="6"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6" cm="1">
        <f t="array" ref="G719">IFERROR(INDEX(EmployeeData[Join Date], ROW() - 37), "")</f>
        <v>45275</v>
      </c>
      <c r="H719" s="6"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6" cm="1">
        <f t="array" ref="G720">IFERROR(INDEX(EmployeeData[Join Date], ROW() - 37), "")</f>
        <v>43325</v>
      </c>
      <c r="H720" s="6"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6" cm="1">
        <f t="array" ref="G721">IFERROR(INDEX(EmployeeData[Join Date], ROW() - 37), "")</f>
        <v>43818</v>
      </c>
      <c r="H721" s="6"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6" cm="1">
        <f t="array" ref="G722">IFERROR(INDEX(EmployeeData[Join Date], ROW() - 37), "")</f>
        <v>45311</v>
      </c>
      <c r="H722" s="6"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6" cm="1">
        <f t="array" ref="G723">IFERROR(INDEX(EmployeeData[Join Date], ROW() - 37), "")</f>
        <v>45887</v>
      </c>
      <c r="H723" s="6"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6" cm="1">
        <f t="array" ref="G724">IFERROR(INDEX(EmployeeData[Join Date], ROW() - 37), "")</f>
        <v>45026</v>
      </c>
      <c r="H724" s="6"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6" cm="1">
        <f t="array" ref="G725">IFERROR(INDEX(EmployeeData[Join Date], ROW() - 37), "")</f>
        <v>43872</v>
      </c>
      <c r="H725" s="6"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6" cm="1">
        <f t="array" ref="G726">IFERROR(INDEX(EmployeeData[Join Date], ROW() - 37), "")</f>
        <v>43775</v>
      </c>
      <c r="H726" s="6"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6" cm="1">
        <f t="array" ref="G727">IFERROR(INDEX(EmployeeData[Join Date], ROW() - 37), "")</f>
        <v>43641</v>
      </c>
      <c r="H727" s="6"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6" cm="1">
        <f t="array" ref="G728">IFERROR(INDEX(EmployeeData[Join Date], ROW() - 37), "")</f>
        <v>44052</v>
      </c>
      <c r="H728" s="6"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6" cm="1">
        <f t="array" ref="G729">IFERROR(INDEX(EmployeeData[Join Date], ROW() - 37), "")</f>
        <v>45531</v>
      </c>
      <c r="H729" s="6"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6" cm="1">
        <f t="array" ref="G730">IFERROR(INDEX(EmployeeData[Join Date], ROW() - 37), "")</f>
        <v>43804</v>
      </c>
      <c r="H730" s="6"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6" cm="1">
        <f t="array" ref="G731">IFERROR(INDEX(EmployeeData[Join Date], ROW() - 37), "")</f>
        <v>44265</v>
      </c>
      <c r="H731" s="6"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6" cm="1">
        <f t="array" ref="G732">IFERROR(INDEX(EmployeeData[Join Date], ROW() - 37), "")</f>
        <v>46001</v>
      </c>
      <c r="H732" s="6"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6" cm="1">
        <f t="array" ref="G733">IFERROR(INDEX(EmployeeData[Join Date], ROW() - 37), "")</f>
        <v>44167</v>
      </c>
      <c r="H733" s="6"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6" cm="1">
        <f t="array" ref="G734">IFERROR(INDEX(EmployeeData[Join Date], ROW() - 37), "")</f>
        <v>45286</v>
      </c>
      <c r="H734" s="6"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6" cm="1">
        <f t="array" ref="G735">IFERROR(INDEX(EmployeeData[Join Date], ROW() - 37), "")</f>
        <v>45179</v>
      </c>
      <c r="H735" s="6"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6" cm="1">
        <f t="array" ref="G736">IFERROR(INDEX(EmployeeData[Join Date], ROW() - 37), "")</f>
        <v>45062</v>
      </c>
      <c r="H736" s="6"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6" cm="1">
        <f t="array" ref="G737">IFERROR(INDEX(EmployeeData[Join Date], ROW() - 37), "")</f>
        <v>44927</v>
      </c>
      <c r="H737" s="6"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6" cm="1">
        <f t="array" ref="G738">IFERROR(INDEX(EmployeeData[Join Date], ROW() - 37), "")</f>
        <v>45874</v>
      </c>
      <c r="H738" s="6"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6" cm="1">
        <f t="array" ref="G739">IFERROR(INDEX(EmployeeData[Join Date], ROW() - 37), "")</f>
        <v>45832</v>
      </c>
      <c r="H739" s="6"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6" cm="1">
        <f t="array" ref="G740">IFERROR(INDEX(EmployeeData[Join Date], ROW() - 37), "")</f>
        <v>45398</v>
      </c>
      <c r="H740" s="6"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6" cm="1">
        <f t="array" ref="G741">IFERROR(INDEX(EmployeeData[Join Date], ROW() - 37), "")</f>
        <v>45550</v>
      </c>
      <c r="H741" s="6"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6" cm="1">
        <f t="array" ref="G742">IFERROR(INDEX(EmployeeData[Join Date], ROW() - 37), "")</f>
        <v>44798</v>
      </c>
      <c r="H742" s="6"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6" cm="1">
        <f t="array" ref="G743">IFERROR(INDEX(EmployeeData[Join Date], ROW() - 37), "")</f>
        <v>45498</v>
      </c>
      <c r="H743" s="6"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6" cm="1">
        <f t="array" ref="G744">IFERROR(INDEX(EmployeeData[Join Date], ROW() - 37), "")</f>
        <v>43609</v>
      </c>
      <c r="H744" s="6"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6" cm="1">
        <f t="array" ref="G745">IFERROR(INDEX(EmployeeData[Join Date], ROW() - 37), "")</f>
        <v>43374</v>
      </c>
      <c r="H745" s="6"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6" cm="1">
        <f t="array" ref="G746">IFERROR(INDEX(EmployeeData[Join Date], ROW() - 37), "")</f>
        <v>45944</v>
      </c>
      <c r="H746" s="6"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6" cm="1">
        <f t="array" ref="G747">IFERROR(INDEX(EmployeeData[Join Date], ROW() - 37), "")</f>
        <v>43340</v>
      </c>
      <c r="H747" s="6"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6" cm="1">
        <f t="array" ref="G748">IFERROR(INDEX(EmployeeData[Join Date], ROW() - 37), "")</f>
        <v>43300</v>
      </c>
      <c r="H748" s="6"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6" cm="1">
        <f t="array" ref="G749">IFERROR(INDEX(EmployeeData[Join Date], ROW() - 37), "")</f>
        <v>44212</v>
      </c>
      <c r="H749" s="6"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6" cm="1">
        <f t="array" ref="G750">IFERROR(INDEX(EmployeeData[Join Date], ROW() - 37), "")</f>
        <v>44253</v>
      </c>
      <c r="H750" s="6"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6" cm="1">
        <f t="array" ref="G751">IFERROR(INDEX(EmployeeData[Join Date], ROW() - 37), "")</f>
        <v>45613</v>
      </c>
      <c r="H751" s="6"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6" cm="1">
        <f t="array" ref="G752">IFERROR(INDEX(EmployeeData[Join Date], ROW() - 37), "")</f>
        <v>44987</v>
      </c>
      <c r="H752" s="6"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6" cm="1">
        <f t="array" ref="G753">IFERROR(INDEX(EmployeeData[Join Date], ROW() - 37), "")</f>
        <v>43670</v>
      </c>
      <c r="H753" s="6"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6" cm="1">
        <f t="array" ref="G754">IFERROR(INDEX(EmployeeData[Join Date], ROW() - 37), "")</f>
        <v>43628</v>
      </c>
      <c r="H754" s="6"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6" cm="1">
        <f t="array" ref="G755">IFERROR(INDEX(EmployeeData[Join Date], ROW() - 37), "")</f>
        <v>45930</v>
      </c>
      <c r="H755" s="6"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6" cm="1">
        <f t="array" ref="G756">IFERROR(INDEX(EmployeeData[Join Date], ROW() - 37), "")</f>
        <v>43235</v>
      </c>
      <c r="H756" s="6"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6" cm="1">
        <f t="array" ref="G757">IFERROR(INDEX(EmployeeData[Join Date], ROW() - 37), "")</f>
        <v>45835</v>
      </c>
      <c r="H757" s="6"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6" cm="1">
        <f t="array" ref="G758">IFERROR(INDEX(EmployeeData[Join Date], ROW() - 37), "")</f>
        <v>43697</v>
      </c>
      <c r="H758" s="6"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6" cm="1">
        <f t="array" ref="G759">IFERROR(INDEX(EmployeeData[Join Date], ROW() - 37), "")</f>
        <v>45169</v>
      </c>
      <c r="H759" s="6"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6" cm="1">
        <f t="array" ref="G760">IFERROR(INDEX(EmployeeData[Join Date], ROW() - 37), "")</f>
        <v>43804</v>
      </c>
      <c r="H760" s="6"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6" cm="1">
        <f t="array" ref="G761">IFERROR(INDEX(EmployeeData[Join Date], ROW() - 37), "")</f>
        <v>45999</v>
      </c>
      <c r="H761" s="6"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6" cm="1">
        <f t="array" ref="G762">IFERROR(INDEX(EmployeeData[Join Date], ROW() - 37), "")</f>
        <v>44838</v>
      </c>
      <c r="H762" s="6"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6" cm="1">
        <f t="array" ref="G763">IFERROR(INDEX(EmployeeData[Join Date], ROW() - 37), "")</f>
        <v>45383</v>
      </c>
      <c r="H763" s="6"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6" cm="1">
        <f t="array" ref="G764">IFERROR(INDEX(EmployeeData[Join Date], ROW() - 37), "")</f>
        <v>45915</v>
      </c>
      <c r="H764" s="6"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6" cm="1">
        <f t="array" ref="G765">IFERROR(INDEX(EmployeeData[Join Date], ROW() - 37), "")</f>
        <v>45049</v>
      </c>
      <c r="H765" s="6"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6" cm="1">
        <f t="array" ref="G766">IFERROR(INDEX(EmployeeData[Join Date], ROW() - 37), "")</f>
        <v>45798</v>
      </c>
      <c r="H766" s="6"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6" cm="1">
        <f t="array" ref="G767">IFERROR(INDEX(EmployeeData[Join Date], ROW() - 37), "")</f>
        <v>43366</v>
      </c>
      <c r="H767" s="6"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6" cm="1">
        <f t="array" ref="G768">IFERROR(INDEX(EmployeeData[Join Date], ROW() - 37), "")</f>
        <v>45532</v>
      </c>
      <c r="H768" s="6"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6" cm="1">
        <f t="array" ref="G769">IFERROR(INDEX(EmployeeData[Join Date], ROW() - 37), "")</f>
        <v>45105</v>
      </c>
      <c r="H769" s="6"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6" cm="1">
        <f t="array" ref="G770">IFERROR(INDEX(EmployeeData[Join Date], ROW() - 37), "")</f>
        <v>43834</v>
      </c>
      <c r="H770" s="6"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6" cm="1">
        <f t="array" ref="G771">IFERROR(INDEX(EmployeeData[Join Date], ROW() - 37), "")</f>
        <v>45117</v>
      </c>
      <c r="H771" s="6"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6" cm="1">
        <f t="array" ref="G772">IFERROR(INDEX(EmployeeData[Join Date], ROW() - 37), "")</f>
        <v>45315</v>
      </c>
      <c r="H772" s="6"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6" cm="1">
        <f t="array" ref="G773">IFERROR(INDEX(EmployeeData[Join Date], ROW() - 37), "")</f>
        <v>44913</v>
      </c>
      <c r="H773" s="6"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6" cm="1">
        <f t="array" ref="G774">IFERROR(INDEX(EmployeeData[Join Date], ROW() - 37), "")</f>
        <v>43651</v>
      </c>
      <c r="H774" s="6"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6" cm="1">
        <f t="array" ref="G775">IFERROR(INDEX(EmployeeData[Join Date], ROW() - 37), "")</f>
        <v>45025</v>
      </c>
      <c r="H775" s="6"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6" cm="1">
        <f t="array" ref="G776">IFERROR(INDEX(EmployeeData[Join Date], ROW() - 37), "")</f>
        <v>44266</v>
      </c>
      <c r="H776" s="6"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6" cm="1">
        <f t="array" ref="G777">IFERROR(INDEX(EmployeeData[Join Date], ROW() - 37), "")</f>
        <v>43499</v>
      </c>
      <c r="H777" s="6"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6" cm="1">
        <f t="array" ref="G778">IFERROR(INDEX(EmployeeData[Join Date], ROW() - 37), "")</f>
        <v>43448</v>
      </c>
      <c r="H778" s="6"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6" cm="1">
        <f t="array" ref="G779">IFERROR(INDEX(EmployeeData[Join Date], ROW() - 37), "")</f>
        <v>45795</v>
      </c>
      <c r="H779" s="6"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6" cm="1">
        <f t="array" ref="G780">IFERROR(INDEX(EmployeeData[Join Date], ROW() - 37), "")</f>
        <v>43192</v>
      </c>
      <c r="H780" s="6"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6" cm="1">
        <f t="array" ref="G781">IFERROR(INDEX(EmployeeData[Join Date], ROW() - 37), "")</f>
        <v>44477</v>
      </c>
      <c r="H781" s="6"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6" cm="1">
        <f t="array" ref="G782">IFERROR(INDEX(EmployeeData[Join Date], ROW() - 37), "")</f>
        <v>45703</v>
      </c>
      <c r="H782" s="6"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6" cm="1">
        <f t="array" ref="G783">IFERROR(INDEX(EmployeeData[Join Date], ROW() - 37), "")</f>
        <v>44026</v>
      </c>
      <c r="H783" s="6"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6" cm="1">
        <f t="array" ref="G784">IFERROR(INDEX(EmployeeData[Join Date], ROW() - 37), "")</f>
        <v>45421</v>
      </c>
      <c r="H784" s="6"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6" cm="1">
        <f t="array" ref="G785">IFERROR(INDEX(EmployeeData[Join Date], ROW() - 37), "")</f>
        <v>44874</v>
      </c>
      <c r="H785" s="6"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6" cm="1">
        <f t="array" ref="G786">IFERROR(INDEX(EmployeeData[Join Date], ROW() - 37), "")</f>
        <v>43840</v>
      </c>
      <c r="H786" s="6"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6" cm="1">
        <f t="array" ref="G787">IFERROR(INDEX(EmployeeData[Join Date], ROW() - 37), "")</f>
        <v>44198</v>
      </c>
      <c r="H787" s="6"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6" cm="1">
        <f t="array" ref="G788">IFERROR(INDEX(EmployeeData[Join Date], ROW() - 37), "")</f>
        <v>45240</v>
      </c>
      <c r="H788" s="6"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6" cm="1">
        <f t="array" ref="G789">IFERROR(INDEX(EmployeeData[Join Date], ROW() - 37), "")</f>
        <v>43364</v>
      </c>
      <c r="H789" s="6"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6" cm="1">
        <f t="array" ref="G790">IFERROR(INDEX(EmployeeData[Join Date], ROW() - 37), "")</f>
        <v>44763</v>
      </c>
      <c r="H790" s="6"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6" cm="1">
        <f t="array" ref="G791">IFERROR(INDEX(EmployeeData[Join Date], ROW() - 37), "")</f>
        <v>43753</v>
      </c>
      <c r="H791" s="6"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6" cm="1">
        <f t="array" ref="G792">IFERROR(INDEX(EmployeeData[Join Date], ROW() - 37), "")</f>
        <v>43327</v>
      </c>
      <c r="H792" s="6"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6" cm="1">
        <f t="array" ref="G793">IFERROR(INDEX(EmployeeData[Join Date], ROW() - 37), "")</f>
        <v>44589</v>
      </c>
      <c r="H793" s="6"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6" cm="1">
        <f t="array" ref="G794">IFERROR(INDEX(EmployeeData[Join Date], ROW() - 37), "")</f>
        <v>45439</v>
      </c>
      <c r="H794" s="6"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6" cm="1">
        <f t="array" ref="G795">IFERROR(INDEX(EmployeeData[Join Date], ROW() - 37), "")</f>
        <v>44132</v>
      </c>
      <c r="H795" s="6"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6" cm="1">
        <f t="array" ref="G796">IFERROR(INDEX(EmployeeData[Join Date], ROW() - 37), "")</f>
        <v>44067</v>
      </c>
      <c r="H796" s="6"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6" cm="1">
        <f t="array" ref="G797">IFERROR(INDEX(EmployeeData[Join Date], ROW() - 37), "")</f>
        <v>45515</v>
      </c>
      <c r="H797" s="6"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6" cm="1">
        <f t="array" ref="G798">IFERROR(INDEX(EmployeeData[Join Date], ROW() - 37), "")</f>
        <v>44587</v>
      </c>
      <c r="H798" s="6"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6" cm="1">
        <f t="array" ref="G799">IFERROR(INDEX(EmployeeData[Join Date], ROW() - 37), "")</f>
        <v>45930</v>
      </c>
      <c r="H799" s="6"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6" cm="1">
        <f t="array" ref="G800">IFERROR(INDEX(EmployeeData[Join Date], ROW() - 37), "")</f>
        <v>45291</v>
      </c>
      <c r="H800" s="6"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6" cm="1">
        <f t="array" ref="G801">IFERROR(INDEX(EmployeeData[Join Date], ROW() - 37), "")</f>
        <v>43470</v>
      </c>
      <c r="H801" s="6"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6" cm="1">
        <f t="array" ref="G802">IFERROR(INDEX(EmployeeData[Join Date], ROW() - 37), "")</f>
        <v>43239</v>
      </c>
      <c r="H802" s="6"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6" cm="1">
        <f t="array" ref="G803">IFERROR(INDEX(EmployeeData[Join Date], ROW() - 37), "")</f>
        <v>43512</v>
      </c>
      <c r="H803" s="6"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6" cm="1">
        <f t="array" ref="G804">IFERROR(INDEX(EmployeeData[Join Date], ROW() - 37), "")</f>
        <v>44957</v>
      </c>
      <c r="H804" s="6"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6" cm="1">
        <f t="array" ref="G805">IFERROR(INDEX(EmployeeData[Join Date], ROW() - 37), "")</f>
        <v>43113</v>
      </c>
      <c r="H805" s="6"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6" cm="1">
        <f t="array" ref="G806">IFERROR(INDEX(EmployeeData[Join Date], ROW() - 37), "")</f>
        <v>45534</v>
      </c>
      <c r="H806" s="6"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6" cm="1">
        <f t="array" ref="G807">IFERROR(INDEX(EmployeeData[Join Date], ROW() - 37), "")</f>
        <v>44255</v>
      </c>
      <c r="H807" s="6"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6" cm="1">
        <f t="array" ref="G808">IFERROR(INDEX(EmployeeData[Join Date], ROW() - 37), "")</f>
        <v>45388</v>
      </c>
      <c r="H808" s="6"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6" cm="1">
        <f t="array" ref="G809">IFERROR(INDEX(EmployeeData[Join Date], ROW() - 37), "")</f>
        <v>43304</v>
      </c>
      <c r="H809" s="6"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6" cm="1">
        <f t="array" ref="G810">IFERROR(INDEX(EmployeeData[Join Date], ROW() - 37), "")</f>
        <v>43581</v>
      </c>
      <c r="H810" s="6"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6" cm="1">
        <f t="array" ref="G811">IFERROR(INDEX(EmployeeData[Join Date], ROW() - 37), "")</f>
        <v>44280</v>
      </c>
      <c r="H811" s="6"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6" cm="1">
        <f t="array" ref="G812">IFERROR(INDEX(EmployeeData[Join Date], ROW() - 37), "")</f>
        <v>45874</v>
      </c>
      <c r="H812" s="6"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6" cm="1">
        <f t="array" ref="G813">IFERROR(INDEX(EmployeeData[Join Date], ROW() - 37), "")</f>
        <v>44615</v>
      </c>
      <c r="H813" s="6"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6" cm="1">
        <f t="array" ref="G814">IFERROR(INDEX(EmployeeData[Join Date], ROW() - 37), "")</f>
        <v>45914</v>
      </c>
      <c r="H814" s="6"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6" cm="1">
        <f t="array" ref="G815">IFERROR(INDEX(EmployeeData[Join Date], ROW() - 37), "")</f>
        <v>44552</v>
      </c>
      <c r="H815" s="6"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6" cm="1">
        <f t="array" ref="G816">IFERROR(INDEX(EmployeeData[Join Date], ROW() - 37), "")</f>
        <v>44340</v>
      </c>
      <c r="H816" s="6"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6" cm="1">
        <f t="array" ref="G817">IFERROR(INDEX(EmployeeData[Join Date], ROW() - 37), "")</f>
        <v>43796</v>
      </c>
      <c r="H817" s="6"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6" cm="1">
        <f t="array" ref="G818">IFERROR(INDEX(EmployeeData[Join Date], ROW() - 37), "")</f>
        <v>43579</v>
      </c>
      <c r="H818" s="6"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6" cm="1">
        <f t="array" ref="G819">IFERROR(INDEX(EmployeeData[Join Date], ROW() - 37), "")</f>
        <v>45218</v>
      </c>
      <c r="H819" s="6"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6" cm="1">
        <f t="array" ref="G820">IFERROR(INDEX(EmployeeData[Join Date], ROW() - 37), "")</f>
        <v>43874</v>
      </c>
      <c r="H820" s="6"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6" cm="1">
        <f t="array" ref="G821">IFERROR(INDEX(EmployeeData[Join Date], ROW() - 37), "")</f>
        <v>43268</v>
      </c>
      <c r="H821" s="6"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6" cm="1">
        <f t="array" ref="G822">IFERROR(INDEX(EmployeeData[Join Date], ROW() - 37), "")</f>
        <v>44532</v>
      </c>
      <c r="H822" s="6"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6" cm="1">
        <f t="array" ref="G823">IFERROR(INDEX(EmployeeData[Join Date], ROW() - 37), "")</f>
        <v>45491</v>
      </c>
      <c r="H823" s="6"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6" cm="1">
        <f t="array" ref="G824">IFERROR(INDEX(EmployeeData[Join Date], ROW() - 37), "")</f>
        <v>45141</v>
      </c>
      <c r="H824" s="6"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6" cm="1">
        <f t="array" ref="G825">IFERROR(INDEX(EmployeeData[Join Date], ROW() - 37), "")</f>
        <v>44426</v>
      </c>
      <c r="H825" s="6"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6" cm="1">
        <f t="array" ref="G826">IFERROR(INDEX(EmployeeData[Join Date], ROW() - 37), "")</f>
        <v>43280</v>
      </c>
      <c r="H826" s="6"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6" cm="1">
        <f t="array" ref="G827">IFERROR(INDEX(EmployeeData[Join Date], ROW() - 37), "")</f>
        <v>43630</v>
      </c>
      <c r="H827" s="6"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6" cm="1">
        <f t="array" ref="G828">IFERROR(INDEX(EmployeeData[Join Date], ROW() - 37), "")</f>
        <v>43480</v>
      </c>
      <c r="H828" s="6"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6" cm="1">
        <f t="array" ref="G829">IFERROR(INDEX(EmployeeData[Join Date], ROW() - 37), "")</f>
        <v>43768</v>
      </c>
      <c r="H829" s="6"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6" cm="1">
        <f t="array" ref="G830">IFERROR(INDEX(EmployeeData[Join Date], ROW() - 37), "")</f>
        <v>45111</v>
      </c>
      <c r="H830" s="6"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6" cm="1">
        <f t="array" ref="G831">IFERROR(INDEX(EmployeeData[Join Date], ROW() - 37), "")</f>
        <v>45200</v>
      </c>
      <c r="H831" s="6"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6" cm="1">
        <f t="array" ref="G832">IFERROR(INDEX(EmployeeData[Join Date], ROW() - 37), "")</f>
        <v>45615</v>
      </c>
      <c r="H832" s="6"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6" cm="1">
        <f t="array" ref="G833">IFERROR(INDEX(EmployeeData[Join Date], ROW() - 37), "")</f>
        <v>45129</v>
      </c>
      <c r="H833" s="6"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6" cm="1">
        <f t="array" ref="G834">IFERROR(INDEX(EmployeeData[Join Date], ROW() - 37), "")</f>
        <v>43709</v>
      </c>
      <c r="H834" s="6"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6" cm="1">
        <f t="array" ref="G835">IFERROR(INDEX(EmployeeData[Join Date], ROW() - 37), "")</f>
        <v>45203</v>
      </c>
      <c r="H835" s="6"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6" cm="1">
        <f t="array" ref="G836">IFERROR(INDEX(EmployeeData[Join Date], ROW() - 37), "")</f>
        <v>43435</v>
      </c>
      <c r="H836" s="6"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6" cm="1">
        <f t="array" ref="G837">IFERROR(INDEX(EmployeeData[Join Date], ROW() - 37), "")</f>
        <v>43286</v>
      </c>
      <c r="H837" s="6"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6" cm="1">
        <f t="array" ref="G838">IFERROR(INDEX(EmployeeData[Join Date], ROW() - 37), "")</f>
        <v>43965</v>
      </c>
      <c r="H838" s="6"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6" cm="1">
        <f t="array" ref="G839">IFERROR(INDEX(EmployeeData[Join Date], ROW() - 37), "")</f>
        <v>44985</v>
      </c>
      <c r="H839" s="6"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6" cm="1">
        <f t="array" ref="G840">IFERROR(INDEX(EmployeeData[Join Date], ROW() - 37), "")</f>
        <v>44340</v>
      </c>
      <c r="H840" s="6"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6" cm="1">
        <f t="array" ref="G841">IFERROR(INDEX(EmployeeData[Join Date], ROW() - 37), "")</f>
        <v>45757</v>
      </c>
      <c r="H841" s="6"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6" cm="1">
        <f t="array" ref="G842">IFERROR(INDEX(EmployeeData[Join Date], ROW() - 37), "")</f>
        <v>43781</v>
      </c>
      <c r="H842" s="6"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6" cm="1">
        <f t="array" ref="G843">IFERROR(INDEX(EmployeeData[Join Date], ROW() - 37), "")</f>
        <v>44705</v>
      </c>
      <c r="H843" s="6"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6" cm="1">
        <f t="array" ref="G844">IFERROR(INDEX(EmployeeData[Join Date], ROW() - 37), "")</f>
        <v>44292</v>
      </c>
      <c r="H844" s="6"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6" cm="1">
        <f t="array" ref="G845">IFERROR(INDEX(EmployeeData[Join Date], ROW() - 37), "")</f>
        <v>44050</v>
      </c>
      <c r="H845" s="6"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6" cm="1">
        <f t="array" ref="G846">IFERROR(INDEX(EmployeeData[Join Date], ROW() - 37), "")</f>
        <v>45039</v>
      </c>
      <c r="H846" s="6"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6" cm="1">
        <f t="array" ref="G847">IFERROR(INDEX(EmployeeData[Join Date], ROW() - 37), "")</f>
        <v>44000</v>
      </c>
      <c r="H847" s="6"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6" cm="1">
        <f t="array" ref="G848">IFERROR(INDEX(EmployeeData[Join Date], ROW() - 37), "")</f>
        <v>44699</v>
      </c>
      <c r="H848" s="6"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6" cm="1">
        <f t="array" ref="G849">IFERROR(INDEX(EmployeeData[Join Date], ROW() - 37), "")</f>
        <v>45930</v>
      </c>
      <c r="H849" s="6"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6" cm="1">
        <f t="array" ref="G850">IFERROR(INDEX(EmployeeData[Join Date], ROW() - 37), "")</f>
        <v>45123</v>
      </c>
      <c r="H850" s="6"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6" cm="1">
        <f t="array" ref="G851">IFERROR(INDEX(EmployeeData[Join Date], ROW() - 37), "")</f>
        <v>43231</v>
      </c>
      <c r="H851" s="6"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6" cm="1">
        <f t="array" ref="G852">IFERROR(INDEX(EmployeeData[Join Date], ROW() - 37), "")</f>
        <v>44494</v>
      </c>
      <c r="H852" s="6"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6" cm="1">
        <f t="array" ref="G853">IFERROR(INDEX(EmployeeData[Join Date], ROW() - 37), "")</f>
        <v>45994</v>
      </c>
      <c r="H853" s="6"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6" cm="1">
        <f t="array" ref="G854">IFERROR(INDEX(EmployeeData[Join Date], ROW() - 37), "")</f>
        <v>45404</v>
      </c>
      <c r="H854" s="6"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6" cm="1">
        <f t="array" ref="G855">IFERROR(INDEX(EmployeeData[Join Date], ROW() - 37), "")</f>
        <v>45173</v>
      </c>
      <c r="H855" s="6"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6" cm="1">
        <f t="array" ref="G856">IFERROR(INDEX(EmployeeData[Join Date], ROW() - 37), "")</f>
        <v>44899</v>
      </c>
      <c r="H856" s="6"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6" cm="1">
        <f t="array" ref="G857">IFERROR(INDEX(EmployeeData[Join Date], ROW() - 37), "")</f>
        <v>43450</v>
      </c>
      <c r="H857" s="6"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6" cm="1">
        <f t="array" ref="G858">IFERROR(INDEX(EmployeeData[Join Date], ROW() - 37), "")</f>
        <v>44857</v>
      </c>
      <c r="H858" s="6"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6" cm="1">
        <f t="array" ref="G859">IFERROR(INDEX(EmployeeData[Join Date], ROW() - 37), "")</f>
        <v>44913</v>
      </c>
      <c r="H859" s="6"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6" cm="1">
        <f t="array" ref="G860">IFERROR(INDEX(EmployeeData[Join Date], ROW() - 37), "")</f>
        <v>43352</v>
      </c>
      <c r="H860" s="6"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6" cm="1">
        <f t="array" ref="G861">IFERROR(INDEX(EmployeeData[Join Date], ROW() - 37), "")</f>
        <v>44312</v>
      </c>
      <c r="H861" s="6"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6" cm="1">
        <f t="array" ref="G862">IFERROR(INDEX(EmployeeData[Join Date], ROW() - 37), "")</f>
        <v>45262</v>
      </c>
      <c r="H862" s="6"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6" cm="1">
        <f t="array" ref="G863">IFERROR(INDEX(EmployeeData[Join Date], ROW() - 37), "")</f>
        <v>45957</v>
      </c>
      <c r="H863" s="6"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6" cm="1">
        <f t="array" ref="G864">IFERROR(INDEX(EmployeeData[Join Date], ROW() - 37), "")</f>
        <v>45232</v>
      </c>
      <c r="H864" s="6"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6" cm="1">
        <f t="array" ref="G865">IFERROR(INDEX(EmployeeData[Join Date], ROW() - 37), "")</f>
        <v>43196</v>
      </c>
      <c r="H865" s="6"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6" cm="1">
        <f t="array" ref="G866">IFERROR(INDEX(EmployeeData[Join Date], ROW() - 37), "")</f>
        <v>44552</v>
      </c>
      <c r="H866" s="6"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6" cm="1">
        <f t="array" ref="G867">IFERROR(INDEX(EmployeeData[Join Date], ROW() - 37), "")</f>
        <v>45417</v>
      </c>
      <c r="H867" s="6"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6" cm="1">
        <f t="array" ref="G868">IFERROR(INDEX(EmployeeData[Join Date], ROW() - 37), "")</f>
        <v>45855</v>
      </c>
      <c r="H868" s="6"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6" cm="1">
        <f t="array" ref="G869">IFERROR(INDEX(EmployeeData[Join Date], ROW() - 37), "")</f>
        <v>43701</v>
      </c>
      <c r="H869" s="6"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6" cm="1">
        <f t="array" ref="G870">IFERROR(INDEX(EmployeeData[Join Date], ROW() - 37), "")</f>
        <v>43420</v>
      </c>
      <c r="H870" s="6"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6" cm="1">
        <f t="array" ref="G871">IFERROR(INDEX(EmployeeData[Join Date], ROW() - 37), "")</f>
        <v>45923</v>
      </c>
      <c r="H871" s="6"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6" cm="1">
        <f t="array" ref="G872">IFERROR(INDEX(EmployeeData[Join Date], ROW() - 37), "")</f>
        <v>45086</v>
      </c>
      <c r="H872" s="6"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6" cm="1">
        <f t="array" ref="G873">IFERROR(INDEX(EmployeeData[Join Date], ROW() - 37), "")</f>
        <v>43743</v>
      </c>
      <c r="H873" s="6"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6" cm="1">
        <f t="array" ref="G874">IFERROR(INDEX(EmployeeData[Join Date], ROW() - 37), "")</f>
        <v>44287</v>
      </c>
      <c r="H874" s="6"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6" cm="1">
        <f t="array" ref="G875">IFERROR(INDEX(EmployeeData[Join Date], ROW() - 37), "")</f>
        <v>44828</v>
      </c>
      <c r="H875" s="6"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6" cm="1">
        <f t="array" ref="G876">IFERROR(INDEX(EmployeeData[Join Date], ROW() - 37), "")</f>
        <v>43377</v>
      </c>
      <c r="H876" s="6"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6" cm="1">
        <f t="array" ref="G877">IFERROR(INDEX(EmployeeData[Join Date], ROW() - 37), "")</f>
        <v>45581</v>
      </c>
      <c r="H877" s="6"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6" cm="1">
        <f t="array" ref="G878">IFERROR(INDEX(EmployeeData[Join Date], ROW() - 37), "")</f>
        <v>45660</v>
      </c>
      <c r="H878" s="6"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6" cm="1">
        <f t="array" ref="G879">IFERROR(INDEX(EmployeeData[Join Date], ROW() - 37), "")</f>
        <v>44237</v>
      </c>
      <c r="H879" s="6"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6" cm="1">
        <f t="array" ref="G880">IFERROR(INDEX(EmployeeData[Join Date], ROW() - 37), "")</f>
        <v>43449</v>
      </c>
      <c r="H880" s="6"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6" cm="1">
        <f t="array" ref="G881">IFERROR(INDEX(EmployeeData[Join Date], ROW() - 37), "")</f>
        <v>43837</v>
      </c>
      <c r="H881" s="6"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6" cm="1">
        <f t="array" ref="G882">IFERROR(INDEX(EmployeeData[Join Date], ROW() - 37), "")</f>
        <v>44746</v>
      </c>
      <c r="H882" s="6"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6" cm="1">
        <f t="array" ref="G883">IFERROR(INDEX(EmployeeData[Join Date], ROW() - 37), "")</f>
        <v>44665</v>
      </c>
      <c r="H883" s="6"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6" cm="1">
        <f t="array" ref="G884">IFERROR(INDEX(EmployeeData[Join Date], ROW() - 37), "")</f>
        <v>44769</v>
      </c>
      <c r="H884" s="6"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6" cm="1">
        <f t="array" ref="G885">IFERROR(INDEX(EmployeeData[Join Date], ROW() - 37), "")</f>
        <v>44698</v>
      </c>
      <c r="H885" s="6"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6" cm="1">
        <f t="array" ref="G886">IFERROR(INDEX(EmployeeData[Join Date], ROW() - 37), "")</f>
        <v>44069</v>
      </c>
      <c r="H886" s="6"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6" cm="1">
        <f t="array" ref="G887">IFERROR(INDEX(EmployeeData[Join Date], ROW() - 37), "")</f>
        <v>44768</v>
      </c>
      <c r="H887" s="6"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6" cm="1">
        <f t="array" ref="G888">IFERROR(INDEX(EmployeeData[Join Date], ROW() - 37), "")</f>
        <v>44348</v>
      </c>
      <c r="H888" s="6"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6" cm="1">
        <f t="array" ref="G889">IFERROR(INDEX(EmployeeData[Join Date], ROW() - 37), "")</f>
        <v>44630</v>
      </c>
      <c r="H889" s="6"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6" cm="1">
        <f t="array" ref="G890">IFERROR(INDEX(EmployeeData[Join Date], ROW() - 37), "")</f>
        <v>43105</v>
      </c>
      <c r="H890" s="6"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6" cm="1">
        <f t="array" ref="G891">IFERROR(INDEX(EmployeeData[Join Date], ROW() - 37), "")</f>
        <v>44220</v>
      </c>
      <c r="H891" s="6"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6" cm="1">
        <f t="array" ref="G892">IFERROR(INDEX(EmployeeData[Join Date], ROW() - 37), "")</f>
        <v>43287</v>
      </c>
      <c r="H892" s="6"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6" cm="1">
        <f t="array" ref="G893">IFERROR(INDEX(EmployeeData[Join Date], ROW() - 37), "")</f>
        <v>45601</v>
      </c>
      <c r="H893" s="6"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6" cm="1">
        <f t="array" ref="G894">IFERROR(INDEX(EmployeeData[Join Date], ROW() - 37), "")</f>
        <v>44219</v>
      </c>
      <c r="H894" s="6"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6" cm="1">
        <f t="array" ref="G895">IFERROR(INDEX(EmployeeData[Join Date], ROW() - 37), "")</f>
        <v>43118</v>
      </c>
      <c r="H895" s="6"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6" cm="1">
        <f t="array" ref="G896">IFERROR(INDEX(EmployeeData[Join Date], ROW() - 37), "")</f>
        <v>45307</v>
      </c>
      <c r="H896" s="6"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6" cm="1">
        <f t="array" ref="G897">IFERROR(INDEX(EmployeeData[Join Date], ROW() - 37), "")</f>
        <v>43826</v>
      </c>
      <c r="H897" s="6"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6" cm="1">
        <f t="array" ref="G898">IFERROR(INDEX(EmployeeData[Join Date], ROW() - 37), "")</f>
        <v>44252</v>
      </c>
      <c r="H898" s="6"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6" cm="1">
        <f t="array" ref="G899">IFERROR(INDEX(EmployeeData[Join Date], ROW() - 37), "")</f>
        <v>44587</v>
      </c>
      <c r="H899" s="6"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6" cm="1">
        <f t="array" ref="G900">IFERROR(INDEX(EmployeeData[Join Date], ROW() - 37), "")</f>
        <v>45124</v>
      </c>
      <c r="H900" s="6"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6" cm="1">
        <f t="array" ref="G901">IFERROR(INDEX(EmployeeData[Join Date], ROW() - 37), "")</f>
        <v>43367</v>
      </c>
      <c r="H901" s="6"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6" cm="1">
        <f t="array" ref="G902">IFERROR(INDEX(EmployeeData[Join Date], ROW() - 37), "")</f>
        <v>45617</v>
      </c>
      <c r="H902" s="6"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6" cm="1">
        <f t="array" ref="G903">IFERROR(INDEX(EmployeeData[Join Date], ROW() - 37), "")</f>
        <v>44872</v>
      </c>
      <c r="H903" s="6"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6" cm="1">
        <f t="array" ref="G904">IFERROR(INDEX(EmployeeData[Join Date], ROW() - 37), "")</f>
        <v>44020</v>
      </c>
      <c r="H904" s="6"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6" cm="1">
        <f t="array" ref="G905">IFERROR(INDEX(EmployeeData[Join Date], ROW() - 37), "")</f>
        <v>44025</v>
      </c>
      <c r="H905" s="6"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6" cm="1">
        <f t="array" ref="G906">IFERROR(INDEX(EmployeeData[Join Date], ROW() - 37), "")</f>
        <v>45665</v>
      </c>
      <c r="H906" s="6"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6" cm="1">
        <f t="array" ref="G907">IFERROR(INDEX(EmployeeData[Join Date], ROW() - 37), "")</f>
        <v>44126</v>
      </c>
      <c r="H907" s="6"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6" cm="1">
        <f t="array" ref="G908">IFERROR(INDEX(EmployeeData[Join Date], ROW() - 37), "")</f>
        <v>43492</v>
      </c>
      <c r="H908" s="6"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6" cm="1">
        <f t="array" ref="G909">IFERROR(INDEX(EmployeeData[Join Date], ROW() - 37), "")</f>
        <v>43623</v>
      </c>
      <c r="H909" s="6"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6" cm="1">
        <f t="array" ref="G910">IFERROR(INDEX(EmployeeData[Join Date], ROW() - 37), "")</f>
        <v>44746</v>
      </c>
      <c r="H910" s="6"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6" cm="1">
        <f t="array" ref="G911">IFERROR(INDEX(EmployeeData[Join Date], ROW() - 37), "")</f>
        <v>45767</v>
      </c>
      <c r="H911" s="6"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6" cm="1">
        <f t="array" ref="G912">IFERROR(INDEX(EmployeeData[Join Date], ROW() - 37), "")</f>
        <v>45529</v>
      </c>
      <c r="H912" s="6"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6" cm="1">
        <f t="array" ref="G913">IFERROR(INDEX(EmployeeData[Join Date], ROW() - 37), "")</f>
        <v>43862</v>
      </c>
      <c r="H913" s="6"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6" cm="1">
        <f t="array" ref="G914">IFERROR(INDEX(EmployeeData[Join Date], ROW() - 37), "")</f>
        <v>43704</v>
      </c>
      <c r="H914" s="6"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6" cm="1">
        <f t="array" ref="G915">IFERROR(INDEX(EmployeeData[Join Date], ROW() - 37), "")</f>
        <v>43335</v>
      </c>
      <c r="H915" s="6"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6" cm="1">
        <f t="array" ref="G916">IFERROR(INDEX(EmployeeData[Join Date], ROW() - 37), "")</f>
        <v>45836</v>
      </c>
      <c r="H916" s="6"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6" cm="1">
        <f t="array" ref="G917">IFERROR(INDEX(EmployeeData[Join Date], ROW() - 37), "")</f>
        <v>45624</v>
      </c>
      <c r="H917" s="6"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6" cm="1">
        <f t="array" ref="G918">IFERROR(INDEX(EmployeeData[Join Date], ROW() - 37), "")</f>
        <v>45656</v>
      </c>
      <c r="H918" s="6"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6" cm="1">
        <f t="array" ref="G919">IFERROR(INDEX(EmployeeData[Join Date], ROW() - 37), "")</f>
        <v>43141</v>
      </c>
      <c r="H919" s="6"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6" cm="1">
        <f t="array" ref="G920">IFERROR(INDEX(EmployeeData[Join Date], ROW() - 37), "")</f>
        <v>44264</v>
      </c>
      <c r="H920" s="6"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6" cm="1">
        <f t="array" ref="G921">IFERROR(INDEX(EmployeeData[Join Date], ROW() - 37), "")</f>
        <v>43186</v>
      </c>
      <c r="H921" s="6"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6" cm="1">
        <f t="array" ref="G922">IFERROR(INDEX(EmployeeData[Join Date], ROW() - 37), "")</f>
        <v>44350</v>
      </c>
      <c r="H922" s="6"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6" cm="1">
        <f t="array" ref="G923">IFERROR(INDEX(EmployeeData[Join Date], ROW() - 37), "")</f>
        <v>43368</v>
      </c>
      <c r="H923" s="6"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6" cm="1">
        <f t="array" ref="G924">IFERROR(INDEX(EmployeeData[Join Date], ROW() - 37), "")</f>
        <v>43290</v>
      </c>
      <c r="H924" s="6"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6" cm="1">
        <f t="array" ref="G925">IFERROR(INDEX(EmployeeData[Join Date], ROW() - 37), "")</f>
        <v>43319</v>
      </c>
      <c r="H925" s="6"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6" cm="1">
        <f t="array" ref="G926">IFERROR(INDEX(EmployeeData[Join Date], ROW() - 37), "")</f>
        <v>43434</v>
      </c>
      <c r="H926" s="6"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6" cm="1">
        <f t="array" ref="G927">IFERROR(INDEX(EmployeeData[Join Date], ROW() - 37), "")</f>
        <v>44633</v>
      </c>
      <c r="H927" s="6"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6" cm="1">
        <f t="array" ref="G928">IFERROR(INDEX(EmployeeData[Join Date], ROW() - 37), "")</f>
        <v>45041</v>
      </c>
      <c r="H928" s="6"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6" cm="1">
        <f t="array" ref="G929">IFERROR(INDEX(EmployeeData[Join Date], ROW() - 37), "")</f>
        <v>44722</v>
      </c>
      <c r="H929" s="6"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6" cm="1">
        <f t="array" ref="G930">IFERROR(INDEX(EmployeeData[Join Date], ROW() - 37), "")</f>
        <v>43445</v>
      </c>
      <c r="H930" s="6"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6" cm="1">
        <f t="array" ref="G931">IFERROR(INDEX(EmployeeData[Join Date], ROW() - 37), "")</f>
        <v>44606</v>
      </c>
      <c r="H931" s="6"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6" cm="1">
        <f t="array" ref="G932">IFERROR(INDEX(EmployeeData[Join Date], ROW() - 37), "")</f>
        <v>44571</v>
      </c>
      <c r="H932" s="6"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6" cm="1">
        <f t="array" ref="G933">IFERROR(INDEX(EmployeeData[Join Date], ROW() - 37), "")</f>
        <v>43586</v>
      </c>
      <c r="H933" s="6"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6" cm="1">
        <f t="array" ref="G934">IFERROR(INDEX(EmployeeData[Join Date], ROW() - 37), "")</f>
        <v>43881</v>
      </c>
      <c r="H934" s="6"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6" cm="1">
        <f t="array" ref="G935">IFERROR(INDEX(EmployeeData[Join Date], ROW() - 37), "")</f>
        <v>44255</v>
      </c>
      <c r="H935" s="6"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6" cm="1">
        <f t="array" ref="G936">IFERROR(INDEX(EmployeeData[Join Date], ROW() - 37), "")</f>
        <v>43712</v>
      </c>
      <c r="H936" s="6"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6" cm="1">
        <f t="array" ref="G937">IFERROR(INDEX(EmployeeData[Join Date], ROW() - 37), "")</f>
        <v>45364</v>
      </c>
      <c r="H937" s="6"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6" cm="1">
        <f t="array" ref="G938">IFERROR(INDEX(EmployeeData[Join Date], ROW() - 37), "")</f>
        <v>43959</v>
      </c>
      <c r="H938" s="6"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6" cm="1">
        <f t="array" ref="G939">IFERROR(INDEX(EmployeeData[Join Date], ROW() - 37), "")</f>
        <v>45799</v>
      </c>
      <c r="H939" s="6"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6" cm="1">
        <f t="array" ref="G940">IFERROR(INDEX(EmployeeData[Join Date], ROW() - 37), "")</f>
        <v>44436</v>
      </c>
      <c r="H940" s="6"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6" cm="1">
        <f t="array" ref="G941">IFERROR(INDEX(EmployeeData[Join Date], ROW() - 37), "")</f>
        <v>45428</v>
      </c>
      <c r="H941" s="6"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6" cm="1">
        <f t="array" ref="G942">IFERROR(INDEX(EmployeeData[Join Date], ROW() - 37), "")</f>
        <v>43361</v>
      </c>
      <c r="H942" s="6"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6" cm="1">
        <f t="array" ref="G943">IFERROR(INDEX(EmployeeData[Join Date], ROW() - 37), "")</f>
        <v>43528</v>
      </c>
      <c r="H943" s="6"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6" cm="1">
        <f t="array" ref="G944">IFERROR(INDEX(EmployeeData[Join Date], ROW() - 37), "")</f>
        <v>43385</v>
      </c>
      <c r="H944" s="6"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6" cm="1">
        <f t="array" ref="G945">IFERROR(INDEX(EmployeeData[Join Date], ROW() - 37), "")</f>
        <v>44610</v>
      </c>
      <c r="H945" s="6"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6" cm="1">
        <f t="array" ref="G946">IFERROR(INDEX(EmployeeData[Join Date], ROW() - 37), "")</f>
        <v>43629</v>
      </c>
      <c r="H946" s="6"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6" cm="1">
        <f t="array" ref="G947">IFERROR(INDEX(EmployeeData[Join Date], ROW() - 37), "")</f>
        <v>45823</v>
      </c>
      <c r="H947" s="6"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6" cm="1">
        <f t="array" ref="G948">IFERROR(INDEX(EmployeeData[Join Date], ROW() - 37), "")</f>
        <v>44926</v>
      </c>
      <c r="H948" s="6"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6" cm="1">
        <f t="array" ref="G949">IFERROR(INDEX(EmployeeData[Join Date], ROW() - 37), "")</f>
        <v>44280</v>
      </c>
      <c r="H949" s="6"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6" cm="1">
        <f t="array" ref="G950">IFERROR(INDEX(EmployeeData[Join Date], ROW() - 37), "")</f>
        <v>44801</v>
      </c>
      <c r="H950" s="6"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6" cm="1">
        <f t="array" ref="G951">IFERROR(INDEX(EmployeeData[Join Date], ROW() - 37), "")</f>
        <v>45962</v>
      </c>
      <c r="H951" s="6"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6" cm="1">
        <f t="array" ref="G952">IFERROR(INDEX(EmployeeData[Join Date], ROW() - 37), "")</f>
        <v>45122</v>
      </c>
      <c r="H952" s="6"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6" cm="1">
        <f t="array" ref="G953">IFERROR(INDEX(EmployeeData[Join Date], ROW() - 37), "")</f>
        <v>44780</v>
      </c>
      <c r="H953" s="6"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6" cm="1">
        <f t="array" ref="G954">IFERROR(INDEX(EmployeeData[Join Date], ROW() - 37), "")</f>
        <v>44662</v>
      </c>
      <c r="H954" s="6"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6" cm="1">
        <f t="array" ref="G955">IFERROR(INDEX(EmployeeData[Join Date], ROW() - 37), "")</f>
        <v>45086</v>
      </c>
      <c r="H955" s="6"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6" cm="1">
        <f t="array" ref="G956">IFERROR(INDEX(EmployeeData[Join Date], ROW() - 37), "")</f>
        <v>44244</v>
      </c>
      <c r="H956" s="6"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6" cm="1">
        <f t="array" ref="G957">IFERROR(INDEX(EmployeeData[Join Date], ROW() - 37), "")</f>
        <v>43790</v>
      </c>
      <c r="H957" s="6"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6" cm="1">
        <f t="array" ref="G958">IFERROR(INDEX(EmployeeData[Join Date], ROW() - 37), "")</f>
        <v>43986</v>
      </c>
      <c r="H958" s="6"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6" cm="1">
        <f t="array" ref="G959">IFERROR(INDEX(EmployeeData[Join Date], ROW() - 37), "")</f>
        <v>44700</v>
      </c>
      <c r="H959" s="6"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6" cm="1">
        <f t="array" ref="G960">IFERROR(INDEX(EmployeeData[Join Date], ROW() - 37), "")</f>
        <v>44635</v>
      </c>
      <c r="H960" s="6"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6" cm="1">
        <f t="array" ref="G961">IFERROR(INDEX(EmployeeData[Join Date], ROW() - 37), "")</f>
        <v>45886</v>
      </c>
      <c r="H961" s="6"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6" cm="1">
        <f t="array" ref="G962">IFERROR(INDEX(EmployeeData[Join Date], ROW() - 37), "")</f>
        <v>43281</v>
      </c>
      <c r="H962" s="6"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6" cm="1">
        <f t="array" ref="G963">IFERROR(INDEX(EmployeeData[Join Date], ROW() - 37), "")</f>
        <v>44853</v>
      </c>
      <c r="H963" s="6"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6" cm="1">
        <f t="array" ref="G964">IFERROR(INDEX(EmployeeData[Join Date], ROW() - 37), "")</f>
        <v>43371</v>
      </c>
      <c r="H964" s="6"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6" cm="1">
        <f t="array" ref="G965">IFERROR(INDEX(EmployeeData[Join Date], ROW() - 37), "")</f>
        <v>44336</v>
      </c>
      <c r="H965" s="6"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6" cm="1">
        <f t="array" ref="G966">IFERROR(INDEX(EmployeeData[Join Date], ROW() - 37), "")</f>
        <v>43803</v>
      </c>
      <c r="H966" s="6"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6" cm="1">
        <f t="array" ref="G967">IFERROR(INDEX(EmployeeData[Join Date], ROW() - 37), "")</f>
        <v>45703</v>
      </c>
      <c r="H967" s="6"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6" cm="1">
        <f t="array" ref="G968">IFERROR(INDEX(EmployeeData[Join Date], ROW() - 37), "")</f>
        <v>44667</v>
      </c>
      <c r="H968" s="6"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6" cm="1">
        <f t="array" ref="G969">IFERROR(INDEX(EmployeeData[Join Date], ROW() - 37), "")</f>
        <v>44366</v>
      </c>
      <c r="H969" s="6"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6" cm="1">
        <f t="array" ref="G970">IFERROR(INDEX(EmployeeData[Join Date], ROW() - 37), "")</f>
        <v>45730</v>
      </c>
      <c r="H970" s="6"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6" cm="1">
        <f t="array" ref="G971">IFERROR(INDEX(EmployeeData[Join Date], ROW() - 37), "")</f>
        <v>45234</v>
      </c>
      <c r="H971" s="6"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6" cm="1">
        <f t="array" ref="G972">IFERROR(INDEX(EmployeeData[Join Date], ROW() - 37), "")</f>
        <v>44504</v>
      </c>
      <c r="H972" s="6"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6" cm="1">
        <f t="array" ref="G973">IFERROR(INDEX(EmployeeData[Join Date], ROW() - 37), "")</f>
        <v>44418</v>
      </c>
      <c r="H973" s="6"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6" cm="1">
        <f t="array" ref="G974">IFERROR(INDEX(EmployeeData[Join Date], ROW() - 37), "")</f>
        <v>43615</v>
      </c>
      <c r="H974" s="6"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6" cm="1">
        <f t="array" ref="G975">IFERROR(INDEX(EmployeeData[Join Date], ROW() - 37), "")</f>
        <v>45582</v>
      </c>
      <c r="H975" s="6"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6" cm="1">
        <f t="array" ref="G976">IFERROR(INDEX(EmployeeData[Join Date], ROW() - 37), "")</f>
        <v>44732</v>
      </c>
      <c r="H976" s="6"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6" cm="1">
        <f t="array" ref="G977">IFERROR(INDEX(EmployeeData[Join Date], ROW() - 37), "")</f>
        <v>43182</v>
      </c>
      <c r="H977" s="6"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6" cm="1">
        <f t="array" ref="G978">IFERROR(INDEX(EmployeeData[Join Date], ROW() - 37), "")</f>
        <v>45365</v>
      </c>
      <c r="H978" s="6"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6" cm="1">
        <f t="array" ref="G979">IFERROR(INDEX(EmployeeData[Join Date], ROW() - 37), "")</f>
        <v>43395</v>
      </c>
      <c r="H979" s="6"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6" cm="1">
        <f t="array" ref="G980">IFERROR(INDEX(EmployeeData[Join Date], ROW() - 37), "")</f>
        <v>44629</v>
      </c>
      <c r="H980" s="6"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6" cm="1">
        <f t="array" ref="G981">IFERROR(INDEX(EmployeeData[Join Date], ROW() - 37), "")</f>
        <v>44677</v>
      </c>
      <c r="H981" s="6"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6" cm="1">
        <f t="array" ref="G982">IFERROR(INDEX(EmployeeData[Join Date], ROW() - 37), "")</f>
        <v>45188</v>
      </c>
      <c r="H982" s="6"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6" cm="1">
        <f t="array" ref="G983">IFERROR(INDEX(EmployeeData[Join Date], ROW() - 37), "")</f>
        <v>45057</v>
      </c>
      <c r="H983" s="6"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6" cm="1">
        <f t="array" ref="G984">IFERROR(INDEX(EmployeeData[Join Date], ROW() - 37), "")</f>
        <v>44142</v>
      </c>
      <c r="H984" s="6"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6" cm="1">
        <f t="array" ref="G985">IFERROR(INDEX(EmployeeData[Join Date], ROW() - 37), "")</f>
        <v>45993</v>
      </c>
      <c r="H985" s="6"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6" cm="1">
        <f t="array" ref="G986">IFERROR(INDEX(EmployeeData[Join Date], ROW() - 37), "")</f>
        <v>44136</v>
      </c>
      <c r="H986" s="6"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6" cm="1">
        <f t="array" ref="G987">IFERROR(INDEX(EmployeeData[Join Date], ROW() - 37), "")</f>
        <v>43465</v>
      </c>
      <c r="H987" s="6"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6" cm="1">
        <f t="array" ref="G988">IFERROR(INDEX(EmployeeData[Join Date], ROW() - 37), "")</f>
        <v>45115</v>
      </c>
      <c r="H988" s="6"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6" cm="1">
        <f t="array" ref="G989">IFERROR(INDEX(EmployeeData[Join Date], ROW() - 37), "")</f>
        <v>43864</v>
      </c>
      <c r="H989" s="6"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6" cm="1">
        <f t="array" ref="G990">IFERROR(INDEX(EmployeeData[Join Date], ROW() - 37), "")</f>
        <v>43924</v>
      </c>
      <c r="H990" s="6"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6" cm="1">
        <f t="array" ref="G991">IFERROR(INDEX(EmployeeData[Join Date], ROW() - 37), "")</f>
        <v>45707</v>
      </c>
      <c r="H991" s="6"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6" cm="1">
        <f t="array" ref="G992">IFERROR(INDEX(EmployeeData[Join Date], ROW() - 37), "")</f>
        <v>43139</v>
      </c>
      <c r="H992" s="6"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6" cm="1">
        <f t="array" ref="G993">IFERROR(INDEX(EmployeeData[Join Date], ROW() - 37), "")</f>
        <v>45091</v>
      </c>
      <c r="H993" s="6"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6" cm="1">
        <f t="array" ref="G994">IFERROR(INDEX(EmployeeData[Join Date], ROW() - 37), "")</f>
        <v>44082</v>
      </c>
      <c r="H994" s="6"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6" cm="1">
        <f t="array" ref="G995">IFERROR(INDEX(EmployeeData[Join Date], ROW() - 37), "")</f>
        <v>43113</v>
      </c>
      <c r="H995" s="6"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6" cm="1">
        <f t="array" ref="G996">IFERROR(INDEX(EmployeeData[Join Date], ROW() - 37), "")</f>
        <v>45274</v>
      </c>
      <c r="H996" s="6"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6" cm="1">
        <f t="array" ref="G997">IFERROR(INDEX(EmployeeData[Join Date], ROW() - 37), "")</f>
        <v>45714</v>
      </c>
      <c r="H997" s="6"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6" cm="1">
        <f t="array" ref="G998">IFERROR(INDEX(EmployeeData[Join Date], ROW() - 37), "")</f>
        <v>45877</v>
      </c>
      <c r="H998" s="6"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6" cm="1">
        <f t="array" ref="G999">IFERROR(INDEX(EmployeeData[Join Date], ROW() - 37), "")</f>
        <v>45797</v>
      </c>
      <c r="H999" s="6"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6" cm="1">
        <f t="array" ref="G1000">IFERROR(INDEX(EmployeeData[Join Date], ROW() - 37), "")</f>
        <v>45167</v>
      </c>
      <c r="H1000" s="6"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6" cm="1">
        <f t="array" ref="G1001">IFERROR(INDEX(EmployeeData[Join Date], ROW() - 37), "")</f>
        <v>43574</v>
      </c>
      <c r="H1001" s="6"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6" cm="1">
        <f t="array" ref="G1002">IFERROR(INDEX(EmployeeData[Join Date], ROW() - 37), "")</f>
        <v>43533</v>
      </c>
      <c r="H1002" s="6"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6" cm="1">
        <f t="array" ref="G1003">IFERROR(INDEX(EmployeeData[Join Date], ROW() - 37), "")</f>
        <v>44003</v>
      </c>
      <c r="H1003" s="6"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6" cm="1">
        <f t="array" ref="G1004">IFERROR(INDEX(EmployeeData[Join Date], ROW() - 37), "")</f>
        <v>43471</v>
      </c>
      <c r="H1004" s="6"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6" cm="1">
        <f t="array" ref="G1005">IFERROR(INDEX(EmployeeData[Join Date], ROW() - 37), "")</f>
        <v>44645</v>
      </c>
      <c r="H1005" s="6"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6" cm="1">
        <f t="array" ref="G1006">IFERROR(INDEX(EmployeeData[Join Date], ROW() - 37), "")</f>
        <v>44016</v>
      </c>
      <c r="H1006" s="6"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6" cm="1">
        <f t="array" ref="G1007">IFERROR(INDEX(EmployeeData[Join Date], ROW() - 37), "")</f>
        <v>45447</v>
      </c>
      <c r="H1007" s="6"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6" cm="1">
        <f t="array" ref="G1008">IFERROR(INDEX(EmployeeData[Join Date], ROW() - 37), "")</f>
        <v>44836</v>
      </c>
      <c r="H1008" s="6"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6" cm="1">
        <f t="array" ref="G1009">IFERROR(INDEX(EmployeeData[Join Date], ROW() - 37), "")</f>
        <v>45305</v>
      </c>
      <c r="H1009" s="6"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6" cm="1">
        <f t="array" ref="G1010">IFERROR(INDEX(EmployeeData[Join Date], ROW() - 37), "")</f>
        <v>43704</v>
      </c>
      <c r="H1010" s="6"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6" cm="1">
        <f t="array" ref="G1011">IFERROR(INDEX(EmployeeData[Join Date], ROW() - 37), "")</f>
        <v>44366</v>
      </c>
      <c r="H1011" s="6"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6" cm="1">
        <f t="array" ref="G1012">IFERROR(INDEX(EmployeeData[Join Date], ROW() - 37), "")</f>
        <v>45128</v>
      </c>
      <c r="H1012" s="6"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6" cm="1">
        <f t="array" ref="G1013">IFERROR(INDEX(EmployeeData[Join Date], ROW() - 37), "")</f>
        <v>45969</v>
      </c>
      <c r="H1013" s="6"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6" cm="1">
        <f t="array" ref="G1014">IFERROR(INDEX(EmployeeData[Join Date], ROW() - 37), "")</f>
        <v>43189</v>
      </c>
      <c r="H1014" s="6"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6" cm="1">
        <f t="array" ref="G1015">IFERROR(INDEX(EmployeeData[Join Date], ROW() - 37), "")</f>
        <v>43395</v>
      </c>
      <c r="H1015" s="6"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6" cm="1">
        <f t="array" ref="G1016">IFERROR(INDEX(EmployeeData[Join Date], ROW() - 37), "")</f>
        <v>43499</v>
      </c>
      <c r="H1016" s="6"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6" cm="1">
        <f t="array" ref="G1017">IFERROR(INDEX(EmployeeData[Join Date], ROW() - 37), "")</f>
        <v>44293</v>
      </c>
      <c r="H1017" s="6"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6" cm="1">
        <f t="array" ref="G1018">IFERROR(INDEX(EmployeeData[Join Date], ROW() - 37), "")</f>
        <v>45458</v>
      </c>
      <c r="H1018" s="6"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6" cm="1">
        <f t="array" ref="G1019">IFERROR(INDEX(EmployeeData[Join Date], ROW() - 37), "")</f>
        <v>43836</v>
      </c>
      <c r="H1019" s="6"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6" cm="1">
        <f t="array" ref="G1020">IFERROR(INDEX(EmployeeData[Join Date], ROW() - 37), "")</f>
        <v>44104</v>
      </c>
      <c r="H1020" s="6"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6" cm="1">
        <f t="array" ref="G1021">IFERROR(INDEX(EmployeeData[Join Date], ROW() - 37), "")</f>
        <v>45000</v>
      </c>
      <c r="H1021" s="6"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6" cm="1">
        <f t="array" ref="G1022">IFERROR(INDEX(EmployeeData[Join Date], ROW() - 37), "")</f>
        <v>43439</v>
      </c>
      <c r="H1022" s="6"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6" cm="1">
        <f t="array" ref="G1023">IFERROR(INDEX(EmployeeData[Join Date], ROW() - 37), "")</f>
        <v>45741</v>
      </c>
      <c r="H1023" s="6"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6" cm="1">
        <f t="array" ref="G1024">IFERROR(INDEX(EmployeeData[Join Date], ROW() - 37), "")</f>
        <v>43858</v>
      </c>
      <c r="H1024" s="6"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6" cm="1">
        <f t="array" ref="G1025">IFERROR(INDEX(EmployeeData[Join Date], ROW() - 37), "")</f>
        <v>45770</v>
      </c>
      <c r="H1025" s="6"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6" cm="1">
        <f t="array" ref="G1026">IFERROR(INDEX(EmployeeData[Join Date], ROW() - 37), "")</f>
        <v>44388</v>
      </c>
      <c r="H1026" s="6"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6" cm="1">
        <f t="array" ref="G1027">IFERROR(INDEX(EmployeeData[Join Date], ROW() - 37), "")</f>
        <v>44590</v>
      </c>
      <c r="H1027" s="6"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6" cm="1">
        <f t="array" ref="G1028">IFERROR(INDEX(EmployeeData[Join Date], ROW() - 37), "")</f>
        <v>45228</v>
      </c>
      <c r="H1028" s="6"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6" cm="1">
        <f t="array" ref="G1029">IFERROR(INDEX(EmployeeData[Join Date], ROW() - 37), "")</f>
        <v>44543</v>
      </c>
      <c r="H1029" s="6"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6" cm="1">
        <f t="array" ref="G1030">IFERROR(INDEX(EmployeeData[Join Date], ROW() - 37), "")</f>
        <v>43871</v>
      </c>
      <c r="H1030" s="6"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6" cm="1">
        <f t="array" ref="G1031">IFERROR(INDEX(EmployeeData[Join Date], ROW() - 37), "")</f>
        <v>45353</v>
      </c>
      <c r="H1031" s="6"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6" cm="1">
        <f t="array" ref="G1032">IFERROR(INDEX(EmployeeData[Join Date], ROW() - 37), "")</f>
        <v>45296</v>
      </c>
      <c r="H1032" s="6"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6" cm="1">
        <f t="array" ref="G1033">IFERROR(INDEX(EmployeeData[Join Date], ROW() - 37), "")</f>
        <v>44653</v>
      </c>
      <c r="H1033" s="6"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6" cm="1">
        <f t="array" ref="G1034">IFERROR(INDEX(EmployeeData[Join Date], ROW() - 37), "")</f>
        <v>44467</v>
      </c>
      <c r="H1034" s="6"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6" cm="1">
        <f t="array" ref="G1035">IFERROR(INDEX(EmployeeData[Join Date], ROW() - 37), "")</f>
        <v>43531</v>
      </c>
      <c r="H1035" s="6"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6" cm="1">
        <f t="array" ref="G1036">IFERROR(INDEX(EmployeeData[Join Date], ROW() - 37), "")</f>
        <v>45267</v>
      </c>
      <c r="H1036" s="6"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6" cm="1">
        <f t="array" ref="G1037">IFERROR(INDEX(EmployeeData[Join Date], ROW() - 37), "")</f>
        <v>43841</v>
      </c>
      <c r="H1037" s="6"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6" cm="1">
        <f t="array" ref="G1038">IFERROR(INDEX(EmployeeData[Join Date], ROW() - 37), "")</f>
        <v>44196</v>
      </c>
      <c r="H1038" s="6"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6" cm="1">
        <f t="array" ref="G1039">IFERROR(INDEX(EmployeeData[Join Date], ROW() - 37), "")</f>
        <v>43850</v>
      </c>
      <c r="H1039" s="6"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6" cm="1">
        <f t="array" ref="G1040">IFERROR(INDEX(EmployeeData[Join Date], ROW() - 37), "")</f>
        <v>44351</v>
      </c>
      <c r="H1040" s="6"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6" cm="1">
        <f t="array" ref="G1041">IFERROR(INDEX(EmployeeData[Join Date], ROW() - 37), "")</f>
        <v>44084</v>
      </c>
      <c r="H1041" s="6"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6" cm="1">
        <f t="array" ref="G1042">IFERROR(INDEX(EmployeeData[Join Date], ROW() - 37), "")</f>
        <v>44837</v>
      </c>
      <c r="H1042" s="6"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6" cm="1">
        <f t="array" ref="G1043">IFERROR(INDEX(EmployeeData[Join Date], ROW() - 37), "")</f>
        <v>44841</v>
      </c>
      <c r="H1043" s="6"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6" cm="1">
        <f t="array" ref="G1044">IFERROR(INDEX(EmployeeData[Join Date], ROW() - 37), "")</f>
        <v>45902</v>
      </c>
      <c r="H1044" s="6"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6" cm="1">
        <f t="array" ref="G1045">IFERROR(INDEX(EmployeeData[Join Date], ROW() - 37), "")</f>
        <v>44022</v>
      </c>
      <c r="H1045" s="6"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6" cm="1">
        <f t="array" ref="G1046">IFERROR(INDEX(EmployeeData[Join Date], ROW() - 37), "")</f>
        <v>43564</v>
      </c>
      <c r="H1046" s="6"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6" cm="1">
        <f t="array" ref="G1047">IFERROR(INDEX(EmployeeData[Join Date], ROW() - 37), "")</f>
        <v>44713</v>
      </c>
      <c r="H1047" s="6"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6" cm="1">
        <f t="array" ref="G1048">IFERROR(INDEX(EmployeeData[Join Date], ROW() - 37), "")</f>
        <v>44558</v>
      </c>
      <c r="H1048" s="6"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6" cm="1">
        <f t="array" ref="G1049">IFERROR(INDEX(EmployeeData[Join Date], ROW() - 37), "")</f>
        <v>45116</v>
      </c>
      <c r="H1049" s="6"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6" cm="1">
        <f t="array" ref="G1050">IFERROR(INDEX(EmployeeData[Join Date], ROW() - 37), "")</f>
        <v>44027</v>
      </c>
      <c r="H1050" s="6"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6" cm="1">
        <f t="array" ref="G1051">IFERROR(INDEX(EmployeeData[Join Date], ROW() - 37), "")</f>
        <v>45789</v>
      </c>
      <c r="H1051" s="6"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6" cm="1">
        <f t="array" ref="G1052">IFERROR(INDEX(EmployeeData[Join Date], ROW() - 37), "")</f>
        <v>43554</v>
      </c>
      <c r="H1052" s="6"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6" cm="1">
        <f t="array" ref="G1053">IFERROR(INDEX(EmployeeData[Join Date], ROW() - 37), "")</f>
        <v>45825</v>
      </c>
      <c r="H1053" s="6"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6" cm="1">
        <f t="array" ref="G1054">IFERROR(INDEX(EmployeeData[Join Date], ROW() - 37), "")</f>
        <v>44738</v>
      </c>
      <c r="H1054" s="6"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6" cm="1">
        <f t="array" ref="G1055">IFERROR(INDEX(EmployeeData[Join Date], ROW() - 37), "")</f>
        <v>45149</v>
      </c>
      <c r="H1055" s="6"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6" cm="1">
        <f t="array" ref="G1056">IFERROR(INDEX(EmployeeData[Join Date], ROW() - 37), "")</f>
        <v>43439</v>
      </c>
      <c r="H1056" s="6"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6" cm="1">
        <f t="array" ref="G1057">IFERROR(INDEX(EmployeeData[Join Date], ROW() - 37), "")</f>
        <v>45972</v>
      </c>
      <c r="H1057" s="6"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6" cm="1">
        <f t="array" ref="G1058">IFERROR(INDEX(EmployeeData[Join Date], ROW() - 37), "")</f>
        <v>43873</v>
      </c>
      <c r="H1058" s="6"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6" cm="1">
        <f t="array" ref="G1059">IFERROR(INDEX(EmployeeData[Join Date], ROW() - 37), "")</f>
        <v>44222</v>
      </c>
      <c r="H1059" s="6"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6" cm="1">
        <f t="array" ref="G1060">IFERROR(INDEX(EmployeeData[Join Date], ROW() - 37), "")</f>
        <v>45251</v>
      </c>
      <c r="H1060" s="6"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6" cm="1">
        <f t="array" ref="G1061">IFERROR(INDEX(EmployeeData[Join Date], ROW() - 37), "")</f>
        <v>43551</v>
      </c>
      <c r="H1061" s="6"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6" cm="1">
        <f t="array" ref="G1062">IFERROR(INDEX(EmployeeData[Join Date], ROW() - 37), "")</f>
        <v>43969</v>
      </c>
      <c r="H1062" s="6"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6" cm="1">
        <f t="array" ref="G1063">IFERROR(INDEX(EmployeeData[Join Date], ROW() - 37), "")</f>
        <v>45841</v>
      </c>
      <c r="H1063" s="6"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6" cm="1">
        <f t="array" ref="G1064">IFERROR(INDEX(EmployeeData[Join Date], ROW() - 37), "")</f>
        <v>44076</v>
      </c>
      <c r="H1064" s="6"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6" cm="1">
        <f t="array" ref="G1065">IFERROR(INDEX(EmployeeData[Join Date], ROW() - 37), "")</f>
        <v>43269</v>
      </c>
      <c r="H1065" s="6"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6" cm="1">
        <f t="array" ref="G1066">IFERROR(INDEX(EmployeeData[Join Date], ROW() - 37), "")</f>
        <v>45636</v>
      </c>
      <c r="H1066" s="6"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6" cm="1">
        <f t="array" ref="G1067">IFERROR(INDEX(EmployeeData[Join Date], ROW() - 37), "")</f>
        <v>44135</v>
      </c>
      <c r="H1067" s="6"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6" cm="1">
        <f t="array" ref="G1068">IFERROR(INDEX(EmployeeData[Join Date], ROW() - 37), "")</f>
        <v>43378</v>
      </c>
      <c r="H1068" s="6"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6" cm="1">
        <f t="array" ref="G1069">IFERROR(INDEX(EmployeeData[Join Date], ROW() - 37), "")</f>
        <v>44287</v>
      </c>
      <c r="H1069" s="6"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6" cm="1">
        <f t="array" ref="G1070">IFERROR(INDEX(EmployeeData[Join Date], ROW() - 37), "")</f>
        <v>43408</v>
      </c>
      <c r="H1070" s="6"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6" cm="1">
        <f t="array" ref="G1071">IFERROR(INDEX(EmployeeData[Join Date], ROW() - 37), "")</f>
        <v>43993</v>
      </c>
      <c r="H1071" s="6"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6" cm="1">
        <f t="array" ref="G1072">IFERROR(INDEX(EmployeeData[Join Date], ROW() - 37), "")</f>
        <v>45362</v>
      </c>
      <c r="H1072" s="6"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6" cm="1">
        <f t="array" ref="G1073">IFERROR(INDEX(EmployeeData[Join Date], ROW() - 37), "")</f>
        <v>44208</v>
      </c>
      <c r="H1073" s="6"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6" cm="1">
        <f t="array" ref="G1074">IFERROR(INDEX(EmployeeData[Join Date], ROW() - 37), "")</f>
        <v>43106</v>
      </c>
      <c r="H1074" s="6"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6" cm="1">
        <f t="array" ref="G1075">IFERROR(INDEX(EmployeeData[Join Date], ROW() - 37), "")</f>
        <v>44430</v>
      </c>
      <c r="H1075" s="6"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6" cm="1">
        <f t="array" ref="G1076">IFERROR(INDEX(EmployeeData[Join Date], ROW() - 37), "")</f>
        <v>45793</v>
      </c>
      <c r="H1076" s="6"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6" cm="1">
        <f t="array" ref="G1077">IFERROR(INDEX(EmployeeData[Join Date], ROW() - 37), "")</f>
        <v>45666</v>
      </c>
      <c r="H1077" s="6"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6" cm="1">
        <f t="array" ref="G1078">IFERROR(INDEX(EmployeeData[Join Date], ROW() - 37), "")</f>
        <v>45680</v>
      </c>
      <c r="H1078" s="6"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6" cm="1">
        <f t="array" ref="G1079">IFERROR(INDEX(EmployeeData[Join Date], ROW() - 37), "")</f>
        <v>45132</v>
      </c>
      <c r="H1079" s="6"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6" cm="1">
        <f t="array" ref="G1080">IFERROR(INDEX(EmployeeData[Join Date], ROW() - 37), "")</f>
        <v>43828</v>
      </c>
      <c r="H1080" s="6"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6" cm="1">
        <f t="array" ref="G1081">IFERROR(INDEX(EmployeeData[Join Date], ROW() - 37), "")</f>
        <v>43511</v>
      </c>
      <c r="H1081" s="6"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6" cm="1">
        <f t="array" ref="G1082">IFERROR(INDEX(EmployeeData[Join Date], ROW() - 37), "")</f>
        <v>43185</v>
      </c>
      <c r="H1082" s="6"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6" cm="1">
        <f t="array" ref="G1083">IFERROR(INDEX(EmployeeData[Join Date], ROW() - 37), "")</f>
        <v>43139</v>
      </c>
      <c r="H1083" s="6"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6" cm="1">
        <f t="array" ref="G1084">IFERROR(INDEX(EmployeeData[Join Date], ROW() - 37), "")</f>
        <v>43671</v>
      </c>
      <c r="H1084" s="6"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6" cm="1">
        <f t="array" ref="G1085">IFERROR(INDEX(EmployeeData[Join Date], ROW() - 37), "")</f>
        <v>43329</v>
      </c>
      <c r="H1085" s="6"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6" cm="1">
        <f t="array" ref="G1086">IFERROR(INDEX(EmployeeData[Join Date], ROW() - 37), "")</f>
        <v>43521</v>
      </c>
      <c r="H1086" s="6"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6" cm="1">
        <f t="array" ref="G1087">IFERROR(INDEX(EmployeeData[Join Date], ROW() - 37), "")</f>
        <v>44548</v>
      </c>
      <c r="H1087" s="6"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6" cm="1">
        <f t="array" ref="G1088">IFERROR(INDEX(EmployeeData[Join Date], ROW() - 37), "")</f>
        <v>43517</v>
      </c>
      <c r="H1088" s="6"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6" cm="1">
        <f t="array" ref="G1089">IFERROR(INDEX(EmployeeData[Join Date], ROW() - 37), "")</f>
        <v>43278</v>
      </c>
      <c r="H1089" s="6"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6" cm="1">
        <f t="array" ref="G1090">IFERROR(INDEX(EmployeeData[Join Date], ROW() - 37), "")</f>
        <v>45660</v>
      </c>
      <c r="H1090" s="6"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6" cm="1">
        <f t="array" ref="G1091">IFERROR(INDEX(EmployeeData[Join Date], ROW() - 37), "")</f>
        <v>43109</v>
      </c>
      <c r="H1091" s="6"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6" cm="1">
        <f t="array" ref="G1092">IFERROR(INDEX(EmployeeData[Join Date], ROW() - 37), "")</f>
        <v>43376</v>
      </c>
      <c r="H1092" s="6"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6" cm="1">
        <f t="array" ref="G1093">IFERROR(INDEX(EmployeeData[Join Date], ROW() - 37), "")</f>
        <v>45125</v>
      </c>
      <c r="H1093" s="6"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6" cm="1">
        <f t="array" ref="G1094">IFERROR(INDEX(EmployeeData[Join Date], ROW() - 37), "")</f>
        <v>44670</v>
      </c>
      <c r="H1094" s="6"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6" cm="1">
        <f t="array" ref="G1095">IFERROR(INDEX(EmployeeData[Join Date], ROW() - 37), "")</f>
        <v>45259</v>
      </c>
      <c r="H1095" s="6"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6" cm="1">
        <f t="array" ref="G1096">IFERROR(INDEX(EmployeeData[Join Date], ROW() - 37), "")</f>
        <v>44585</v>
      </c>
      <c r="H1096" s="6"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6" cm="1">
        <f t="array" ref="G1097">IFERROR(INDEX(EmployeeData[Join Date], ROW() - 37), "")</f>
        <v>44308</v>
      </c>
      <c r="H1097" s="6"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6" cm="1">
        <f t="array" ref="G1098">IFERROR(INDEX(EmployeeData[Join Date], ROW() - 37), "")</f>
        <v>44647</v>
      </c>
      <c r="H1098" s="6"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6" cm="1">
        <f t="array" ref="G1099">IFERROR(INDEX(EmployeeData[Join Date], ROW() - 37), "")</f>
        <v>43224</v>
      </c>
      <c r="H1099" s="6"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6" cm="1">
        <f t="array" ref="G1100">IFERROR(INDEX(EmployeeData[Join Date], ROW() - 37), "")</f>
        <v>45261</v>
      </c>
      <c r="H1100" s="6"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6" cm="1">
        <f t="array" ref="G1101">IFERROR(INDEX(EmployeeData[Join Date], ROW() - 37), "")</f>
        <v>44275</v>
      </c>
      <c r="H1101" s="6"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6" cm="1">
        <f t="array" ref="G1102">IFERROR(INDEX(EmployeeData[Join Date], ROW() - 37), "")</f>
        <v>45885</v>
      </c>
      <c r="H1102" s="6"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6" cm="1">
        <f t="array" ref="G1103">IFERROR(INDEX(EmployeeData[Join Date], ROW() - 37), "")</f>
        <v>44032</v>
      </c>
      <c r="H1103" s="6"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6" cm="1">
        <f t="array" ref="G1104">IFERROR(INDEX(EmployeeData[Join Date], ROW() - 37), "")</f>
        <v>43968</v>
      </c>
      <c r="H1104" s="6"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6" cm="1">
        <f t="array" ref="G1105">IFERROR(INDEX(EmployeeData[Join Date], ROW() - 37), "")</f>
        <v>45774</v>
      </c>
      <c r="H1105" s="6"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6" cm="1">
        <f t="array" ref="G1106">IFERROR(INDEX(EmployeeData[Join Date], ROW() - 37), "")</f>
        <v>43528</v>
      </c>
      <c r="H1106" s="6"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6" cm="1">
        <f t="array" ref="G1107">IFERROR(INDEX(EmployeeData[Join Date], ROW() - 37), "")</f>
        <v>43869</v>
      </c>
      <c r="H1107" s="6"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6" cm="1">
        <f t="array" ref="G1108">IFERROR(INDEX(EmployeeData[Join Date], ROW() - 37), "")</f>
        <v>43297</v>
      </c>
      <c r="H1108" s="6"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6" cm="1">
        <f t="array" ref="G1109">IFERROR(INDEX(EmployeeData[Join Date], ROW() - 37), "")</f>
        <v>44558</v>
      </c>
      <c r="H1109" s="6"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6" cm="1">
        <f t="array" ref="G1110">IFERROR(INDEX(EmployeeData[Join Date], ROW() - 37), "")</f>
        <v>45506</v>
      </c>
      <c r="H1110" s="6"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6" cm="1">
        <f t="array" ref="G1111">IFERROR(INDEX(EmployeeData[Join Date], ROW() - 37), "")</f>
        <v>43423</v>
      </c>
      <c r="H1111" s="6"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6" cm="1">
        <f t="array" ref="G1112">IFERROR(INDEX(EmployeeData[Join Date], ROW() - 37), "")</f>
        <v>45155</v>
      </c>
      <c r="H1112" s="6"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6" cm="1">
        <f t="array" ref="G1113">IFERROR(INDEX(EmployeeData[Join Date], ROW() - 37), "")</f>
        <v>44576</v>
      </c>
      <c r="H1113" s="6"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6" cm="1">
        <f t="array" ref="G1114">IFERROR(INDEX(EmployeeData[Join Date], ROW() - 37), "")</f>
        <v>45601</v>
      </c>
      <c r="H1114" s="6"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6" cm="1">
        <f t="array" ref="G1115">IFERROR(INDEX(EmployeeData[Join Date], ROW() - 37), "")</f>
        <v>44368</v>
      </c>
      <c r="H1115" s="6"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6" cm="1">
        <f t="array" ref="G1116">IFERROR(INDEX(EmployeeData[Join Date], ROW() - 37), "")</f>
        <v>44248</v>
      </c>
      <c r="H1116" s="6"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6" cm="1">
        <f t="array" ref="G1117">IFERROR(INDEX(EmployeeData[Join Date], ROW() - 37), "")</f>
        <v>44911</v>
      </c>
      <c r="H1117" s="6"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cm="1">
        <f t="array" ref="B1118">IFERROR(INDEX(EmployeeData[Employee ID], ROW() - 37), "")</f>
        <v>2081</v>
      </c>
      <c r="C1118" s="4" t="str" cm="1">
        <f t="array" ref="C1118">IFERROR(INDEX(EmployeeData[Full Name], ROW() - 37), "")</f>
        <v>Carlos Rivera</v>
      </c>
      <c r="D1118" s="4" t="str" cm="1">
        <f t="array" ref="D1118">IFERROR(INDEX(EmployeeData[Department], ROW() - 37), "")</f>
        <v>Marketing</v>
      </c>
      <c r="E1118" s="4" t="str" cm="1">
        <f t="array" ref="E1118">IFERROR(INDEX(EmployeeData[Gender], ROW() - 37), "")</f>
        <v>Male</v>
      </c>
      <c r="F1118" s="4" cm="1">
        <f t="array" ref="F1118">IFERROR(INDEX(EmployeeData[Age], ROW() - 37), "")</f>
        <v>32</v>
      </c>
      <c r="G1118" s="6" cm="1">
        <f t="array" ref="G1118">IFERROR(INDEX(EmployeeData[Join Date], ROW() - 37), "")</f>
        <v>44973</v>
      </c>
      <c r="H1118" s="6"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Active</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6" t="str" cm="1">
        <f t="array" ref="G1119">IFERROR(INDEX(EmployeeData[Join Date], ROW() - 37), "")</f>
        <v/>
      </c>
      <c r="H1119" s="6"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6" t="str" cm="1">
        <f t="array" ref="G1120">IFERROR(INDEX(EmployeeData[Join Date], ROW() - 37), "")</f>
        <v/>
      </c>
      <c r="H1120" s="6"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6" t="str" cm="1">
        <f t="array" ref="G1121">IFERROR(INDEX(EmployeeData[Join Date], ROW() - 37), "")</f>
        <v/>
      </c>
      <c r="H1121" s="6"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6" t="str" cm="1">
        <f t="array" ref="G1122">IFERROR(INDEX(EmployeeData[Join Date], ROW() - 37), "")</f>
        <v/>
      </c>
      <c r="H1122" s="6"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6" t="str" cm="1">
        <f t="array" ref="G1123">IFERROR(INDEX(EmployeeData[Join Date], ROW() - 37), "")</f>
        <v/>
      </c>
      <c r="H1123" s="6"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6" t="str" cm="1">
        <f t="array" ref="G1124">IFERROR(INDEX(EmployeeData[Join Date], ROW() - 37), "")</f>
        <v/>
      </c>
      <c r="H1124" s="6"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6" t="str" cm="1">
        <f t="array" ref="G1125">IFERROR(INDEX(EmployeeData[Join Date], ROW() - 37), "")</f>
        <v/>
      </c>
      <c r="H1125" s="6"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6" t="str" cm="1">
        <f t="array" ref="G1126">IFERROR(INDEX(EmployeeData[Join Date], ROW() - 37), "")</f>
        <v/>
      </c>
      <c r="H1126" s="6"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6" t="str" cm="1">
        <f t="array" ref="G1127">IFERROR(INDEX(EmployeeData[Join Date], ROW() - 37), "")</f>
        <v/>
      </c>
      <c r="H1127" s="6"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6" t="str" cm="1">
        <f t="array" ref="G1128">IFERROR(INDEX(EmployeeData[Join Date], ROW() - 37), "")</f>
        <v/>
      </c>
      <c r="H1128" s="6"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6" t="str" cm="1">
        <f t="array" ref="G1129">IFERROR(INDEX(EmployeeData[Join Date], ROW() - 37), "")</f>
        <v/>
      </c>
      <c r="H1129" s="6"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6" t="str" cm="1">
        <f t="array" ref="G1130">IFERROR(INDEX(EmployeeData[Join Date], ROW() - 37), "")</f>
        <v/>
      </c>
      <c r="H1130" s="6"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6" t="str" cm="1">
        <f t="array" ref="G1131">IFERROR(INDEX(EmployeeData[Join Date], ROW() - 37), "")</f>
        <v/>
      </c>
      <c r="H1131" s="6"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6" t="str" cm="1">
        <f t="array" ref="G1132">IFERROR(INDEX(EmployeeData[Join Date], ROW() - 37), "")</f>
        <v/>
      </c>
      <c r="H1132" s="6"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6" t="str" cm="1">
        <f t="array" ref="G1133">IFERROR(INDEX(EmployeeData[Join Date], ROW() - 37), "")</f>
        <v/>
      </c>
      <c r="H1133" s="6"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6" t="str" cm="1">
        <f t="array" ref="G1134">IFERROR(INDEX(EmployeeData[Join Date], ROW() - 37), "")</f>
        <v/>
      </c>
      <c r="H1134" s="6"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6" t="str" cm="1">
        <f t="array" ref="G1135">IFERROR(INDEX(EmployeeData[Join Date], ROW() - 37), "")</f>
        <v/>
      </c>
      <c r="H1135" s="6"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6" t="str" cm="1">
        <f t="array" ref="G1136">IFERROR(INDEX(EmployeeData[Join Date], ROW() - 37), "")</f>
        <v/>
      </c>
      <c r="H1136" s="6"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6" t="str" cm="1">
        <f t="array" ref="G1137">IFERROR(INDEX(EmployeeData[Join Date], ROW() - 37), "")</f>
        <v/>
      </c>
      <c r="H1137" s="6"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6" t="str" cm="1">
        <f t="array" ref="G1138">IFERROR(INDEX(EmployeeData[Join Date], ROW() - 37), "")</f>
        <v/>
      </c>
      <c r="H1138" s="6"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6" t="str" cm="1">
        <f t="array" ref="G1139">IFERROR(INDEX(EmployeeData[Join Date], ROW() - 37), "")</f>
        <v/>
      </c>
      <c r="H1139" s="6"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6" t="str" cm="1">
        <f t="array" ref="G1140">IFERROR(INDEX(EmployeeData[Join Date], ROW() - 37), "")</f>
        <v/>
      </c>
      <c r="H1140" s="6"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6" t="str" cm="1">
        <f t="array" ref="G1141">IFERROR(INDEX(EmployeeData[Join Date], ROW() - 37), "")</f>
        <v/>
      </c>
      <c r="H1141" s="6"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6" t="str" cm="1">
        <f t="array" ref="G1142">IFERROR(INDEX(EmployeeData[Join Date], ROW() - 37), "")</f>
        <v/>
      </c>
      <c r="H1142" s="6"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6" t="str" cm="1">
        <f t="array" ref="G1143">IFERROR(INDEX(EmployeeData[Join Date], ROW() - 37), "")</f>
        <v/>
      </c>
      <c r="H1143" s="6"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6" t="str" cm="1">
        <f t="array" ref="G1144">IFERROR(INDEX(EmployeeData[Join Date], ROW() - 37), "")</f>
        <v/>
      </c>
      <c r="H1144" s="6"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6" t="str" cm="1">
        <f t="array" ref="G1145">IFERROR(INDEX(EmployeeData[Join Date], ROW() - 37), "")</f>
        <v/>
      </c>
      <c r="H1145" s="6"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6" t="str" cm="1">
        <f t="array" ref="G1146">IFERROR(INDEX(EmployeeData[Join Date], ROW() - 37), "")</f>
        <v/>
      </c>
      <c r="H1146" s="6"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6" t="str" cm="1">
        <f t="array" ref="G1147">IFERROR(INDEX(EmployeeData[Join Date], ROW() - 37), "")</f>
        <v/>
      </c>
      <c r="H1147" s="6"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6" t="str" cm="1">
        <f t="array" ref="G1148">IFERROR(INDEX(EmployeeData[Join Date], ROW() - 37), "")</f>
        <v/>
      </c>
      <c r="H1148" s="6"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6" t="str" cm="1">
        <f t="array" ref="G1149">IFERROR(INDEX(EmployeeData[Join Date], ROW() - 37), "")</f>
        <v/>
      </c>
      <c r="H1149" s="6"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6" t="str" cm="1">
        <f t="array" ref="G1150">IFERROR(INDEX(EmployeeData[Join Date], ROW() - 37), "")</f>
        <v/>
      </c>
      <c r="H1150" s="6"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6" t="str" cm="1">
        <f t="array" ref="G1151">IFERROR(INDEX(EmployeeData[Join Date], ROW() - 37), "")</f>
        <v/>
      </c>
      <c r="H1151" s="6"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6" t="str" cm="1">
        <f t="array" ref="G1152">IFERROR(INDEX(EmployeeData[Join Date], ROW() - 37), "")</f>
        <v/>
      </c>
      <c r="H1152" s="6"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6" t="str" cm="1">
        <f t="array" ref="G1153">IFERROR(INDEX(EmployeeData[Join Date], ROW() - 37), "")</f>
        <v/>
      </c>
      <c r="H1153" s="6"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6" t="str" cm="1">
        <f t="array" ref="G1154">IFERROR(INDEX(EmployeeData[Join Date], ROW() - 37), "")</f>
        <v/>
      </c>
      <c r="H1154" s="6"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6" t="str" cm="1">
        <f t="array" ref="G1155">IFERROR(INDEX(EmployeeData[Join Date], ROW() - 37), "")</f>
        <v/>
      </c>
      <c r="H1155" s="6"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6" t="str" cm="1">
        <f t="array" ref="G1156">IFERROR(INDEX(EmployeeData[Join Date], ROW() - 37), "")</f>
        <v/>
      </c>
      <c r="H1156" s="6"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6" t="str" cm="1">
        <f t="array" ref="G1157">IFERROR(INDEX(EmployeeData[Join Date], ROW() - 37), "")</f>
        <v/>
      </c>
      <c r="H1157" s="6"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6" t="str" cm="1">
        <f t="array" ref="G1158">IFERROR(INDEX(EmployeeData[Join Date], ROW() - 37), "")</f>
        <v/>
      </c>
      <c r="H1158" s="6"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6" t="str" cm="1">
        <f t="array" ref="G1159">IFERROR(INDEX(EmployeeData[Join Date], ROW() - 37), "")</f>
        <v/>
      </c>
      <c r="H1159" s="6"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6" t="str" cm="1">
        <f t="array" ref="G1160">IFERROR(INDEX(EmployeeData[Join Date], ROW() - 37), "")</f>
        <v/>
      </c>
      <c r="H1160" s="6"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6" t="str" cm="1">
        <f t="array" ref="G1161">IFERROR(INDEX(EmployeeData[Join Date], ROW() - 37), "")</f>
        <v/>
      </c>
      <c r="H1161" s="6"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6" t="str" cm="1">
        <f t="array" ref="G1162">IFERROR(INDEX(EmployeeData[Join Date], ROW() - 37), "")</f>
        <v/>
      </c>
      <c r="H1162" s="6"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6" t="str" cm="1">
        <f t="array" ref="G1163">IFERROR(INDEX(EmployeeData[Join Date], ROW() - 37), "")</f>
        <v/>
      </c>
      <c r="H1163" s="6"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6" t="str" cm="1">
        <f t="array" ref="G1164">IFERROR(INDEX(EmployeeData[Join Date], ROW() - 37), "")</f>
        <v/>
      </c>
      <c r="H1164" s="6"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6" t="str" cm="1">
        <f t="array" ref="G1165">IFERROR(INDEX(EmployeeData[Join Date], ROW() - 37), "")</f>
        <v/>
      </c>
      <c r="H1165" s="6"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6" t="str" cm="1">
        <f t="array" ref="G1166">IFERROR(INDEX(EmployeeData[Join Date], ROW() - 37), "")</f>
        <v/>
      </c>
      <c r="H1166" s="6"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6" t="str" cm="1">
        <f t="array" ref="G1167">IFERROR(INDEX(EmployeeData[Join Date], ROW() - 37), "")</f>
        <v/>
      </c>
      <c r="H1167" s="6"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6" t="str" cm="1">
        <f t="array" ref="G1168">IFERROR(INDEX(EmployeeData[Join Date], ROW() - 37), "")</f>
        <v/>
      </c>
      <c r="H1168" s="6"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6" t="str" cm="1">
        <f t="array" ref="G1169">IFERROR(INDEX(EmployeeData[Join Date], ROW() - 37), "")</f>
        <v/>
      </c>
      <c r="H1169" s="6"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6" t="str" cm="1">
        <f t="array" ref="G1170">IFERROR(INDEX(EmployeeData[Join Date], ROW() - 37), "")</f>
        <v/>
      </c>
      <c r="H1170" s="6"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6" t="str" cm="1">
        <f t="array" ref="G1171">IFERROR(INDEX(EmployeeData[Join Date], ROW() - 37), "")</f>
        <v/>
      </c>
      <c r="H1171" s="6"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6" t="str" cm="1">
        <f t="array" ref="G1172">IFERROR(INDEX(EmployeeData[Join Date], ROW() - 37), "")</f>
        <v/>
      </c>
      <c r="H1172" s="6"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6" t="str" cm="1">
        <f t="array" ref="G1173">IFERROR(INDEX(EmployeeData[Join Date], ROW() - 37), "")</f>
        <v/>
      </c>
      <c r="H1173" s="6"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6" t="str" cm="1">
        <f t="array" ref="G1174">IFERROR(INDEX(EmployeeData[Join Date], ROW() - 37), "")</f>
        <v/>
      </c>
      <c r="H1174" s="6"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6" t="str" cm="1">
        <f t="array" ref="G1175">IFERROR(INDEX(EmployeeData[Join Date], ROW() - 37), "")</f>
        <v/>
      </c>
      <c r="H1175" s="6"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6" t="str" cm="1">
        <f t="array" ref="G1176">IFERROR(INDEX(EmployeeData[Join Date], ROW() - 37), "")</f>
        <v/>
      </c>
      <c r="H1176" s="6"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6" t="str" cm="1">
        <f t="array" ref="G1177">IFERROR(INDEX(EmployeeData[Join Date], ROW() - 37), "")</f>
        <v/>
      </c>
      <c r="H1177" s="6"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6" t="str" cm="1">
        <f t="array" ref="G1178">IFERROR(INDEX(EmployeeData[Join Date], ROW() - 37), "")</f>
        <v/>
      </c>
      <c r="H1178" s="6"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6" t="str" cm="1">
        <f t="array" ref="G1179">IFERROR(INDEX(EmployeeData[Join Date], ROW() - 37), "")</f>
        <v/>
      </c>
      <c r="H1179" s="6"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6" t="str" cm="1">
        <f t="array" ref="G1180">IFERROR(INDEX(EmployeeData[Join Date], ROW() - 37), "")</f>
        <v/>
      </c>
      <c r="H1180" s="6"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6" t="str" cm="1">
        <f t="array" ref="G1181">IFERROR(INDEX(EmployeeData[Join Date], ROW() - 37), "")</f>
        <v/>
      </c>
      <c r="H1181" s="6"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6" t="str" cm="1">
        <f t="array" ref="G1182">IFERROR(INDEX(EmployeeData[Join Date], ROW() - 37), "")</f>
        <v/>
      </c>
      <c r="H1182" s="6"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6" t="str" cm="1">
        <f t="array" ref="G1183">IFERROR(INDEX(EmployeeData[Join Date], ROW() - 37), "")</f>
        <v/>
      </c>
      <c r="H1183" s="6"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6" t="str" cm="1">
        <f t="array" ref="G1184">IFERROR(INDEX(EmployeeData[Join Date], ROW() - 37), "")</f>
        <v/>
      </c>
      <c r="H1184" s="6"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6" t="str" cm="1">
        <f t="array" ref="G1185">IFERROR(INDEX(EmployeeData[Join Date], ROW() - 37), "")</f>
        <v/>
      </c>
      <c r="H1185" s="6"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6" t="str" cm="1">
        <f t="array" ref="G1186">IFERROR(INDEX(EmployeeData[Join Date], ROW() - 37), "")</f>
        <v/>
      </c>
      <c r="H1186" s="6"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6" t="str" cm="1">
        <f t="array" ref="G1187">IFERROR(INDEX(EmployeeData[Join Date], ROW() - 37), "")</f>
        <v/>
      </c>
      <c r="H1187" s="6"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6" t="str" cm="1">
        <f t="array" ref="G1188">IFERROR(INDEX(EmployeeData[Join Date], ROW() - 37), "")</f>
        <v/>
      </c>
      <c r="H1188" s="6"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6" t="str" cm="1">
        <f t="array" ref="G1189">IFERROR(INDEX(EmployeeData[Join Date], ROW() - 37), "")</f>
        <v/>
      </c>
      <c r="H1189" s="6"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6" t="str" cm="1">
        <f t="array" ref="G1190">IFERROR(INDEX(EmployeeData[Join Date], ROW() - 37), "")</f>
        <v/>
      </c>
      <c r="H1190" s="6"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6" t="str" cm="1">
        <f t="array" ref="G1191">IFERROR(INDEX(EmployeeData[Join Date], ROW() - 37), "")</f>
        <v/>
      </c>
      <c r="H1191" s="6"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6" t="str" cm="1">
        <f t="array" ref="G1192">IFERROR(INDEX(EmployeeData[Join Date], ROW() - 37), "")</f>
        <v/>
      </c>
      <c r="H1192" s="6"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6" t="str" cm="1">
        <f t="array" ref="G1193">IFERROR(INDEX(EmployeeData[Join Date], ROW() - 37), "")</f>
        <v/>
      </c>
      <c r="H1193" s="6"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6" t="str" cm="1">
        <f t="array" ref="G1194">IFERROR(INDEX(EmployeeData[Join Date], ROW() - 37), "")</f>
        <v/>
      </c>
      <c r="H1194" s="6"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6" t="str" cm="1">
        <f t="array" ref="G1195">IFERROR(INDEX(EmployeeData[Join Date], ROW() - 37), "")</f>
        <v/>
      </c>
      <c r="H1195" s="6"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6" t="str" cm="1">
        <f t="array" ref="G1196">IFERROR(INDEX(EmployeeData[Join Date], ROW() - 37), "")</f>
        <v/>
      </c>
      <c r="H1196" s="6"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6" t="str" cm="1">
        <f t="array" ref="G1197">IFERROR(INDEX(EmployeeData[Join Date], ROW() - 37), "")</f>
        <v/>
      </c>
      <c r="H1197" s="6"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6" t="str" cm="1">
        <f t="array" ref="G1198">IFERROR(INDEX(EmployeeData[Join Date], ROW() - 37), "")</f>
        <v/>
      </c>
      <c r="H1198" s="6"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6" t="str" cm="1">
        <f t="array" ref="G1199">IFERROR(INDEX(EmployeeData[Join Date], ROW() - 37), "")</f>
        <v/>
      </c>
      <c r="H1199" s="6"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6" t="str" cm="1">
        <f t="array" ref="G1200">IFERROR(INDEX(EmployeeData[Join Date], ROW() - 37), "")</f>
        <v/>
      </c>
      <c r="H1200" s="6"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6" t="str" cm="1">
        <f t="array" ref="G1201">IFERROR(INDEX(EmployeeData[Join Date], ROW() - 37), "")</f>
        <v/>
      </c>
      <c r="H1201" s="6"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6" t="str" cm="1">
        <f t="array" ref="G1202">IFERROR(INDEX(EmployeeData[Join Date], ROW() - 37), "")</f>
        <v/>
      </c>
      <c r="H1202" s="6"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6" t="str" cm="1">
        <f t="array" ref="G1203">IFERROR(INDEX(EmployeeData[Join Date], ROW() - 37), "")</f>
        <v/>
      </c>
      <c r="H1203" s="6"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6" t="str" cm="1">
        <f t="array" ref="G1204">IFERROR(INDEX(EmployeeData[Join Date], ROW() - 37), "")</f>
        <v/>
      </c>
      <c r="H1204" s="6"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6" t="str" cm="1">
        <f t="array" ref="G1205">IFERROR(INDEX(EmployeeData[Join Date], ROW() - 37), "")</f>
        <v/>
      </c>
      <c r="H1205" s="6"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6" t="str" cm="1">
        <f t="array" ref="G1206">IFERROR(INDEX(EmployeeData[Join Date], ROW() - 37), "")</f>
        <v/>
      </c>
      <c r="H1206" s="6"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6" t="str" cm="1">
        <f t="array" ref="G1207">IFERROR(INDEX(EmployeeData[Join Date], ROW() - 37), "")</f>
        <v/>
      </c>
      <c r="H1207" s="6"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6" t="str" cm="1">
        <f t="array" ref="G1208">IFERROR(INDEX(EmployeeData[Join Date], ROW() - 37), "")</f>
        <v/>
      </c>
      <c r="H1208" s="6"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6" t="str" cm="1">
        <f t="array" ref="G1209">IFERROR(INDEX(EmployeeData[Join Date], ROW() - 37), "")</f>
        <v/>
      </c>
      <c r="H1209" s="6"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6" t="str" cm="1">
        <f t="array" ref="G1210">IFERROR(INDEX(EmployeeData[Join Date], ROW() - 37), "")</f>
        <v/>
      </c>
      <c r="H1210" s="6"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6" t="str" cm="1">
        <f t="array" ref="G1211">IFERROR(INDEX(EmployeeData[Join Date], ROW() - 37), "")</f>
        <v/>
      </c>
      <c r="H1211" s="6"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6" t="str" cm="1">
        <f t="array" ref="G1212">IFERROR(INDEX(EmployeeData[Join Date], ROW() - 37), "")</f>
        <v/>
      </c>
      <c r="H1212" s="6"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6" t="str" cm="1">
        <f t="array" ref="G1213">IFERROR(INDEX(EmployeeData[Join Date], ROW() - 37), "")</f>
        <v/>
      </c>
      <c r="H1213" s="6"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6" t="str" cm="1">
        <f t="array" ref="G1214">IFERROR(INDEX(EmployeeData[Join Date], ROW() - 37), "")</f>
        <v/>
      </c>
      <c r="H1214" s="6"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6" t="str" cm="1">
        <f t="array" ref="G1215">IFERROR(INDEX(EmployeeData[Join Date], ROW() - 37), "")</f>
        <v/>
      </c>
      <c r="H1215" s="6"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6" t="str" cm="1">
        <f t="array" ref="G1216">IFERROR(INDEX(EmployeeData[Join Date], ROW() - 37), "")</f>
        <v/>
      </c>
      <c r="H1216" s="6"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6" t="str" cm="1">
        <f t="array" ref="G1217">IFERROR(INDEX(EmployeeData[Join Date], ROW() - 37), "")</f>
        <v/>
      </c>
      <c r="H1217" s="6"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6" t="str" cm="1">
        <f t="array" ref="G1218">IFERROR(INDEX(EmployeeData[Join Date], ROW() - 37), "")</f>
        <v/>
      </c>
      <c r="H1218" s="6"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6" t="str" cm="1">
        <f t="array" ref="G1219">IFERROR(INDEX(EmployeeData[Join Date], ROW() - 37), "")</f>
        <v/>
      </c>
      <c r="H1219" s="6"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6" t="str" cm="1">
        <f t="array" ref="G1220">IFERROR(INDEX(EmployeeData[Join Date], ROW() - 37), "")</f>
        <v/>
      </c>
      <c r="H1220" s="6"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6" t="str" cm="1">
        <f t="array" ref="G1221">IFERROR(INDEX(EmployeeData[Join Date], ROW() - 37), "")</f>
        <v/>
      </c>
      <c r="H1221" s="6"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6" t="str" cm="1">
        <f t="array" ref="G1222">IFERROR(INDEX(EmployeeData[Join Date], ROW() - 37), "")</f>
        <v/>
      </c>
      <c r="H1222" s="6"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6" t="str" cm="1">
        <f t="array" ref="G1223">IFERROR(INDEX(EmployeeData[Join Date], ROW() - 37), "")</f>
        <v/>
      </c>
      <c r="H1223" s="6"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6" t="str" cm="1">
        <f t="array" ref="G1224">IFERROR(INDEX(EmployeeData[Join Date], ROW() - 37), "")</f>
        <v/>
      </c>
      <c r="H1224" s="6"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6" t="str" cm="1">
        <f t="array" ref="G1225">IFERROR(INDEX(EmployeeData[Join Date], ROW() - 37), "")</f>
        <v/>
      </c>
      <c r="H1225" s="6"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6" t="str" cm="1">
        <f t="array" ref="G1226">IFERROR(INDEX(EmployeeData[Join Date], ROW() - 37), "")</f>
        <v/>
      </c>
      <c r="H1226" s="6"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6" t="str" cm="1">
        <f t="array" ref="G1227">IFERROR(INDEX(EmployeeData[Join Date], ROW() - 37), "")</f>
        <v/>
      </c>
      <c r="H1227" s="6"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6" t="str" cm="1">
        <f t="array" ref="G1228">IFERROR(INDEX(EmployeeData[Join Date], ROW() - 37), "")</f>
        <v/>
      </c>
      <c r="H1228" s="6"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6" t="str" cm="1">
        <f t="array" ref="G1229">IFERROR(INDEX(EmployeeData[Join Date], ROW() - 37), "")</f>
        <v/>
      </c>
      <c r="H1229" s="6"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6" t="str" cm="1">
        <f t="array" ref="G1230">IFERROR(INDEX(EmployeeData[Join Date], ROW() - 37), "")</f>
        <v/>
      </c>
      <c r="H1230" s="6"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6" t="str" cm="1">
        <f t="array" ref="G1231">IFERROR(INDEX(EmployeeData[Join Date], ROW() - 37), "")</f>
        <v/>
      </c>
      <c r="H1231" s="6"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6" t="str" cm="1">
        <f t="array" ref="G1232">IFERROR(INDEX(EmployeeData[Join Date], ROW() - 37), "")</f>
        <v/>
      </c>
      <c r="H1232" s="6"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6" t="str" cm="1">
        <f t="array" ref="G1233">IFERROR(INDEX(EmployeeData[Join Date], ROW() - 37), "")</f>
        <v/>
      </c>
      <c r="H1233" s="6"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6" t="str" cm="1">
        <f t="array" ref="G1234">IFERROR(INDEX(EmployeeData[Join Date], ROW() - 37), "")</f>
        <v/>
      </c>
      <c r="H1234" s="6"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6" t="str" cm="1">
        <f t="array" ref="G1235">IFERROR(INDEX(EmployeeData[Join Date], ROW() - 37), "")</f>
        <v/>
      </c>
      <c r="H1235" s="6"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6" t="str" cm="1">
        <f t="array" ref="G1236">IFERROR(INDEX(EmployeeData[Join Date], ROW() - 37), "")</f>
        <v/>
      </c>
      <c r="H1236" s="6"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6" t="str" cm="1">
        <f t="array" ref="G1237">IFERROR(INDEX(EmployeeData[Join Date], ROW() - 37), "")</f>
        <v/>
      </c>
      <c r="H1237" s="6"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6" t="str" cm="1">
        <f t="array" ref="G1238">IFERROR(INDEX(EmployeeData[Join Date], ROW() - 37), "")</f>
        <v/>
      </c>
      <c r="H1238" s="6"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6" t="str" cm="1">
        <f t="array" ref="G1239">IFERROR(INDEX(EmployeeData[Join Date], ROW() - 37), "")</f>
        <v/>
      </c>
      <c r="H1239" s="6"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6" t="str" cm="1">
        <f t="array" ref="G1240">IFERROR(INDEX(EmployeeData[Join Date], ROW() - 37), "")</f>
        <v/>
      </c>
      <c r="H1240" s="6"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6" t="str" cm="1">
        <f t="array" ref="G1241">IFERROR(INDEX(EmployeeData[Join Date], ROW() - 37), "")</f>
        <v/>
      </c>
      <c r="H1241" s="6"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6" t="str" cm="1">
        <f t="array" ref="G1242">IFERROR(INDEX(EmployeeData[Join Date], ROW() - 37), "")</f>
        <v/>
      </c>
      <c r="H1242" s="6"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6" t="str" cm="1">
        <f t="array" ref="G1243">IFERROR(INDEX(EmployeeData[Join Date], ROW() - 37), "")</f>
        <v/>
      </c>
      <c r="H1243" s="6"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6" t="str" cm="1">
        <f t="array" ref="G1244">IFERROR(INDEX(EmployeeData[Join Date], ROW() - 37), "")</f>
        <v/>
      </c>
      <c r="H1244" s="6"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6" t="str" cm="1">
        <f t="array" ref="G1245">IFERROR(INDEX(EmployeeData[Join Date], ROW() - 37), "")</f>
        <v/>
      </c>
      <c r="H1245" s="6"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6" t="str" cm="1">
        <f t="array" ref="G1246">IFERROR(INDEX(EmployeeData[Join Date], ROW() - 37), "")</f>
        <v/>
      </c>
      <c r="H1246" s="6"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6" t="str" cm="1">
        <f t="array" ref="G1247">IFERROR(INDEX(EmployeeData[Join Date], ROW() - 37), "")</f>
        <v/>
      </c>
      <c r="H1247" s="6"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6" t="str" cm="1">
        <f t="array" ref="G1248">IFERROR(INDEX(EmployeeData[Join Date], ROW() - 37), "")</f>
        <v/>
      </c>
      <c r="H1248" s="6"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6" t="str" cm="1">
        <f t="array" ref="G1249">IFERROR(INDEX(EmployeeData[Join Date], ROW() - 37), "")</f>
        <v/>
      </c>
      <c r="H1249" s="6"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6" t="str" cm="1">
        <f t="array" ref="G1250">IFERROR(INDEX(EmployeeData[Join Date], ROW() - 37), "")</f>
        <v/>
      </c>
      <c r="H1250" s="6"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6" t="str" cm="1">
        <f t="array" ref="G1251">IFERROR(INDEX(EmployeeData[Join Date], ROW() - 37), "")</f>
        <v/>
      </c>
      <c r="H1251" s="6"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6" t="str" cm="1">
        <f t="array" ref="G1252">IFERROR(INDEX(EmployeeData[Join Date], ROW() - 37), "")</f>
        <v/>
      </c>
      <c r="H1252" s="6"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6" t="str" cm="1">
        <f t="array" ref="G1253">IFERROR(INDEX(EmployeeData[Join Date], ROW() - 37), "")</f>
        <v/>
      </c>
      <c r="H1253" s="6"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6" t="str" cm="1">
        <f t="array" ref="G1254">IFERROR(INDEX(EmployeeData[Join Date], ROW() - 37), "")</f>
        <v/>
      </c>
      <c r="H1254" s="6"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6" t="str" cm="1">
        <f t="array" ref="G1255">IFERROR(INDEX(EmployeeData[Join Date], ROW() - 37), "")</f>
        <v/>
      </c>
      <c r="H1255" s="6"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6" t="str" cm="1">
        <f t="array" ref="G1256">IFERROR(INDEX(EmployeeData[Join Date], ROW() - 37), "")</f>
        <v/>
      </c>
      <c r="H1256" s="6"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6" t="str" cm="1">
        <f t="array" ref="G1257">IFERROR(INDEX(EmployeeData[Join Date], ROW() - 37), "")</f>
        <v/>
      </c>
      <c r="H1257" s="6"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6" t="str" cm="1">
        <f t="array" ref="G1258">IFERROR(INDEX(EmployeeData[Join Date], ROW() - 37), "")</f>
        <v/>
      </c>
      <c r="H1258" s="6"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6" t="str" cm="1">
        <f t="array" ref="G1259">IFERROR(INDEX(EmployeeData[Join Date], ROW() - 37), "")</f>
        <v/>
      </c>
      <c r="H1259" s="6"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6" t="str" cm="1">
        <f t="array" ref="G1260">IFERROR(INDEX(EmployeeData[Join Date], ROW() - 37), "")</f>
        <v/>
      </c>
      <c r="H1260" s="6"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6" t="str" cm="1">
        <f t="array" ref="G1261">IFERROR(INDEX(EmployeeData[Join Date], ROW() - 37), "")</f>
        <v/>
      </c>
      <c r="H1261" s="6"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6" t="str" cm="1">
        <f t="array" ref="G1262">IFERROR(INDEX(EmployeeData[Join Date], ROW() - 37), "")</f>
        <v/>
      </c>
      <c r="H1262" s="6"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6" t="str" cm="1">
        <f t="array" ref="G1263">IFERROR(INDEX(EmployeeData[Join Date], ROW() - 37), "")</f>
        <v/>
      </c>
      <c r="H1263" s="6"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6" t="str" cm="1">
        <f t="array" ref="G1264">IFERROR(INDEX(EmployeeData[Join Date], ROW() - 37), "")</f>
        <v/>
      </c>
      <c r="H1264" s="6"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6" t="str" cm="1">
        <f t="array" ref="G1265">IFERROR(INDEX(EmployeeData[Join Date], ROW() - 37), "")</f>
        <v/>
      </c>
      <c r="H1265" s="6"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6" t="str" cm="1">
        <f t="array" ref="G1266">IFERROR(INDEX(EmployeeData[Join Date], ROW() - 37), "")</f>
        <v/>
      </c>
      <c r="H1266" s="6"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6" t="str" cm="1">
        <f t="array" ref="G1267">IFERROR(INDEX(EmployeeData[Join Date], ROW() - 37), "")</f>
        <v/>
      </c>
      <c r="H1267" s="6"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6" t="str" cm="1">
        <f t="array" ref="G1268">IFERROR(INDEX(EmployeeData[Join Date], ROW() - 37), "")</f>
        <v/>
      </c>
      <c r="H1268" s="6"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6" t="str" cm="1">
        <f t="array" ref="G1269">IFERROR(INDEX(EmployeeData[Join Date], ROW() - 37), "")</f>
        <v/>
      </c>
      <c r="H1269" s="6"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6" t="str" cm="1">
        <f t="array" ref="G1270">IFERROR(INDEX(EmployeeData[Join Date], ROW() - 37), "")</f>
        <v/>
      </c>
      <c r="H1270" s="6"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6" t="str" cm="1">
        <f t="array" ref="G1271">IFERROR(INDEX(EmployeeData[Join Date], ROW() - 37), "")</f>
        <v/>
      </c>
      <c r="H1271" s="6"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6" t="str" cm="1">
        <f t="array" ref="G1272">IFERROR(INDEX(EmployeeData[Join Date], ROW() - 37), "")</f>
        <v/>
      </c>
      <c r="H1272" s="6"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6" t="str" cm="1">
        <f t="array" ref="G1273">IFERROR(INDEX(EmployeeData[Join Date], ROW() - 37), "")</f>
        <v/>
      </c>
      <c r="H1273" s="6"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6" t="str" cm="1">
        <f t="array" ref="G1274">IFERROR(INDEX(EmployeeData[Join Date], ROW() - 37), "")</f>
        <v/>
      </c>
      <c r="H1274" s="6"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6" t="str" cm="1">
        <f t="array" ref="G1275">IFERROR(INDEX(EmployeeData[Join Date], ROW() - 37), "")</f>
        <v/>
      </c>
      <c r="H1275" s="6"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6" t="str" cm="1">
        <f t="array" ref="G1276">IFERROR(INDEX(EmployeeData[Join Date], ROW() - 37), "")</f>
        <v/>
      </c>
      <c r="H1276" s="6"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6" t="str" cm="1">
        <f t="array" ref="G1277">IFERROR(INDEX(EmployeeData[Join Date], ROW() - 37), "")</f>
        <v/>
      </c>
      <c r="H1277" s="6"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6" t="str" cm="1">
        <f t="array" ref="G1278">IFERROR(INDEX(EmployeeData[Join Date], ROW() - 37), "")</f>
        <v/>
      </c>
      <c r="H1278" s="6"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6" t="str" cm="1">
        <f t="array" ref="G1279">IFERROR(INDEX(EmployeeData[Join Date], ROW() - 37), "")</f>
        <v/>
      </c>
      <c r="H1279" s="6"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6" t="str" cm="1">
        <f t="array" ref="G1280">IFERROR(INDEX(EmployeeData[Join Date], ROW() - 37), "")</f>
        <v/>
      </c>
      <c r="H1280" s="6"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6" t="str" cm="1">
        <f t="array" ref="G1281">IFERROR(INDEX(EmployeeData[Join Date], ROW() - 37), "")</f>
        <v/>
      </c>
      <c r="H1281" s="6"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6" t="str" cm="1">
        <f t="array" ref="G1282">IFERROR(INDEX(EmployeeData[Join Date], ROW() - 37), "")</f>
        <v/>
      </c>
      <c r="H1282" s="6"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6" t="str" cm="1">
        <f t="array" ref="G1283">IFERROR(INDEX(EmployeeData[Join Date], ROW() - 37), "")</f>
        <v/>
      </c>
      <c r="H1283" s="6"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6" t="str" cm="1">
        <f t="array" ref="G1284">IFERROR(INDEX(EmployeeData[Join Date], ROW() - 37), "")</f>
        <v/>
      </c>
      <c r="H1284" s="6"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6" t="str" cm="1">
        <f t="array" ref="G1285">IFERROR(INDEX(EmployeeData[Join Date], ROW() - 37), "")</f>
        <v/>
      </c>
      <c r="H1285" s="6"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6" t="str" cm="1">
        <f t="array" ref="G1286">IFERROR(INDEX(EmployeeData[Join Date], ROW() - 37), "")</f>
        <v/>
      </c>
      <c r="H1286" s="6"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6" t="str" cm="1">
        <f t="array" ref="G1287">IFERROR(INDEX(EmployeeData[Join Date], ROW() - 37), "")</f>
        <v/>
      </c>
      <c r="H1287" s="6"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6" t="str" cm="1">
        <f t="array" ref="G1288">IFERROR(INDEX(EmployeeData[Join Date], ROW() - 37), "")</f>
        <v/>
      </c>
      <c r="H1288" s="6"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6" t="str" cm="1">
        <f t="array" ref="G1289">IFERROR(INDEX(EmployeeData[Join Date], ROW() - 37), "")</f>
        <v/>
      </c>
      <c r="H1289" s="6"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6" t="str" cm="1">
        <f t="array" ref="G1290">IFERROR(INDEX(EmployeeData[Join Date], ROW() - 37), "")</f>
        <v/>
      </c>
      <c r="H1290" s="6"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6" t="str" cm="1">
        <f t="array" ref="G1291">IFERROR(INDEX(EmployeeData[Join Date], ROW() - 37), "")</f>
        <v/>
      </c>
      <c r="H1291" s="6"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6" t="str" cm="1">
        <f t="array" ref="G1292">IFERROR(INDEX(EmployeeData[Join Date], ROW() - 37), "")</f>
        <v/>
      </c>
      <c r="H1292" s="6"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6" t="str" cm="1">
        <f t="array" ref="G1293">IFERROR(INDEX(EmployeeData[Join Date], ROW() - 37), "")</f>
        <v/>
      </c>
      <c r="H1293" s="6"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6" t="str" cm="1">
        <f t="array" ref="G1294">IFERROR(INDEX(EmployeeData[Join Date], ROW() - 37), "")</f>
        <v/>
      </c>
      <c r="H1294" s="6"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6" t="str" cm="1">
        <f t="array" ref="G1295">IFERROR(INDEX(EmployeeData[Join Date], ROW() - 37), "")</f>
        <v/>
      </c>
      <c r="H1295" s="6"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6" t="str" cm="1">
        <f t="array" ref="G1296">IFERROR(INDEX(EmployeeData[Join Date], ROW() - 37), "")</f>
        <v/>
      </c>
      <c r="H1296" s="6"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6" t="str" cm="1">
        <f t="array" ref="G1297">IFERROR(INDEX(EmployeeData[Join Date], ROW() - 37), "")</f>
        <v/>
      </c>
      <c r="H1297" s="6"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6" t="str" cm="1">
        <f t="array" ref="G1298">IFERROR(INDEX(EmployeeData[Join Date], ROW() - 37), "")</f>
        <v/>
      </c>
      <c r="H1298" s="6"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6" t="str" cm="1">
        <f t="array" ref="G1299">IFERROR(INDEX(EmployeeData[Join Date], ROW() - 37), "")</f>
        <v/>
      </c>
      <c r="H1299" s="6"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6" t="str" cm="1">
        <f t="array" ref="G1300">IFERROR(INDEX(EmployeeData[Join Date], ROW() - 37), "")</f>
        <v/>
      </c>
      <c r="H1300" s="6"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6" t="str" cm="1">
        <f t="array" ref="G1301">IFERROR(INDEX(EmployeeData[Join Date], ROW() - 37), "")</f>
        <v/>
      </c>
      <c r="H1301" s="6"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6" t="str" cm="1">
        <f t="array" ref="G1302">IFERROR(INDEX(EmployeeData[Join Date], ROW() - 37), "")</f>
        <v/>
      </c>
      <c r="H1302" s="6"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6" t="str" cm="1">
        <f t="array" ref="G1303">IFERROR(INDEX(EmployeeData[Join Date], ROW() - 37), "")</f>
        <v/>
      </c>
      <c r="H1303" s="6"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6" t="str" cm="1">
        <f t="array" ref="G1304">IFERROR(INDEX(EmployeeData[Join Date], ROW() - 37), "")</f>
        <v/>
      </c>
      <c r="H1304" s="6"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6" t="str" cm="1">
        <f t="array" ref="G1305">IFERROR(INDEX(EmployeeData[Join Date], ROW() - 37), "")</f>
        <v/>
      </c>
      <c r="H1305" s="6"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6" t="str" cm="1">
        <f t="array" ref="G1306">IFERROR(INDEX(EmployeeData[Join Date], ROW() - 37), "")</f>
        <v/>
      </c>
      <c r="H1306" s="6"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6" t="str" cm="1">
        <f t="array" ref="G1307">IFERROR(INDEX(EmployeeData[Join Date], ROW() - 37), "")</f>
        <v/>
      </c>
      <c r="H1307" s="6"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6" t="str" cm="1">
        <f t="array" ref="G1308">IFERROR(INDEX(EmployeeData[Join Date], ROW() - 37), "")</f>
        <v/>
      </c>
      <c r="H1308" s="6"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6" t="str" cm="1">
        <f t="array" ref="G1309">IFERROR(INDEX(EmployeeData[Join Date], ROW() - 37), "")</f>
        <v/>
      </c>
      <c r="H1309" s="6"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6" t="str" cm="1">
        <f t="array" ref="G1310">IFERROR(INDEX(EmployeeData[Join Date], ROW() - 37), "")</f>
        <v/>
      </c>
      <c r="H1310" s="6"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6" t="str" cm="1">
        <f t="array" ref="G1311">IFERROR(INDEX(EmployeeData[Join Date], ROW() - 37), "")</f>
        <v/>
      </c>
      <c r="H1311" s="6"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6" t="str" cm="1">
        <f t="array" ref="G1312">IFERROR(INDEX(EmployeeData[Join Date], ROW() - 37), "")</f>
        <v/>
      </c>
      <c r="H1312" s="6"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6" t="str" cm="1">
        <f t="array" ref="G1313">IFERROR(INDEX(EmployeeData[Join Date], ROW() - 37), "")</f>
        <v/>
      </c>
      <c r="H1313" s="6"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6" t="str" cm="1">
        <f t="array" ref="G1314">IFERROR(INDEX(EmployeeData[Join Date], ROW() - 37), "")</f>
        <v/>
      </c>
      <c r="H1314" s="6"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6" t="str" cm="1">
        <f t="array" ref="G1315">IFERROR(INDEX(EmployeeData[Join Date], ROW() - 37), "")</f>
        <v/>
      </c>
      <c r="H1315" s="6"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6" t="str" cm="1">
        <f t="array" ref="G1316">IFERROR(INDEX(EmployeeData[Join Date], ROW() - 37), "")</f>
        <v/>
      </c>
      <c r="H1316" s="6"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6" t="str" cm="1">
        <f t="array" ref="G1317">IFERROR(INDEX(EmployeeData[Join Date], ROW() - 37), "")</f>
        <v/>
      </c>
      <c r="H1317" s="6"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6" t="str" cm="1">
        <f t="array" ref="G1318">IFERROR(INDEX(EmployeeData[Join Date], ROW() - 37), "")</f>
        <v/>
      </c>
      <c r="H1318" s="6"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6" t="str" cm="1">
        <f t="array" ref="G1319">IFERROR(INDEX(EmployeeData[Join Date], ROW() - 37), "")</f>
        <v/>
      </c>
      <c r="H1319" s="6"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6" t="str" cm="1">
        <f t="array" ref="G1320">IFERROR(INDEX(EmployeeData[Join Date], ROW() - 37), "")</f>
        <v/>
      </c>
      <c r="H1320" s="6"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6" t="str" cm="1">
        <f t="array" ref="G1321">IFERROR(INDEX(EmployeeData[Join Date], ROW() - 37), "")</f>
        <v/>
      </c>
      <c r="H1321" s="6"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6" t="str" cm="1">
        <f t="array" ref="G1322">IFERROR(INDEX(EmployeeData[Join Date], ROW() - 37), "")</f>
        <v/>
      </c>
      <c r="H1322" s="6"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6" t="str" cm="1">
        <f t="array" ref="G1323">IFERROR(INDEX(EmployeeData[Join Date], ROW() - 37), "")</f>
        <v/>
      </c>
      <c r="H1323" s="6"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6" t="str" cm="1">
        <f t="array" ref="G1324">IFERROR(INDEX(EmployeeData[Join Date], ROW() - 37), "")</f>
        <v/>
      </c>
      <c r="H1324" s="6"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6" t="str" cm="1">
        <f t="array" ref="G1325">IFERROR(INDEX(EmployeeData[Join Date], ROW() - 37), "")</f>
        <v/>
      </c>
      <c r="H1325" s="6"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6" t="str" cm="1">
        <f t="array" ref="G1326">IFERROR(INDEX(EmployeeData[Join Date], ROW() - 37), "")</f>
        <v/>
      </c>
      <c r="H1326" s="6"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6" t="str" cm="1">
        <f t="array" ref="G1327">IFERROR(INDEX(EmployeeData[Join Date], ROW() - 37), "")</f>
        <v/>
      </c>
      <c r="H1327" s="6"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6" t="str" cm="1">
        <f t="array" ref="G1328">IFERROR(INDEX(EmployeeData[Join Date], ROW() - 37), "")</f>
        <v/>
      </c>
      <c r="H1328" s="6"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6" t="str" cm="1">
        <f t="array" ref="G1329">IFERROR(INDEX(EmployeeData[Join Date], ROW() - 37), "")</f>
        <v/>
      </c>
      <c r="H1329" s="6"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6" t="str" cm="1">
        <f t="array" ref="G1330">IFERROR(INDEX(EmployeeData[Join Date], ROW() - 37), "")</f>
        <v/>
      </c>
      <c r="H1330" s="6"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6" t="str" cm="1">
        <f t="array" ref="G1331">IFERROR(INDEX(EmployeeData[Join Date], ROW() - 37), "")</f>
        <v/>
      </c>
      <c r="H1331" s="6"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6" t="str" cm="1">
        <f t="array" ref="G1332">IFERROR(INDEX(EmployeeData[Join Date], ROW() - 37), "")</f>
        <v/>
      </c>
      <c r="H1332" s="6"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6" t="str" cm="1">
        <f t="array" ref="G1333">IFERROR(INDEX(EmployeeData[Join Date], ROW() - 37), "")</f>
        <v/>
      </c>
      <c r="H1333" s="6"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6" t="str" cm="1">
        <f t="array" ref="G1334">IFERROR(INDEX(EmployeeData[Join Date], ROW() - 37), "")</f>
        <v/>
      </c>
      <c r="H1334" s="6"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6" t="str" cm="1">
        <f t="array" ref="G1335">IFERROR(INDEX(EmployeeData[Join Date], ROW() - 37), "")</f>
        <v/>
      </c>
      <c r="H1335" s="6"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6" t="str" cm="1">
        <f t="array" ref="G1336">IFERROR(INDEX(EmployeeData[Join Date], ROW() - 37), "")</f>
        <v/>
      </c>
      <c r="H1336" s="6"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6" t="str" cm="1">
        <f t="array" ref="G1337">IFERROR(INDEX(EmployeeData[Join Date], ROW() - 37), "")</f>
        <v/>
      </c>
      <c r="H1337" s="6"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6" t="str" cm="1">
        <f t="array" ref="G1338">IFERROR(INDEX(EmployeeData[Join Date], ROW() - 37), "")</f>
        <v/>
      </c>
      <c r="H1338" s="6"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6" t="str" cm="1">
        <f t="array" ref="G1339">IFERROR(INDEX(EmployeeData[Join Date], ROW() - 37), "")</f>
        <v/>
      </c>
      <c r="H1339" s="6"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6" t="str" cm="1">
        <f t="array" ref="G1340">IFERROR(INDEX(EmployeeData[Join Date], ROW() - 37), "")</f>
        <v/>
      </c>
      <c r="H1340" s="6"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6" t="str" cm="1">
        <f t="array" ref="G1341">IFERROR(INDEX(EmployeeData[Join Date], ROW() - 37), "")</f>
        <v/>
      </c>
      <c r="H1341" s="6"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6" t="str" cm="1">
        <f t="array" ref="G1342">IFERROR(INDEX(EmployeeData[Join Date], ROW() - 37), "")</f>
        <v/>
      </c>
      <c r="H1342" s="6"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6" t="str" cm="1">
        <f t="array" ref="G1343">IFERROR(INDEX(EmployeeData[Join Date], ROW() - 37), "")</f>
        <v/>
      </c>
      <c r="H1343" s="6"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6" t="str" cm="1">
        <f t="array" ref="G1344">IFERROR(INDEX(EmployeeData[Join Date], ROW() - 37), "")</f>
        <v/>
      </c>
      <c r="H1344" s="6"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6" t="str" cm="1">
        <f t="array" ref="G1345">IFERROR(INDEX(EmployeeData[Join Date], ROW() - 37), "")</f>
        <v/>
      </c>
      <c r="H1345" s="6"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6" t="str" cm="1">
        <f t="array" ref="G1346">IFERROR(INDEX(EmployeeData[Join Date], ROW() - 37), "")</f>
        <v/>
      </c>
      <c r="H1346" s="6"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6" t="str" cm="1">
        <f t="array" ref="G1347">IFERROR(INDEX(EmployeeData[Join Date], ROW() - 37), "")</f>
        <v/>
      </c>
      <c r="H1347" s="6"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6" t="str" cm="1">
        <f t="array" ref="G1348">IFERROR(INDEX(EmployeeData[Join Date], ROW() - 37), "")</f>
        <v/>
      </c>
      <c r="H1348" s="6"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6" t="str" cm="1">
        <f t="array" ref="G1349">IFERROR(INDEX(EmployeeData[Join Date], ROW() - 37), "")</f>
        <v/>
      </c>
      <c r="H1349" s="6"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6" t="str" cm="1">
        <f t="array" ref="G1350">IFERROR(INDEX(EmployeeData[Join Date], ROW() - 37), "")</f>
        <v/>
      </c>
      <c r="H1350" s="6"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6" t="str" cm="1">
        <f t="array" ref="G1351">IFERROR(INDEX(EmployeeData[Join Date], ROW() - 37), "")</f>
        <v/>
      </c>
      <c r="H1351" s="6"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6" t="str" cm="1">
        <f t="array" ref="G1352">IFERROR(INDEX(EmployeeData[Join Date], ROW() - 37), "")</f>
        <v/>
      </c>
      <c r="H1352" s="6"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6" t="str" cm="1">
        <f t="array" ref="G1353">IFERROR(INDEX(EmployeeData[Join Date], ROW() - 37), "")</f>
        <v/>
      </c>
      <c r="H1353" s="6"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6" t="str" cm="1">
        <f t="array" ref="G1354">IFERROR(INDEX(EmployeeData[Join Date], ROW() - 37), "")</f>
        <v/>
      </c>
      <c r="H1354" s="6"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6" t="str" cm="1">
        <f t="array" ref="G1355">IFERROR(INDEX(EmployeeData[Join Date], ROW() - 37), "")</f>
        <v/>
      </c>
      <c r="H1355" s="6"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6" t="str" cm="1">
        <f t="array" ref="G1356">IFERROR(INDEX(EmployeeData[Join Date], ROW() - 37), "")</f>
        <v/>
      </c>
      <c r="H1356" s="6"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6" t="str" cm="1">
        <f t="array" ref="G1357">IFERROR(INDEX(EmployeeData[Join Date], ROW() - 37), "")</f>
        <v/>
      </c>
      <c r="H1357" s="6"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6" t="str" cm="1">
        <f t="array" ref="G1358">IFERROR(INDEX(EmployeeData[Join Date], ROW() - 37), "")</f>
        <v/>
      </c>
      <c r="H1358" s="6"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6" t="str" cm="1">
        <f t="array" ref="G1359">IFERROR(INDEX(EmployeeData[Join Date], ROW() - 37), "")</f>
        <v/>
      </c>
      <c r="H1359" s="6"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6" t="str" cm="1">
        <f t="array" ref="G1360">IFERROR(INDEX(EmployeeData[Join Date], ROW() - 37), "")</f>
        <v/>
      </c>
      <c r="H1360" s="6"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6" t="str" cm="1">
        <f t="array" ref="G1361">IFERROR(INDEX(EmployeeData[Join Date], ROW() - 37), "")</f>
        <v/>
      </c>
      <c r="H1361" s="6"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6" t="str" cm="1">
        <f t="array" ref="G1362">IFERROR(INDEX(EmployeeData[Join Date], ROW() - 37), "")</f>
        <v/>
      </c>
      <c r="H1362" s="6"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6" t="str" cm="1">
        <f t="array" ref="G1363">IFERROR(INDEX(EmployeeData[Join Date], ROW() - 37), "")</f>
        <v/>
      </c>
      <c r="H1363" s="6"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6" t="str" cm="1">
        <f t="array" ref="G1364">IFERROR(INDEX(EmployeeData[Join Date], ROW() - 37), "")</f>
        <v/>
      </c>
      <c r="H1364" s="6"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6" t="str" cm="1">
        <f t="array" ref="G1365">IFERROR(INDEX(EmployeeData[Join Date], ROW() - 37), "")</f>
        <v/>
      </c>
      <c r="H1365" s="6"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6" t="str" cm="1">
        <f t="array" ref="G1366">IFERROR(INDEX(EmployeeData[Join Date], ROW() - 37), "")</f>
        <v/>
      </c>
      <c r="H1366" s="6"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6" t="str" cm="1">
        <f t="array" ref="G1367">IFERROR(INDEX(EmployeeData[Join Date], ROW() - 37), "")</f>
        <v/>
      </c>
      <c r="H1367" s="6"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6" t="str" cm="1">
        <f t="array" ref="G1368">IFERROR(INDEX(EmployeeData[Join Date], ROW() - 37), "")</f>
        <v/>
      </c>
      <c r="H1368" s="6"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6" t="str" cm="1">
        <f t="array" ref="G1369">IFERROR(INDEX(EmployeeData[Join Date], ROW() - 37), "")</f>
        <v/>
      </c>
      <c r="H1369" s="6"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6" t="str" cm="1">
        <f t="array" ref="G1370">IFERROR(INDEX(EmployeeData[Join Date], ROW() - 37), "")</f>
        <v/>
      </c>
      <c r="H1370" s="6"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6" t="str" cm="1">
        <f t="array" ref="G1371">IFERROR(INDEX(EmployeeData[Join Date], ROW() - 37), "")</f>
        <v/>
      </c>
      <c r="H1371" s="6"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6" t="str" cm="1">
        <f t="array" ref="G1372">IFERROR(INDEX(EmployeeData[Join Date], ROW() - 37), "")</f>
        <v/>
      </c>
      <c r="H1372" s="6"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6" t="str" cm="1">
        <f t="array" ref="G1373">IFERROR(INDEX(EmployeeData[Join Date], ROW() - 37), "")</f>
        <v/>
      </c>
      <c r="H1373" s="6"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6" t="str" cm="1">
        <f t="array" ref="G1374">IFERROR(INDEX(EmployeeData[Join Date], ROW() - 37), "")</f>
        <v/>
      </c>
      <c r="H1374" s="6"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6" t="str" cm="1">
        <f t="array" ref="G1375">IFERROR(INDEX(EmployeeData[Join Date], ROW() - 37), "")</f>
        <v/>
      </c>
      <c r="H1375" s="6"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6" t="str" cm="1">
        <f t="array" ref="G1376">IFERROR(INDEX(EmployeeData[Join Date], ROW() - 37), "")</f>
        <v/>
      </c>
      <c r="H1376" s="6"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6" t="str" cm="1">
        <f t="array" ref="G1377">IFERROR(INDEX(EmployeeData[Join Date], ROW() - 37), "")</f>
        <v/>
      </c>
      <c r="H1377" s="6"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6" t="str" cm="1">
        <f t="array" ref="G1378">IFERROR(INDEX(EmployeeData[Join Date], ROW() - 37), "")</f>
        <v/>
      </c>
      <c r="H1378" s="6"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6" t="str" cm="1">
        <f t="array" ref="G1379">IFERROR(INDEX(EmployeeData[Join Date], ROW() - 37), "")</f>
        <v/>
      </c>
      <c r="H1379" s="6"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6" t="str" cm="1">
        <f t="array" ref="G1380">IFERROR(INDEX(EmployeeData[Join Date], ROW() - 37), "")</f>
        <v/>
      </c>
      <c r="H1380" s="6"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6" t="str" cm="1">
        <f t="array" ref="G1381">IFERROR(INDEX(EmployeeData[Join Date], ROW() - 37), "")</f>
        <v/>
      </c>
      <c r="H1381" s="6"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6" t="str" cm="1">
        <f t="array" ref="G1382">IFERROR(INDEX(EmployeeData[Join Date], ROW() - 37), "")</f>
        <v/>
      </c>
      <c r="H1382" s="6"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6" t="str" cm="1">
        <f t="array" ref="G1383">IFERROR(INDEX(EmployeeData[Join Date], ROW() - 37), "")</f>
        <v/>
      </c>
      <c r="H1383" s="6"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6" t="str" cm="1">
        <f t="array" ref="G1384">IFERROR(INDEX(EmployeeData[Join Date], ROW() - 37), "")</f>
        <v/>
      </c>
      <c r="H1384" s="6"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6" t="str" cm="1">
        <f t="array" ref="G1385">IFERROR(INDEX(EmployeeData[Join Date], ROW() - 37), "")</f>
        <v/>
      </c>
      <c r="H1385" s="6"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6" t="str" cm="1">
        <f t="array" ref="G1386">IFERROR(INDEX(EmployeeData[Join Date], ROW() - 37), "")</f>
        <v/>
      </c>
      <c r="H1386" s="6"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6" t="str" cm="1">
        <f t="array" ref="G1387">IFERROR(INDEX(EmployeeData[Join Date], ROW() - 37), "")</f>
        <v/>
      </c>
      <c r="H1387" s="6"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6" t="str" cm="1">
        <f t="array" ref="G1388">IFERROR(INDEX(EmployeeData[Join Date], ROW() - 37), "")</f>
        <v/>
      </c>
      <c r="H1388" s="6"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6" t="str" cm="1">
        <f t="array" ref="G1389">IFERROR(INDEX(EmployeeData[Join Date], ROW() - 37), "")</f>
        <v/>
      </c>
      <c r="H1389" s="6"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6" t="str" cm="1">
        <f t="array" ref="G1390">IFERROR(INDEX(EmployeeData[Join Date], ROW() - 37), "")</f>
        <v/>
      </c>
      <c r="H1390" s="6"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6" t="str" cm="1">
        <f t="array" ref="G1391">IFERROR(INDEX(EmployeeData[Join Date], ROW() - 37), "")</f>
        <v/>
      </c>
      <c r="H1391" s="6"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6" t="str" cm="1">
        <f t="array" ref="G1392">IFERROR(INDEX(EmployeeData[Join Date], ROW() - 37), "")</f>
        <v/>
      </c>
      <c r="H1392" s="6"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6" t="str" cm="1">
        <f t="array" ref="G1393">IFERROR(INDEX(EmployeeData[Join Date], ROW() - 37), "")</f>
        <v/>
      </c>
      <c r="H1393" s="6"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6" t="str" cm="1">
        <f t="array" ref="G1394">IFERROR(INDEX(EmployeeData[Join Date], ROW() - 37), "")</f>
        <v/>
      </c>
      <c r="H1394" s="6"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6" t="str" cm="1">
        <f t="array" ref="G1395">IFERROR(INDEX(EmployeeData[Join Date], ROW() - 37), "")</f>
        <v/>
      </c>
      <c r="H1395" s="6"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6" t="str" cm="1">
        <f t="array" ref="G1396">IFERROR(INDEX(EmployeeData[Join Date], ROW() - 37), "")</f>
        <v/>
      </c>
      <c r="H1396" s="6"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6" t="str" cm="1">
        <f t="array" ref="G1397">IFERROR(INDEX(EmployeeData[Join Date], ROW() - 37), "")</f>
        <v/>
      </c>
      <c r="H1397" s="6"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6" t="str" cm="1">
        <f t="array" ref="G1398">IFERROR(INDEX(EmployeeData[Join Date], ROW() - 37), "")</f>
        <v/>
      </c>
      <c r="H1398" s="6"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6" t="str" cm="1">
        <f t="array" ref="G1399">IFERROR(INDEX(EmployeeData[Join Date], ROW() - 37), "")</f>
        <v/>
      </c>
      <c r="H1399" s="6"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6" t="str" cm="1">
        <f t="array" ref="G1400">IFERROR(INDEX(EmployeeData[Join Date], ROW() - 37), "")</f>
        <v/>
      </c>
      <c r="H1400" s="6"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6" t="str" cm="1">
        <f t="array" ref="G1401">IFERROR(INDEX(EmployeeData[Join Date], ROW() - 37), "")</f>
        <v/>
      </c>
      <c r="H1401" s="6"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6" t="str" cm="1">
        <f t="array" ref="G1402">IFERROR(INDEX(EmployeeData[Join Date], ROW() - 37), "")</f>
        <v/>
      </c>
      <c r="H1402" s="6"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6" t="str" cm="1">
        <f t="array" ref="G1403">IFERROR(INDEX(EmployeeData[Join Date], ROW() - 37), "")</f>
        <v/>
      </c>
      <c r="H1403" s="6"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6" t="str" cm="1">
        <f t="array" ref="G1404">IFERROR(INDEX(EmployeeData[Join Date], ROW() - 37), "")</f>
        <v/>
      </c>
      <c r="H1404" s="6"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6" t="str" cm="1">
        <f t="array" ref="G1405">IFERROR(INDEX(EmployeeData[Join Date], ROW() - 37), "")</f>
        <v/>
      </c>
      <c r="H1405" s="6"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6" t="str" cm="1">
        <f t="array" ref="G1406">IFERROR(INDEX(EmployeeData[Join Date], ROW() - 37), "")</f>
        <v/>
      </c>
      <c r="H1406" s="6"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6" t="str" cm="1">
        <f t="array" ref="G1407">IFERROR(INDEX(EmployeeData[Join Date], ROW() - 37), "")</f>
        <v/>
      </c>
      <c r="H1407" s="6"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6" t="str" cm="1">
        <f t="array" ref="G1408">IFERROR(INDEX(EmployeeData[Join Date], ROW() - 37), "")</f>
        <v/>
      </c>
      <c r="H1408" s="6"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6" t="str" cm="1">
        <f t="array" ref="G1409">IFERROR(INDEX(EmployeeData[Join Date], ROW() - 37), "")</f>
        <v/>
      </c>
      <c r="H1409" s="6"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6" t="str" cm="1">
        <f t="array" ref="G1410">IFERROR(INDEX(EmployeeData[Join Date], ROW() - 37), "")</f>
        <v/>
      </c>
      <c r="H1410" s="6"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6" t="str" cm="1">
        <f t="array" ref="G1411">IFERROR(INDEX(EmployeeData[Join Date], ROW() - 37), "")</f>
        <v/>
      </c>
      <c r="H1411" s="6"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6" t="str" cm="1">
        <f t="array" ref="G1412">IFERROR(INDEX(EmployeeData[Join Date], ROW() - 37), "")</f>
        <v/>
      </c>
      <c r="H1412" s="6"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6" t="str" cm="1">
        <f t="array" ref="G1413">IFERROR(INDEX(EmployeeData[Join Date], ROW() - 37), "")</f>
        <v/>
      </c>
      <c r="H1413" s="6"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6" t="str" cm="1">
        <f t="array" ref="G1414">IFERROR(INDEX(EmployeeData[Join Date], ROW() - 37), "")</f>
        <v/>
      </c>
      <c r="H1414" s="6"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6" t="str" cm="1">
        <f t="array" ref="G1415">IFERROR(INDEX(EmployeeData[Join Date], ROW() - 37), "")</f>
        <v/>
      </c>
      <c r="H1415" s="6"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6" t="str" cm="1">
        <f t="array" ref="G1416">IFERROR(INDEX(EmployeeData[Join Date], ROW() - 37), "")</f>
        <v/>
      </c>
      <c r="H1416" s="6"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6" t="str" cm="1">
        <f t="array" ref="G1417">IFERROR(INDEX(EmployeeData[Join Date], ROW() - 37), "")</f>
        <v/>
      </c>
      <c r="H1417" s="6"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6" t="str" cm="1">
        <f t="array" ref="G1418">IFERROR(INDEX(EmployeeData[Join Date], ROW() - 37), "")</f>
        <v/>
      </c>
      <c r="H1418" s="6"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6" t="str" cm="1">
        <f t="array" ref="G1419">IFERROR(INDEX(EmployeeData[Join Date], ROW() - 37), "")</f>
        <v/>
      </c>
      <c r="H1419" s="6"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6" t="str" cm="1">
        <f t="array" ref="G1420">IFERROR(INDEX(EmployeeData[Join Date], ROW() - 37), "")</f>
        <v/>
      </c>
      <c r="H1420" s="6"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6" t="str" cm="1">
        <f t="array" ref="G1421">IFERROR(INDEX(EmployeeData[Join Date], ROW() - 37), "")</f>
        <v/>
      </c>
      <c r="H1421" s="6"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6" t="str" cm="1">
        <f t="array" ref="G1422">IFERROR(INDEX(EmployeeData[Join Date], ROW() - 37), "")</f>
        <v/>
      </c>
      <c r="H1422" s="6"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6" t="str" cm="1">
        <f t="array" ref="G1423">IFERROR(INDEX(EmployeeData[Join Date], ROW() - 37), "")</f>
        <v/>
      </c>
      <c r="H1423" s="6"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6" t="str" cm="1">
        <f t="array" ref="G1424">IFERROR(INDEX(EmployeeData[Join Date], ROW() - 37), "")</f>
        <v/>
      </c>
      <c r="H1424" s="6"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6" t="str" cm="1">
        <f t="array" ref="G1425">IFERROR(INDEX(EmployeeData[Join Date], ROW() - 37), "")</f>
        <v/>
      </c>
      <c r="H1425" s="6"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6" t="str" cm="1">
        <f t="array" ref="G1426">IFERROR(INDEX(EmployeeData[Join Date], ROW() - 37), "")</f>
        <v/>
      </c>
      <c r="H1426" s="6"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6" t="str" cm="1">
        <f t="array" ref="G1427">IFERROR(INDEX(EmployeeData[Join Date], ROW() - 37), "")</f>
        <v/>
      </c>
      <c r="H1427" s="6"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6" t="str" cm="1">
        <f t="array" ref="G1428">IFERROR(INDEX(EmployeeData[Join Date], ROW() - 37), "")</f>
        <v/>
      </c>
      <c r="H1428" s="6"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6" t="str" cm="1">
        <f t="array" ref="G1429">IFERROR(INDEX(EmployeeData[Join Date], ROW() - 37), "")</f>
        <v/>
      </c>
      <c r="H1429" s="6"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6" t="str" cm="1">
        <f t="array" ref="G1430">IFERROR(INDEX(EmployeeData[Join Date], ROW() - 37), "")</f>
        <v/>
      </c>
      <c r="H1430" s="6"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6" t="str" cm="1">
        <f t="array" ref="G1431">IFERROR(INDEX(EmployeeData[Join Date], ROW() - 37), "")</f>
        <v/>
      </c>
      <c r="H1431" s="6"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6" t="str" cm="1">
        <f t="array" ref="G1432">IFERROR(INDEX(EmployeeData[Join Date], ROW() - 37), "")</f>
        <v/>
      </c>
      <c r="H1432" s="6"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6" t="str" cm="1">
        <f t="array" ref="G1433">IFERROR(INDEX(EmployeeData[Join Date], ROW() - 37), "")</f>
        <v/>
      </c>
      <c r="H1433" s="6"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6" t="str" cm="1">
        <f t="array" ref="G1434">IFERROR(INDEX(EmployeeData[Join Date], ROW() - 37), "")</f>
        <v/>
      </c>
      <c r="H1434" s="6"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6" t="str" cm="1">
        <f t="array" ref="G1435">IFERROR(INDEX(EmployeeData[Join Date], ROW() - 37), "")</f>
        <v/>
      </c>
      <c r="H1435" s="6"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6" t="str" cm="1">
        <f t="array" ref="G1436">IFERROR(INDEX(EmployeeData[Join Date], ROW() - 37), "")</f>
        <v/>
      </c>
      <c r="H1436" s="6"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6" t="str" cm="1">
        <f t="array" ref="G1437">IFERROR(INDEX(EmployeeData[Join Date], ROW() - 37), "")</f>
        <v/>
      </c>
      <c r="H1437" s="6"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6" t="str" cm="1">
        <f t="array" ref="G1438">IFERROR(INDEX(EmployeeData[Join Date], ROW() - 37), "")</f>
        <v/>
      </c>
      <c r="H1438" s="6"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6" t="str" cm="1">
        <f t="array" ref="G1439">IFERROR(INDEX(EmployeeData[Join Date], ROW() - 37), "")</f>
        <v/>
      </c>
      <c r="H1439" s="6"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6" t="str" cm="1">
        <f t="array" ref="G1440">IFERROR(INDEX(EmployeeData[Join Date], ROW() - 37), "")</f>
        <v/>
      </c>
      <c r="H1440" s="6"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6" t="str" cm="1">
        <f t="array" ref="G1441">IFERROR(INDEX(EmployeeData[Join Date], ROW() - 37), "")</f>
        <v/>
      </c>
      <c r="H1441" s="6"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6" t="str" cm="1">
        <f t="array" ref="G1442">IFERROR(INDEX(EmployeeData[Join Date], ROW() - 37), "")</f>
        <v/>
      </c>
      <c r="H1442" s="6"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6" t="str" cm="1">
        <f t="array" ref="G1443">IFERROR(INDEX(EmployeeData[Join Date], ROW() - 37), "")</f>
        <v/>
      </c>
      <c r="H1443" s="6"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6" t="str" cm="1">
        <f t="array" ref="G1444">IFERROR(INDEX(EmployeeData[Join Date], ROW() - 37), "")</f>
        <v/>
      </c>
      <c r="H1444" s="6"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6" t="str" cm="1">
        <f t="array" ref="G1445">IFERROR(INDEX(EmployeeData[Join Date], ROW() - 37), "")</f>
        <v/>
      </c>
      <c r="H1445" s="6"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6" t="str" cm="1">
        <f t="array" ref="G1446">IFERROR(INDEX(EmployeeData[Join Date], ROW() - 37), "")</f>
        <v/>
      </c>
      <c r="H1446" s="6"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6" t="str" cm="1">
        <f t="array" ref="G1447">IFERROR(INDEX(EmployeeData[Join Date], ROW() - 37), "")</f>
        <v/>
      </c>
      <c r="H1447" s="6"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6" t="str" cm="1">
        <f t="array" ref="G1448">IFERROR(INDEX(EmployeeData[Join Date], ROW() - 37), "")</f>
        <v/>
      </c>
      <c r="H1448" s="6"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6" t="str" cm="1">
        <f t="array" ref="G1449">IFERROR(INDEX(EmployeeData[Join Date], ROW() - 37), "")</f>
        <v/>
      </c>
      <c r="H1449" s="6"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6" t="str" cm="1">
        <f t="array" ref="G1450">IFERROR(INDEX(EmployeeData[Join Date], ROW() - 37), "")</f>
        <v/>
      </c>
      <c r="H1450" s="6"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6" t="str" cm="1">
        <f t="array" ref="G1451">IFERROR(INDEX(EmployeeData[Join Date], ROW() - 37), "")</f>
        <v/>
      </c>
      <c r="H1451" s="6"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6" t="str" cm="1">
        <f t="array" ref="G1452">IFERROR(INDEX(EmployeeData[Join Date], ROW() - 37), "")</f>
        <v/>
      </c>
      <c r="H1452" s="6"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6" t="str" cm="1">
        <f t="array" ref="G1453">IFERROR(INDEX(EmployeeData[Join Date], ROW() - 37), "")</f>
        <v/>
      </c>
      <c r="H1453" s="6"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6" t="str" cm="1">
        <f t="array" ref="G1454">IFERROR(INDEX(EmployeeData[Join Date], ROW() - 37), "")</f>
        <v/>
      </c>
      <c r="H1454" s="6"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6" t="str" cm="1">
        <f t="array" ref="G1455">IFERROR(INDEX(EmployeeData[Join Date], ROW() - 37), "")</f>
        <v/>
      </c>
      <c r="H1455" s="6"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6" t="str" cm="1">
        <f t="array" ref="G1456">IFERROR(INDEX(EmployeeData[Join Date], ROW() - 37), "")</f>
        <v/>
      </c>
      <c r="H1456" s="6"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6" t="str" cm="1">
        <f t="array" ref="G1457">IFERROR(INDEX(EmployeeData[Join Date], ROW() - 37), "")</f>
        <v/>
      </c>
      <c r="H1457" s="6"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6" t="str" cm="1">
        <f t="array" ref="G1458">IFERROR(INDEX(EmployeeData[Join Date], ROW() - 37), "")</f>
        <v/>
      </c>
      <c r="H1458" s="6"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6" t="str" cm="1">
        <f t="array" ref="G1459">IFERROR(INDEX(EmployeeData[Join Date], ROW() - 37), "")</f>
        <v/>
      </c>
      <c r="H1459" s="6"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6" t="str" cm="1">
        <f t="array" ref="G1460">IFERROR(INDEX(EmployeeData[Join Date], ROW() - 37), "")</f>
        <v/>
      </c>
      <c r="H1460" s="6"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6" t="str" cm="1">
        <f t="array" ref="G1461">IFERROR(INDEX(EmployeeData[Join Date], ROW() - 37), "")</f>
        <v/>
      </c>
      <c r="H1461" s="6"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6" t="str" cm="1">
        <f t="array" ref="G1462">IFERROR(INDEX(EmployeeData[Join Date], ROW() - 37), "")</f>
        <v/>
      </c>
      <c r="H1462" s="6"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6" t="str" cm="1">
        <f t="array" ref="G1463">IFERROR(INDEX(EmployeeData[Join Date], ROW() - 37), "")</f>
        <v/>
      </c>
      <c r="H1463" s="6"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6" t="str" cm="1">
        <f t="array" ref="G1464">IFERROR(INDEX(EmployeeData[Join Date], ROW() - 37), "")</f>
        <v/>
      </c>
      <c r="H1464" s="6"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6" t="str" cm="1">
        <f t="array" ref="G1465">IFERROR(INDEX(EmployeeData[Join Date], ROW() - 37), "")</f>
        <v/>
      </c>
      <c r="H1465" s="6"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6" t="str" cm="1">
        <f t="array" ref="G1466">IFERROR(INDEX(EmployeeData[Join Date], ROW() - 37), "")</f>
        <v/>
      </c>
      <c r="H1466" s="6"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6" t="str" cm="1">
        <f t="array" ref="G1467">IFERROR(INDEX(EmployeeData[Join Date], ROW() - 37), "")</f>
        <v/>
      </c>
      <c r="H1467" s="6"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6" t="str" cm="1">
        <f t="array" ref="G1468">IFERROR(INDEX(EmployeeData[Join Date], ROW() - 37), "")</f>
        <v/>
      </c>
      <c r="H1468" s="6"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6" t="str" cm="1">
        <f t="array" ref="G1469">IFERROR(INDEX(EmployeeData[Join Date], ROW() - 37), "")</f>
        <v/>
      </c>
      <c r="H1469" s="6"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6" t="str" cm="1">
        <f t="array" ref="G1470">IFERROR(INDEX(EmployeeData[Join Date], ROW() - 37), "")</f>
        <v/>
      </c>
      <c r="H1470" s="6"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6" t="str" cm="1">
        <f t="array" ref="G1471">IFERROR(INDEX(EmployeeData[Join Date], ROW() - 37), "")</f>
        <v/>
      </c>
      <c r="H1471" s="6"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6" t="str" cm="1">
        <f t="array" ref="G1472">IFERROR(INDEX(EmployeeData[Join Date], ROW() - 37), "")</f>
        <v/>
      </c>
      <c r="H1472" s="6"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6" t="str" cm="1">
        <f t="array" ref="G1473">IFERROR(INDEX(EmployeeData[Join Date], ROW() - 37), "")</f>
        <v/>
      </c>
      <c r="H1473" s="6"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6" t="str" cm="1">
        <f t="array" ref="G1474">IFERROR(INDEX(EmployeeData[Join Date], ROW() - 37), "")</f>
        <v/>
      </c>
      <c r="H1474" s="6"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6" t="str" cm="1">
        <f t="array" ref="G1475">IFERROR(INDEX(EmployeeData[Join Date], ROW() - 37), "")</f>
        <v/>
      </c>
      <c r="H1475" s="6"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6" t="str" cm="1">
        <f t="array" ref="G1476">IFERROR(INDEX(EmployeeData[Join Date], ROW() - 37), "")</f>
        <v/>
      </c>
      <c r="H1476" s="6"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6" t="str" cm="1">
        <f t="array" ref="G1477">IFERROR(INDEX(EmployeeData[Join Date], ROW() - 37), "")</f>
        <v/>
      </c>
      <c r="H1477" s="6"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6" t="str" cm="1">
        <f t="array" ref="G1478">IFERROR(INDEX(EmployeeData[Join Date], ROW() - 37), "")</f>
        <v/>
      </c>
      <c r="H1478" s="6"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6" t="str" cm="1">
        <f t="array" ref="G1479">IFERROR(INDEX(EmployeeData[Join Date], ROW() - 37), "")</f>
        <v/>
      </c>
      <c r="H1479" s="6"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6" t="str" cm="1">
        <f t="array" ref="G1480">IFERROR(INDEX(EmployeeData[Join Date], ROW() - 37), "")</f>
        <v/>
      </c>
      <c r="H1480" s="6"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6" t="str" cm="1">
        <f t="array" ref="G1481">IFERROR(INDEX(EmployeeData[Join Date], ROW() - 37), "")</f>
        <v/>
      </c>
      <c r="H1481" s="6"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6" t="str" cm="1">
        <f t="array" ref="G1482">IFERROR(INDEX(EmployeeData[Join Date], ROW() - 37), "")</f>
        <v/>
      </c>
      <c r="H1482" s="6"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6" t="str" cm="1">
        <f t="array" ref="G1483">IFERROR(INDEX(EmployeeData[Join Date], ROW() - 37), "")</f>
        <v/>
      </c>
      <c r="H1483" s="6"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6" t="str" cm="1">
        <f t="array" ref="G1484">IFERROR(INDEX(EmployeeData[Join Date], ROW() - 37), "")</f>
        <v/>
      </c>
      <c r="H1484" s="6"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6" t="str" cm="1">
        <f t="array" ref="G1485">IFERROR(INDEX(EmployeeData[Join Date], ROW() - 37), "")</f>
        <v/>
      </c>
      <c r="H1485" s="6"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6" t="str" cm="1">
        <f t="array" ref="G1486">IFERROR(INDEX(EmployeeData[Join Date], ROW() - 37), "")</f>
        <v/>
      </c>
      <c r="H1486" s="6"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6" t="str" cm="1">
        <f t="array" ref="G1487">IFERROR(INDEX(EmployeeData[Join Date], ROW() - 37), "")</f>
        <v/>
      </c>
      <c r="H1487" s="6"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6" t="str" cm="1">
        <f t="array" ref="G1488">IFERROR(INDEX(EmployeeData[Join Date], ROW() - 37), "")</f>
        <v/>
      </c>
      <c r="H1488" s="6"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6" t="str" cm="1">
        <f t="array" ref="G1489">IFERROR(INDEX(EmployeeData[Join Date], ROW() - 37), "")</f>
        <v/>
      </c>
      <c r="H1489" s="6"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6" t="str" cm="1">
        <f t="array" ref="G1490">IFERROR(INDEX(EmployeeData[Join Date], ROW() - 37), "")</f>
        <v/>
      </c>
      <c r="H1490" s="6"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6" t="str" cm="1">
        <f t="array" ref="G1491">IFERROR(INDEX(EmployeeData[Join Date], ROW() - 37), "")</f>
        <v/>
      </c>
      <c r="H1491" s="6"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6" t="str" cm="1">
        <f t="array" ref="G1492">IFERROR(INDEX(EmployeeData[Join Date], ROW() - 37), "")</f>
        <v/>
      </c>
      <c r="H1492" s="6"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6" t="str" cm="1">
        <f t="array" ref="G1493">IFERROR(INDEX(EmployeeData[Join Date], ROW() - 37), "")</f>
        <v/>
      </c>
      <c r="H1493" s="6"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6" t="str" cm="1">
        <f t="array" ref="G1494">IFERROR(INDEX(EmployeeData[Join Date], ROW() - 37), "")</f>
        <v/>
      </c>
      <c r="H1494" s="6"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6" t="str" cm="1">
        <f t="array" ref="G1495">IFERROR(INDEX(EmployeeData[Join Date], ROW() - 37), "")</f>
        <v/>
      </c>
      <c r="H1495" s="6"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6" t="str" cm="1">
        <f t="array" ref="G1496">IFERROR(INDEX(EmployeeData[Join Date], ROW() - 37), "")</f>
        <v/>
      </c>
      <c r="H1496" s="6"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6" t="str" cm="1">
        <f t="array" ref="G1497">IFERROR(INDEX(EmployeeData[Join Date], ROW() - 37), "")</f>
        <v/>
      </c>
      <c r="H1497" s="6"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6" t="str" cm="1">
        <f t="array" ref="G1498">IFERROR(INDEX(EmployeeData[Join Date], ROW() - 37), "")</f>
        <v/>
      </c>
      <c r="H1498" s="6"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6" t="str" cm="1">
        <f t="array" ref="G1499">IFERROR(INDEX(EmployeeData[Join Date], ROW() - 37), "")</f>
        <v/>
      </c>
      <c r="H1499" s="6"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6" t="str" cm="1">
        <f t="array" ref="G1500">IFERROR(INDEX(EmployeeData[Join Date], ROW() - 37), "")</f>
        <v/>
      </c>
      <c r="H1500" s="6"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6" t="str" cm="1">
        <f t="array" ref="G1501">IFERROR(INDEX(EmployeeData[Join Date], ROW() - 37), "")</f>
        <v/>
      </c>
      <c r="H1501" s="6"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6" t="str" cm="1">
        <f t="array" ref="G1502">IFERROR(INDEX(EmployeeData[Join Date], ROW() - 37), "")</f>
        <v/>
      </c>
      <c r="H1502" s="6"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6" t="str" cm="1">
        <f t="array" ref="G1503">IFERROR(INDEX(EmployeeData[Join Date], ROW() - 37), "")</f>
        <v/>
      </c>
      <c r="H1503" s="6"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6" t="str" cm="1">
        <f t="array" ref="G1504">IFERROR(INDEX(EmployeeData[Join Date], ROW() - 37), "")</f>
        <v/>
      </c>
      <c r="H1504" s="6"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6" t="str" cm="1">
        <f t="array" ref="G1505">IFERROR(INDEX(EmployeeData[Join Date], ROW() - 37), "")</f>
        <v/>
      </c>
      <c r="H1505" s="6"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6" t="str" cm="1">
        <f t="array" ref="G1506">IFERROR(INDEX(EmployeeData[Join Date], ROW() - 37), "")</f>
        <v/>
      </c>
      <c r="H1506" s="6"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6" t="str" cm="1">
        <f t="array" ref="G1507">IFERROR(INDEX(EmployeeData[Join Date], ROW() - 37), "")</f>
        <v/>
      </c>
      <c r="H1507" s="6"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6" t="str" cm="1">
        <f t="array" ref="G1508">IFERROR(INDEX(EmployeeData[Join Date], ROW() - 37), "")</f>
        <v/>
      </c>
      <c r="H1508" s="6"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6" t="str" cm="1">
        <f t="array" ref="G1509">IFERROR(INDEX(EmployeeData[Join Date], ROW() - 37), "")</f>
        <v/>
      </c>
      <c r="H1509" s="6"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6" t="str" cm="1">
        <f t="array" ref="G1510">IFERROR(INDEX(EmployeeData[Join Date], ROW() - 37), "")</f>
        <v/>
      </c>
      <c r="H1510" s="6"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6" t="str" cm="1">
        <f t="array" ref="G1511">IFERROR(INDEX(EmployeeData[Join Date], ROW() - 37), "")</f>
        <v/>
      </c>
      <c r="H1511" s="6"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6" t="str" cm="1">
        <f t="array" ref="G1512">IFERROR(INDEX(EmployeeData[Join Date], ROW() - 37), "")</f>
        <v/>
      </c>
      <c r="H1512" s="6"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6" t="str" cm="1">
        <f t="array" ref="G1513">IFERROR(INDEX(EmployeeData[Join Date], ROW() - 37), "")</f>
        <v/>
      </c>
      <c r="H1513" s="6"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6" t="str" cm="1">
        <f t="array" ref="G1514">IFERROR(INDEX(EmployeeData[Join Date], ROW() - 37), "")</f>
        <v/>
      </c>
      <c r="H1514" s="6"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6" t="str" cm="1">
        <f t="array" ref="G1515">IFERROR(INDEX(EmployeeData[Join Date], ROW() - 37), "")</f>
        <v/>
      </c>
      <c r="H1515" s="6"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6" t="str" cm="1">
        <f t="array" ref="G1516">IFERROR(INDEX(EmployeeData[Join Date], ROW() - 37), "")</f>
        <v/>
      </c>
      <c r="H1516" s="6"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6" t="str" cm="1">
        <f t="array" ref="G1517">IFERROR(INDEX(EmployeeData[Join Date], ROW() - 37), "")</f>
        <v/>
      </c>
      <c r="H1517" s="6"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6" t="str" cm="1">
        <f t="array" ref="G1518">IFERROR(INDEX(EmployeeData[Join Date], ROW() - 37), "")</f>
        <v/>
      </c>
      <c r="H1518" s="6"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6" t="str" cm="1">
        <f t="array" ref="G1519">IFERROR(INDEX(EmployeeData[Join Date], ROW() - 37), "")</f>
        <v/>
      </c>
      <c r="H1519" s="6"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6" t="str" cm="1">
        <f t="array" ref="G1520">IFERROR(INDEX(EmployeeData[Join Date], ROW() - 37), "")</f>
        <v/>
      </c>
      <c r="H1520" s="6"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6" t="str" cm="1">
        <f t="array" ref="G1521">IFERROR(INDEX(EmployeeData[Join Date], ROW() - 37), "")</f>
        <v/>
      </c>
      <c r="H1521" s="6"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6" t="str" cm="1">
        <f t="array" ref="G1522">IFERROR(INDEX(EmployeeData[Join Date], ROW() - 37), "")</f>
        <v/>
      </c>
      <c r="H1522" s="6"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6" t="str" cm="1">
        <f t="array" ref="G1523">IFERROR(INDEX(EmployeeData[Join Date], ROW() - 37), "")</f>
        <v/>
      </c>
      <c r="H1523" s="6"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6" t="str" cm="1">
        <f t="array" ref="G1524">IFERROR(INDEX(EmployeeData[Join Date], ROW() - 37), "")</f>
        <v/>
      </c>
      <c r="H1524" s="6"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6" t="str" cm="1">
        <f t="array" ref="G1525">IFERROR(INDEX(EmployeeData[Join Date], ROW() - 37), "")</f>
        <v/>
      </c>
      <c r="H1525" s="6"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6" t="str" cm="1">
        <f t="array" ref="G1526">IFERROR(INDEX(EmployeeData[Join Date], ROW() - 37), "")</f>
        <v/>
      </c>
      <c r="H1526" s="6"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6" t="str" cm="1">
        <f t="array" ref="G1527">IFERROR(INDEX(EmployeeData[Join Date], ROW() - 37), "")</f>
        <v/>
      </c>
      <c r="H1527" s="6"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6" t="str" cm="1">
        <f t="array" ref="G1528">IFERROR(INDEX(EmployeeData[Join Date], ROW() - 37), "")</f>
        <v/>
      </c>
      <c r="H1528" s="6"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6" t="str" cm="1">
        <f t="array" ref="G1529">IFERROR(INDEX(EmployeeData[Join Date], ROW() - 37), "")</f>
        <v/>
      </c>
      <c r="H1529" s="6"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6" t="str" cm="1">
        <f t="array" ref="G1530">IFERROR(INDEX(EmployeeData[Join Date], ROW() - 37), "")</f>
        <v/>
      </c>
      <c r="H1530" s="6"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6" t="str" cm="1">
        <f t="array" ref="G1531">IFERROR(INDEX(EmployeeData[Join Date], ROW() - 37), "")</f>
        <v/>
      </c>
      <c r="H1531" s="6"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6" t="str" cm="1">
        <f t="array" ref="G1532">IFERROR(INDEX(EmployeeData[Join Date], ROW() - 37), "")</f>
        <v/>
      </c>
      <c r="H1532" s="6"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6" t="str" cm="1">
        <f t="array" ref="G1533">IFERROR(INDEX(EmployeeData[Join Date], ROW() - 37), "")</f>
        <v/>
      </c>
      <c r="H1533" s="6"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6" t="str" cm="1">
        <f t="array" ref="G1534">IFERROR(INDEX(EmployeeData[Join Date], ROW() - 37), "")</f>
        <v/>
      </c>
      <c r="H1534" s="6"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6" t="str" cm="1">
        <f t="array" ref="G1535">IFERROR(INDEX(EmployeeData[Join Date], ROW() - 37), "")</f>
        <v/>
      </c>
      <c r="H1535" s="6"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6" t="str" cm="1">
        <f t="array" ref="G1536">IFERROR(INDEX(EmployeeData[Join Date], ROW() - 37), "")</f>
        <v/>
      </c>
      <c r="H1536" s="6"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6" t="str" cm="1">
        <f t="array" ref="G1537">IFERROR(INDEX(EmployeeData[Join Date], ROW() - 37), "")</f>
        <v/>
      </c>
      <c r="H1537" s="6"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6" t="str" cm="1">
        <f t="array" ref="G1538">IFERROR(INDEX(EmployeeData[Join Date], ROW() - 37), "")</f>
        <v/>
      </c>
      <c r="H1538" s="6"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6" t="str" cm="1">
        <f t="array" ref="G1539">IFERROR(INDEX(EmployeeData[Join Date], ROW() - 37), "")</f>
        <v/>
      </c>
      <c r="H1539" s="6"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6" t="str" cm="1">
        <f t="array" ref="G1540">IFERROR(INDEX(EmployeeData[Join Date], ROW() - 37), "")</f>
        <v/>
      </c>
      <c r="H1540" s="6"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6" t="str" cm="1">
        <f t="array" ref="G1541">IFERROR(INDEX(EmployeeData[Join Date], ROW() - 37), "")</f>
        <v/>
      </c>
      <c r="H1541" s="6"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6" t="str" cm="1">
        <f t="array" ref="G1542">IFERROR(INDEX(EmployeeData[Join Date], ROW() - 37), "")</f>
        <v/>
      </c>
      <c r="H1542" s="6"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6" t="str" cm="1">
        <f t="array" ref="G1543">IFERROR(INDEX(EmployeeData[Join Date], ROW() - 37), "")</f>
        <v/>
      </c>
      <c r="H1543" s="6"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6" t="str" cm="1">
        <f t="array" ref="G1544">IFERROR(INDEX(EmployeeData[Join Date], ROW() - 37), "")</f>
        <v/>
      </c>
      <c r="H1544" s="6"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6" t="str" cm="1">
        <f t="array" ref="G1545">IFERROR(INDEX(EmployeeData[Join Date], ROW() - 37), "")</f>
        <v/>
      </c>
      <c r="H1545" s="6"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6" t="str" cm="1">
        <f t="array" ref="G1546">IFERROR(INDEX(EmployeeData[Join Date], ROW() - 37), "")</f>
        <v/>
      </c>
      <c r="H1546" s="6"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6" t="str" cm="1">
        <f t="array" ref="G1547">IFERROR(INDEX(EmployeeData[Join Date], ROW() - 37), "")</f>
        <v/>
      </c>
      <c r="H1547" s="6"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6" t="str" cm="1">
        <f t="array" ref="G1548">IFERROR(INDEX(EmployeeData[Join Date], ROW() - 37), "")</f>
        <v/>
      </c>
      <c r="H1548" s="6"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6" t="str" cm="1">
        <f t="array" ref="G1549">IFERROR(INDEX(EmployeeData[Join Date], ROW() - 37), "")</f>
        <v/>
      </c>
      <c r="H1549" s="6"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6" t="str" cm="1">
        <f t="array" ref="G1550">IFERROR(INDEX(EmployeeData[Join Date], ROW() - 37), "")</f>
        <v/>
      </c>
      <c r="H1550" s="6"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6" t="str" cm="1">
        <f t="array" ref="G1551">IFERROR(INDEX(EmployeeData[Join Date], ROW() - 37), "")</f>
        <v/>
      </c>
      <c r="H1551" s="6"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6" t="str" cm="1">
        <f t="array" ref="G1552">IFERROR(INDEX(EmployeeData[Join Date], ROW() - 37), "")</f>
        <v/>
      </c>
      <c r="H1552" s="6"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6" t="str" cm="1">
        <f t="array" ref="G1553">IFERROR(INDEX(EmployeeData[Join Date], ROW() - 37), "")</f>
        <v/>
      </c>
      <c r="H1553" s="6"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6" t="str" cm="1">
        <f t="array" ref="G1554">IFERROR(INDEX(EmployeeData[Join Date], ROW() - 37), "")</f>
        <v/>
      </c>
      <c r="H1554" s="6"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6" t="str" cm="1">
        <f t="array" ref="G1555">IFERROR(INDEX(EmployeeData[Join Date], ROW() - 37), "")</f>
        <v/>
      </c>
      <c r="H1555" s="6"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6" t="str" cm="1">
        <f t="array" ref="G1556">IFERROR(INDEX(EmployeeData[Join Date], ROW() - 37), "")</f>
        <v/>
      </c>
      <c r="H1556" s="6"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6" t="str" cm="1">
        <f t="array" ref="G1557">IFERROR(INDEX(EmployeeData[Join Date], ROW() - 37), "")</f>
        <v/>
      </c>
      <c r="H1557" s="6"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6" t="str" cm="1">
        <f t="array" ref="G1558">IFERROR(INDEX(EmployeeData[Join Date], ROW() - 37), "")</f>
        <v/>
      </c>
      <c r="H1558" s="6"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6" t="str" cm="1">
        <f t="array" ref="G1559">IFERROR(INDEX(EmployeeData[Join Date], ROW() - 37), "")</f>
        <v/>
      </c>
      <c r="H1559" s="6"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6" t="str" cm="1">
        <f t="array" ref="G1560">IFERROR(INDEX(EmployeeData[Join Date], ROW() - 37), "")</f>
        <v/>
      </c>
      <c r="H1560" s="6"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6" t="str" cm="1">
        <f t="array" ref="G1561">IFERROR(INDEX(EmployeeData[Join Date], ROW() - 37), "")</f>
        <v/>
      </c>
      <c r="H1561" s="6"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6" t="str" cm="1">
        <f t="array" ref="G1562">IFERROR(INDEX(EmployeeData[Join Date], ROW() - 37), "")</f>
        <v/>
      </c>
      <c r="H1562" s="6"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6" t="str" cm="1">
        <f t="array" ref="G1563">IFERROR(INDEX(EmployeeData[Join Date], ROW() - 37), "")</f>
        <v/>
      </c>
      <c r="H1563" s="6"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6" t="str" cm="1">
        <f t="array" ref="G1564">IFERROR(INDEX(EmployeeData[Join Date], ROW() - 37), "")</f>
        <v/>
      </c>
      <c r="H1564" s="6"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6" t="str" cm="1">
        <f t="array" ref="G1565">IFERROR(INDEX(EmployeeData[Join Date], ROW() - 37), "")</f>
        <v/>
      </c>
      <c r="H1565" s="6"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6" t="str" cm="1">
        <f t="array" ref="G1566">IFERROR(INDEX(EmployeeData[Join Date], ROW() - 37), "")</f>
        <v/>
      </c>
      <c r="H1566" s="6"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6" t="str" cm="1">
        <f t="array" ref="G1567">IFERROR(INDEX(EmployeeData[Join Date], ROW() - 37), "")</f>
        <v/>
      </c>
      <c r="H1567" s="6"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6" t="str" cm="1">
        <f t="array" ref="G1568">IFERROR(INDEX(EmployeeData[Join Date], ROW() - 37), "")</f>
        <v/>
      </c>
      <c r="H1568" s="6"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6" t="str" cm="1">
        <f t="array" ref="G1569">IFERROR(INDEX(EmployeeData[Join Date], ROW() - 37), "")</f>
        <v/>
      </c>
      <c r="H1569" s="6"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6" t="str" cm="1">
        <f t="array" ref="G1570">IFERROR(INDEX(EmployeeData[Join Date], ROW() - 37), "")</f>
        <v/>
      </c>
      <c r="H1570" s="6"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6" t="str" cm="1">
        <f t="array" ref="G1571">IFERROR(INDEX(EmployeeData[Join Date], ROW() - 37), "")</f>
        <v/>
      </c>
      <c r="H1571" s="6"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6" t="str" cm="1">
        <f t="array" ref="G1572">IFERROR(INDEX(EmployeeData[Join Date], ROW() - 37), "")</f>
        <v/>
      </c>
      <c r="H1572" s="6"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6" t="str" cm="1">
        <f t="array" ref="G1573">IFERROR(INDEX(EmployeeData[Join Date], ROW() - 37), "")</f>
        <v/>
      </c>
      <c r="H1573" s="6"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6" t="str" cm="1">
        <f t="array" ref="G1574">IFERROR(INDEX(EmployeeData[Join Date], ROW() - 37), "")</f>
        <v/>
      </c>
      <c r="H1574" s="6"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6" t="str" cm="1">
        <f t="array" ref="G1575">IFERROR(INDEX(EmployeeData[Join Date], ROW() - 37), "")</f>
        <v/>
      </c>
      <c r="H1575" s="6"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6" t="str" cm="1">
        <f t="array" ref="G1576">IFERROR(INDEX(EmployeeData[Join Date], ROW() - 37), "")</f>
        <v/>
      </c>
      <c r="H1576" s="6"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6" t="str" cm="1">
        <f t="array" ref="G1577">IFERROR(INDEX(EmployeeData[Join Date], ROW() - 37), "")</f>
        <v/>
      </c>
      <c r="H1577" s="6"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6" t="str" cm="1">
        <f t="array" ref="G1578">IFERROR(INDEX(EmployeeData[Join Date], ROW() - 37), "")</f>
        <v/>
      </c>
      <c r="H1578" s="6"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6" t="str" cm="1">
        <f t="array" ref="G1579">IFERROR(INDEX(EmployeeData[Join Date], ROW() - 37), "")</f>
        <v/>
      </c>
      <c r="H1579" s="6"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6" t="str" cm="1">
        <f t="array" ref="G1580">IFERROR(INDEX(EmployeeData[Join Date], ROW() - 37), "")</f>
        <v/>
      </c>
      <c r="H1580" s="6"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6" t="str" cm="1">
        <f t="array" ref="G1581">IFERROR(INDEX(EmployeeData[Join Date], ROW() - 37), "")</f>
        <v/>
      </c>
      <c r="H1581" s="6"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6" t="str" cm="1">
        <f t="array" ref="G1582">IFERROR(INDEX(EmployeeData[Join Date], ROW() - 37), "")</f>
        <v/>
      </c>
      <c r="H1582" s="6"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6" t="str" cm="1">
        <f t="array" ref="G1583">IFERROR(INDEX(EmployeeData[Join Date], ROW() - 37), "")</f>
        <v/>
      </c>
      <c r="H1583" s="6"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6" t="str" cm="1">
        <f t="array" ref="G1584">IFERROR(INDEX(EmployeeData[Join Date], ROW() - 37), "")</f>
        <v/>
      </c>
      <c r="H1584" s="6"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6" t="str" cm="1">
        <f t="array" ref="G1585">IFERROR(INDEX(EmployeeData[Join Date], ROW() - 37), "")</f>
        <v/>
      </c>
      <c r="H1585" s="6"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6" t="str" cm="1">
        <f t="array" ref="G1586">IFERROR(INDEX(EmployeeData[Join Date], ROW() - 37), "")</f>
        <v/>
      </c>
      <c r="H1586" s="6"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6" t="str" cm="1">
        <f t="array" ref="G1587">IFERROR(INDEX(EmployeeData[Join Date], ROW() - 37), "")</f>
        <v/>
      </c>
      <c r="H1587" s="6"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6" t="str" cm="1">
        <f t="array" ref="G1588">IFERROR(INDEX(EmployeeData[Join Date], ROW() - 37), "")</f>
        <v/>
      </c>
      <c r="H1588" s="6"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6" t="str" cm="1">
        <f t="array" ref="G1589">IFERROR(INDEX(EmployeeData[Join Date], ROW() - 37), "")</f>
        <v/>
      </c>
      <c r="H1589" s="6"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6" t="str" cm="1">
        <f t="array" ref="G1590">IFERROR(INDEX(EmployeeData[Join Date], ROW() - 37), "")</f>
        <v/>
      </c>
      <c r="H1590" s="6"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6" t="str" cm="1">
        <f t="array" ref="G1591">IFERROR(INDEX(EmployeeData[Join Date], ROW() - 37), "")</f>
        <v/>
      </c>
      <c r="H1591" s="6"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6" t="str" cm="1">
        <f t="array" ref="G1592">IFERROR(INDEX(EmployeeData[Join Date], ROW() - 37), "")</f>
        <v/>
      </c>
      <c r="H1592" s="6"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6" t="str" cm="1">
        <f t="array" ref="G1593">IFERROR(INDEX(EmployeeData[Join Date], ROW() - 37), "")</f>
        <v/>
      </c>
      <c r="H1593" s="6"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6" t="str" cm="1">
        <f t="array" ref="G1594">IFERROR(INDEX(EmployeeData[Join Date], ROW() - 37), "")</f>
        <v/>
      </c>
      <c r="H1594" s="6"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6" t="str" cm="1">
        <f t="array" ref="G1595">IFERROR(INDEX(EmployeeData[Join Date], ROW() - 37), "")</f>
        <v/>
      </c>
      <c r="H1595" s="6"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6" t="str" cm="1">
        <f t="array" ref="G1596">IFERROR(INDEX(EmployeeData[Join Date], ROW() - 37), "")</f>
        <v/>
      </c>
      <c r="H1596" s="6"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6" t="str" cm="1">
        <f t="array" ref="G1597">IFERROR(INDEX(EmployeeData[Join Date], ROW() - 37), "")</f>
        <v/>
      </c>
      <c r="H1597" s="6"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6" t="str" cm="1">
        <f t="array" ref="G1598">IFERROR(INDEX(EmployeeData[Join Date], ROW() - 37), "")</f>
        <v/>
      </c>
      <c r="H1598" s="6"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6" t="str" cm="1">
        <f t="array" ref="G1599">IFERROR(INDEX(EmployeeData[Join Date], ROW() - 37), "")</f>
        <v/>
      </c>
      <c r="H1599" s="6"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6" t="str" cm="1">
        <f t="array" ref="G1600">IFERROR(INDEX(EmployeeData[Join Date], ROW() - 37), "")</f>
        <v/>
      </c>
      <c r="H1600" s="6"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6" t="str" cm="1">
        <f t="array" ref="G1601">IFERROR(INDEX(EmployeeData[Join Date], ROW() - 37), "")</f>
        <v/>
      </c>
      <c r="H1601" s="6"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6" t="str" cm="1">
        <f t="array" ref="G1602">IFERROR(INDEX(EmployeeData[Join Date], ROW() - 37), "")</f>
        <v/>
      </c>
      <c r="H1602" s="6"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6" t="str" cm="1">
        <f t="array" ref="G1603">IFERROR(INDEX(EmployeeData[Join Date], ROW() - 37), "")</f>
        <v/>
      </c>
      <c r="H1603" s="6"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6" t="str" cm="1">
        <f t="array" ref="G1604">IFERROR(INDEX(EmployeeData[Join Date], ROW() - 37), "")</f>
        <v/>
      </c>
      <c r="H1604" s="6"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6" t="str" cm="1">
        <f t="array" ref="G1605">IFERROR(INDEX(EmployeeData[Join Date], ROW() - 37), "")</f>
        <v/>
      </c>
      <c r="H1605" s="6"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6" t="str" cm="1">
        <f t="array" ref="G1606">IFERROR(INDEX(EmployeeData[Join Date], ROW() - 37), "")</f>
        <v/>
      </c>
      <c r="H1606" s="6"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6" t="str" cm="1">
        <f t="array" ref="G1607">IFERROR(INDEX(EmployeeData[Join Date], ROW() - 37), "")</f>
        <v/>
      </c>
      <c r="H1607" s="6"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6" t="str" cm="1">
        <f t="array" ref="G1608">IFERROR(INDEX(EmployeeData[Join Date], ROW() - 37), "")</f>
        <v/>
      </c>
      <c r="H1608" s="6"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6" t="str" cm="1">
        <f t="array" ref="G1609">IFERROR(INDEX(EmployeeData[Join Date], ROW() - 37), "")</f>
        <v/>
      </c>
      <c r="H1609" s="6"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6" t="str" cm="1">
        <f t="array" ref="G1610">IFERROR(INDEX(EmployeeData[Join Date], ROW() - 37), "")</f>
        <v/>
      </c>
      <c r="H1610" s="6"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6" t="str" cm="1">
        <f t="array" ref="G1611">IFERROR(INDEX(EmployeeData[Join Date], ROW() - 37), "")</f>
        <v/>
      </c>
      <c r="H1611" s="6"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6" t="str" cm="1">
        <f t="array" ref="G1612">IFERROR(INDEX(EmployeeData[Join Date], ROW() - 37), "")</f>
        <v/>
      </c>
      <c r="H1612" s="6"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6" t="str" cm="1">
        <f t="array" ref="G1613">IFERROR(INDEX(EmployeeData[Join Date], ROW() - 37), "")</f>
        <v/>
      </c>
      <c r="H1613" s="6"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6" t="str" cm="1">
        <f t="array" ref="G1614">IFERROR(INDEX(EmployeeData[Join Date], ROW() - 37), "")</f>
        <v/>
      </c>
      <c r="H1614" s="6"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6" t="str" cm="1">
        <f t="array" ref="G1615">IFERROR(INDEX(EmployeeData[Join Date], ROW() - 37), "")</f>
        <v/>
      </c>
      <c r="H1615" s="6"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6" t="str" cm="1">
        <f t="array" ref="G1616">IFERROR(INDEX(EmployeeData[Join Date], ROW() - 37), "")</f>
        <v/>
      </c>
      <c r="H1616" s="6"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6" t="str" cm="1">
        <f t="array" ref="G1617">IFERROR(INDEX(EmployeeData[Join Date], ROW() - 37), "")</f>
        <v/>
      </c>
      <c r="H1617" s="6"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6" t="str" cm="1">
        <f t="array" ref="G1618">IFERROR(INDEX(EmployeeData[Join Date], ROW() - 37), "")</f>
        <v/>
      </c>
      <c r="H1618" s="6"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6" t="str" cm="1">
        <f t="array" ref="G1619">IFERROR(INDEX(EmployeeData[Join Date], ROW() - 37), "")</f>
        <v/>
      </c>
      <c r="H1619" s="6"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6" t="str" cm="1">
        <f t="array" ref="G1620">IFERROR(INDEX(EmployeeData[Join Date], ROW() - 37), "")</f>
        <v/>
      </c>
      <c r="H1620" s="6"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6" t="str" cm="1">
        <f t="array" ref="G1621">IFERROR(INDEX(EmployeeData[Join Date], ROW() - 37), "")</f>
        <v/>
      </c>
      <c r="H1621" s="6"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6" t="str" cm="1">
        <f t="array" ref="G1622">IFERROR(INDEX(EmployeeData[Join Date], ROW() - 37), "")</f>
        <v/>
      </c>
      <c r="H1622" s="6"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6" t="str" cm="1">
        <f t="array" ref="G1623">IFERROR(INDEX(EmployeeData[Join Date], ROW() - 37), "")</f>
        <v/>
      </c>
      <c r="H1623" s="6"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6" t="str" cm="1">
        <f t="array" ref="G1624">IFERROR(INDEX(EmployeeData[Join Date], ROW() - 37), "")</f>
        <v/>
      </c>
      <c r="H1624" s="6"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6" t="str" cm="1">
        <f t="array" ref="G1625">IFERROR(INDEX(EmployeeData[Join Date], ROW() - 37), "")</f>
        <v/>
      </c>
      <c r="H1625" s="6"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6" t="str" cm="1">
        <f t="array" ref="G1626">IFERROR(INDEX(EmployeeData[Join Date], ROW() - 37), "")</f>
        <v/>
      </c>
      <c r="H1626" s="6"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6" t="str" cm="1">
        <f t="array" ref="G1627">IFERROR(INDEX(EmployeeData[Join Date], ROW() - 37), "")</f>
        <v/>
      </c>
      <c r="H1627" s="6"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6" t="str" cm="1">
        <f t="array" ref="G1628">IFERROR(INDEX(EmployeeData[Join Date], ROW() - 37), "")</f>
        <v/>
      </c>
      <c r="H1628" s="6"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6" t="str" cm="1">
        <f t="array" ref="G1629">IFERROR(INDEX(EmployeeData[Join Date], ROW() - 37), "")</f>
        <v/>
      </c>
      <c r="H1629" s="6"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6" t="str" cm="1">
        <f t="array" ref="G1630">IFERROR(INDEX(EmployeeData[Join Date], ROW() - 37), "")</f>
        <v/>
      </c>
      <c r="H1630" s="6"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6" t="str" cm="1">
        <f t="array" ref="G1631">IFERROR(INDEX(EmployeeData[Join Date], ROW() - 37), "")</f>
        <v/>
      </c>
      <c r="H1631" s="6"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6" t="str" cm="1">
        <f t="array" ref="G1632">IFERROR(INDEX(EmployeeData[Join Date], ROW() - 37), "")</f>
        <v/>
      </c>
      <c r="H1632" s="6"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6" t="str" cm="1">
        <f t="array" ref="G1633">IFERROR(INDEX(EmployeeData[Join Date], ROW() - 37), "")</f>
        <v/>
      </c>
      <c r="H1633" s="6"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6" t="str" cm="1">
        <f t="array" ref="G1634">IFERROR(INDEX(EmployeeData[Join Date], ROW() - 37), "")</f>
        <v/>
      </c>
      <c r="H1634" s="6"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6" t="str" cm="1">
        <f t="array" ref="G1635">IFERROR(INDEX(EmployeeData[Join Date], ROW() - 37), "")</f>
        <v/>
      </c>
      <c r="H1635" s="6"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6" t="str" cm="1">
        <f t="array" ref="G1636">IFERROR(INDEX(EmployeeData[Join Date], ROW() - 37), "")</f>
        <v/>
      </c>
      <c r="H1636" s="6"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6" t="str" cm="1">
        <f t="array" ref="G1637">IFERROR(INDEX(EmployeeData[Join Date], ROW() - 37), "")</f>
        <v/>
      </c>
      <c r="H1637" s="6"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6" t="str" cm="1">
        <f t="array" ref="G1638">IFERROR(INDEX(EmployeeData[Join Date], ROW() - 37), "")</f>
        <v/>
      </c>
      <c r="H1638" s="6"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6" t="str" cm="1">
        <f t="array" ref="G1639">IFERROR(INDEX(EmployeeData[Join Date], ROW() - 37), "")</f>
        <v/>
      </c>
      <c r="H1639" s="6"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6" t="str" cm="1">
        <f t="array" ref="G1640">IFERROR(INDEX(EmployeeData[Join Date], ROW() - 37), "")</f>
        <v/>
      </c>
      <c r="H1640" s="6"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6" t="str" cm="1">
        <f t="array" ref="G1641">IFERROR(INDEX(EmployeeData[Join Date], ROW() - 37), "")</f>
        <v/>
      </c>
      <c r="H1641" s="6"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6" t="str" cm="1">
        <f t="array" ref="G1642">IFERROR(INDEX(EmployeeData[Join Date], ROW() - 37), "")</f>
        <v/>
      </c>
      <c r="H1642" s="6"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6" t="str" cm="1">
        <f t="array" ref="G1643">IFERROR(INDEX(EmployeeData[Join Date], ROW() - 37), "")</f>
        <v/>
      </c>
      <c r="H1643" s="6"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6" t="str" cm="1">
        <f t="array" ref="G1644">IFERROR(INDEX(EmployeeData[Join Date], ROW() - 37), "")</f>
        <v/>
      </c>
      <c r="H1644" s="6"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6" t="str" cm="1">
        <f t="array" ref="G1645">IFERROR(INDEX(EmployeeData[Join Date], ROW() - 37), "")</f>
        <v/>
      </c>
      <c r="H1645" s="6"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6" t="str" cm="1">
        <f t="array" ref="G1646">IFERROR(INDEX(EmployeeData[Join Date], ROW() - 37), "")</f>
        <v/>
      </c>
      <c r="H1646" s="6"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6" t="str" cm="1">
        <f t="array" ref="G1647">IFERROR(INDEX(EmployeeData[Join Date], ROW() - 37), "")</f>
        <v/>
      </c>
      <c r="H1647" s="6"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6" t="str" cm="1">
        <f t="array" ref="G1648">IFERROR(INDEX(EmployeeData[Join Date], ROW() - 37), "")</f>
        <v/>
      </c>
      <c r="H1648" s="6"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6" t="str" cm="1">
        <f t="array" ref="G1649">IFERROR(INDEX(EmployeeData[Join Date], ROW() - 37), "")</f>
        <v/>
      </c>
      <c r="H1649" s="6"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6" t="str" cm="1">
        <f t="array" ref="G1650">IFERROR(INDEX(EmployeeData[Join Date], ROW() - 37), "")</f>
        <v/>
      </c>
      <c r="H1650" s="6"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6" t="str" cm="1">
        <f t="array" ref="G1651">IFERROR(INDEX(EmployeeData[Join Date], ROW() - 37), "")</f>
        <v/>
      </c>
      <c r="H1651" s="6"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6" t="str" cm="1">
        <f t="array" ref="G1652">IFERROR(INDEX(EmployeeData[Join Date], ROW() - 37), "")</f>
        <v/>
      </c>
      <c r="H1652" s="6"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6" t="str" cm="1">
        <f t="array" ref="G1653">IFERROR(INDEX(EmployeeData[Join Date], ROW() - 37), "")</f>
        <v/>
      </c>
      <c r="H1653" s="6"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6" t="str" cm="1">
        <f t="array" ref="G1654">IFERROR(INDEX(EmployeeData[Join Date], ROW() - 37), "")</f>
        <v/>
      </c>
      <c r="H1654" s="6"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6" t="str" cm="1">
        <f t="array" ref="G1655">IFERROR(INDEX(EmployeeData[Join Date], ROW() - 37), "")</f>
        <v/>
      </c>
      <c r="H1655" s="6"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6" t="str" cm="1">
        <f t="array" ref="G1656">IFERROR(INDEX(EmployeeData[Join Date], ROW() - 37), "")</f>
        <v/>
      </c>
      <c r="H1656" s="6"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6" t="str" cm="1">
        <f t="array" ref="G1657">IFERROR(INDEX(EmployeeData[Join Date], ROW() - 37), "")</f>
        <v/>
      </c>
      <c r="H1657" s="6"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6" t="str" cm="1">
        <f t="array" ref="G1658">IFERROR(INDEX(EmployeeData[Join Date], ROW() - 37), "")</f>
        <v/>
      </c>
      <c r="H1658" s="6"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6" t="str" cm="1">
        <f t="array" ref="G1659">IFERROR(INDEX(EmployeeData[Join Date], ROW() - 37), "")</f>
        <v/>
      </c>
      <c r="H1659" s="6"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6" t="str" cm="1">
        <f t="array" ref="G1660">IFERROR(INDEX(EmployeeData[Join Date], ROW() - 37), "")</f>
        <v/>
      </c>
      <c r="H1660" s="6"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6" t="str" cm="1">
        <f t="array" ref="G1661">IFERROR(INDEX(EmployeeData[Join Date], ROW() - 37), "")</f>
        <v/>
      </c>
      <c r="H1661" s="6"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6" t="str" cm="1">
        <f t="array" ref="G1662">IFERROR(INDEX(EmployeeData[Join Date], ROW() - 37), "")</f>
        <v/>
      </c>
      <c r="H1662" s="6"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6" t="str" cm="1">
        <f t="array" ref="G1663">IFERROR(INDEX(EmployeeData[Join Date], ROW() - 37), "")</f>
        <v/>
      </c>
      <c r="H1663" s="6"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6" t="str" cm="1">
        <f t="array" ref="G1664">IFERROR(INDEX(EmployeeData[Join Date], ROW() - 37), "")</f>
        <v/>
      </c>
      <c r="H1664" s="6"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6" t="str" cm="1">
        <f t="array" ref="G1665">IFERROR(INDEX(EmployeeData[Join Date], ROW() - 37), "")</f>
        <v/>
      </c>
      <c r="H1665" s="6"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6" t="str" cm="1">
        <f t="array" ref="G1666">IFERROR(INDEX(EmployeeData[Join Date], ROW() - 37), "")</f>
        <v/>
      </c>
      <c r="H1666" s="6"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6" t="str" cm="1">
        <f t="array" ref="G1667">IFERROR(INDEX(EmployeeData[Join Date], ROW() - 37), "")</f>
        <v/>
      </c>
      <c r="H1667" s="6"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6" t="str" cm="1">
        <f t="array" ref="G1668">IFERROR(INDEX(EmployeeData[Join Date], ROW() - 37), "")</f>
        <v/>
      </c>
      <c r="H1668" s="6"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6" t="str" cm="1">
        <f t="array" ref="G1669">IFERROR(INDEX(EmployeeData[Join Date], ROW() - 37), "")</f>
        <v/>
      </c>
      <c r="H1669" s="6"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6" t="str" cm="1">
        <f t="array" ref="G1670">IFERROR(INDEX(EmployeeData[Join Date], ROW() - 37), "")</f>
        <v/>
      </c>
      <c r="H1670" s="6"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6" t="str" cm="1">
        <f t="array" ref="G1671">IFERROR(INDEX(EmployeeData[Join Date], ROW() - 37), "")</f>
        <v/>
      </c>
      <c r="H1671" s="6"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6" t="str" cm="1">
        <f t="array" ref="G1672">IFERROR(INDEX(EmployeeData[Join Date], ROW() - 37), "")</f>
        <v/>
      </c>
      <c r="H1672" s="6"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6" t="str" cm="1">
        <f t="array" ref="G1673">IFERROR(INDEX(EmployeeData[Join Date], ROW() - 37), "")</f>
        <v/>
      </c>
      <c r="H1673" s="6"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6" t="str" cm="1">
        <f t="array" ref="G1674">IFERROR(INDEX(EmployeeData[Join Date], ROW() - 37), "")</f>
        <v/>
      </c>
      <c r="H1674" s="6"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6" t="str" cm="1">
        <f t="array" ref="G1675">IFERROR(INDEX(EmployeeData[Join Date], ROW() - 37), "")</f>
        <v/>
      </c>
      <c r="H1675" s="6"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6" t="str" cm="1">
        <f t="array" ref="G1676">IFERROR(INDEX(EmployeeData[Join Date], ROW() - 37), "")</f>
        <v/>
      </c>
      <c r="H1676" s="6"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6" t="str" cm="1">
        <f t="array" ref="G1677">IFERROR(INDEX(EmployeeData[Join Date], ROW() - 37), "")</f>
        <v/>
      </c>
      <c r="H1677" s="6"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6" t="str" cm="1">
        <f t="array" ref="G1678">IFERROR(INDEX(EmployeeData[Join Date], ROW() - 37), "")</f>
        <v/>
      </c>
      <c r="H1678" s="6"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6" t="str" cm="1">
        <f t="array" ref="G1679">IFERROR(INDEX(EmployeeData[Join Date], ROW() - 37), "")</f>
        <v/>
      </c>
      <c r="H1679" s="6"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6" t="str" cm="1">
        <f t="array" ref="G1680">IFERROR(INDEX(EmployeeData[Join Date], ROW() - 37), "")</f>
        <v/>
      </c>
      <c r="H1680" s="6"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6" t="str" cm="1">
        <f t="array" ref="G1681">IFERROR(INDEX(EmployeeData[Join Date], ROW() - 37), "")</f>
        <v/>
      </c>
      <c r="H1681" s="6"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6" t="str" cm="1">
        <f t="array" ref="G1682">IFERROR(INDEX(EmployeeData[Join Date], ROW() - 37), "")</f>
        <v/>
      </c>
      <c r="H1682" s="6"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6" t="str" cm="1">
        <f t="array" ref="G1683">IFERROR(INDEX(EmployeeData[Join Date], ROW() - 37), "")</f>
        <v/>
      </c>
      <c r="H1683" s="6"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6" t="str" cm="1">
        <f t="array" ref="G1684">IFERROR(INDEX(EmployeeData[Join Date], ROW() - 37), "")</f>
        <v/>
      </c>
      <c r="H1684" s="6"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6" t="str" cm="1">
        <f t="array" ref="G1685">IFERROR(INDEX(EmployeeData[Join Date], ROW() - 37), "")</f>
        <v/>
      </c>
      <c r="H1685" s="6"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6" t="str" cm="1">
        <f t="array" ref="G1686">IFERROR(INDEX(EmployeeData[Join Date], ROW() - 37), "")</f>
        <v/>
      </c>
      <c r="H1686" s="6"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6" t="str" cm="1">
        <f t="array" ref="G1687">IFERROR(INDEX(EmployeeData[Join Date], ROW() - 37), "")</f>
        <v/>
      </c>
      <c r="H1687" s="6"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6" t="str" cm="1">
        <f t="array" ref="G1688">IFERROR(INDEX(EmployeeData[Join Date], ROW() - 37), "")</f>
        <v/>
      </c>
      <c r="H1688" s="6"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6" t="str" cm="1">
        <f t="array" ref="G1689">IFERROR(INDEX(EmployeeData[Join Date], ROW() - 37), "")</f>
        <v/>
      </c>
      <c r="H1689" s="6"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6" t="str" cm="1">
        <f t="array" ref="G1690">IFERROR(INDEX(EmployeeData[Join Date], ROW() - 37), "")</f>
        <v/>
      </c>
      <c r="H1690" s="6"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6" t="str" cm="1">
        <f t="array" ref="G1691">IFERROR(INDEX(EmployeeData[Join Date], ROW() - 37), "")</f>
        <v/>
      </c>
      <c r="H1691" s="6"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6" t="str" cm="1">
        <f t="array" ref="G1692">IFERROR(INDEX(EmployeeData[Join Date], ROW() - 37), "")</f>
        <v/>
      </c>
      <c r="H1692" s="6"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6" t="str" cm="1">
        <f t="array" ref="G1693">IFERROR(INDEX(EmployeeData[Join Date], ROW() - 37), "")</f>
        <v/>
      </c>
      <c r="H1693" s="6"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6" t="str" cm="1">
        <f t="array" ref="G1694">IFERROR(INDEX(EmployeeData[Join Date], ROW() - 37), "")</f>
        <v/>
      </c>
      <c r="H1694" s="6"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6" t="str" cm="1">
        <f t="array" ref="G1695">IFERROR(INDEX(EmployeeData[Join Date], ROW() - 37), "")</f>
        <v/>
      </c>
      <c r="H1695" s="6"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6" t="str" cm="1">
        <f t="array" ref="G1696">IFERROR(INDEX(EmployeeData[Join Date], ROW() - 37), "")</f>
        <v/>
      </c>
      <c r="H1696" s="6"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6" t="str" cm="1">
        <f t="array" ref="G1697">IFERROR(INDEX(EmployeeData[Join Date], ROW() - 37), "")</f>
        <v/>
      </c>
      <c r="H1697" s="6"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6" t="str" cm="1">
        <f t="array" ref="G1698">IFERROR(INDEX(EmployeeData[Join Date], ROW() - 37), "")</f>
        <v/>
      </c>
      <c r="H1698" s="6"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6" t="str" cm="1">
        <f t="array" ref="G1699">IFERROR(INDEX(EmployeeData[Join Date], ROW() - 37), "")</f>
        <v/>
      </c>
      <c r="H1699" s="6"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6" t="str" cm="1">
        <f t="array" ref="G1700">IFERROR(INDEX(EmployeeData[Join Date], ROW() - 37), "")</f>
        <v/>
      </c>
      <c r="H1700" s="6"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6" t="str" cm="1">
        <f t="array" ref="G1701">IFERROR(INDEX(EmployeeData[Join Date], ROW() - 37), "")</f>
        <v/>
      </c>
      <c r="H1701" s="6"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6" t="str" cm="1">
        <f t="array" ref="G1702">IFERROR(INDEX(EmployeeData[Join Date], ROW() - 37), "")</f>
        <v/>
      </c>
      <c r="H1702" s="6"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6" t="str" cm="1">
        <f t="array" ref="G1703">IFERROR(INDEX(EmployeeData[Join Date], ROW() - 37), "")</f>
        <v/>
      </c>
      <c r="H1703" s="6"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6" t="str" cm="1">
        <f t="array" ref="G1704">IFERROR(INDEX(EmployeeData[Join Date], ROW() - 37), "")</f>
        <v/>
      </c>
      <c r="H1704" s="6"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6" t="str" cm="1">
        <f t="array" ref="G1705">IFERROR(INDEX(EmployeeData[Join Date], ROW() - 37), "")</f>
        <v/>
      </c>
      <c r="H1705" s="6"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6" t="str" cm="1">
        <f t="array" ref="G1706">IFERROR(INDEX(EmployeeData[Join Date], ROW() - 37), "")</f>
        <v/>
      </c>
      <c r="H1706" s="6"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6" t="str" cm="1">
        <f t="array" ref="G1707">IFERROR(INDEX(EmployeeData[Join Date], ROW() - 37), "")</f>
        <v/>
      </c>
      <c r="H1707" s="6"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6" t="str" cm="1">
        <f t="array" ref="G1708">IFERROR(INDEX(EmployeeData[Join Date], ROW() - 37), "")</f>
        <v/>
      </c>
      <c r="H1708" s="6"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6" t="str" cm="1">
        <f t="array" ref="G1709">IFERROR(INDEX(EmployeeData[Join Date], ROW() - 37), "")</f>
        <v/>
      </c>
      <c r="H1709" s="6"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6" t="str" cm="1">
        <f t="array" ref="G1710">IFERROR(INDEX(EmployeeData[Join Date], ROW() - 37), "")</f>
        <v/>
      </c>
      <c r="H1710" s="6"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6" t="str" cm="1">
        <f t="array" ref="G1711">IFERROR(INDEX(EmployeeData[Join Date], ROW() - 37), "")</f>
        <v/>
      </c>
      <c r="H1711" s="6"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6" t="str" cm="1">
        <f t="array" ref="G1712">IFERROR(INDEX(EmployeeData[Join Date], ROW() - 37), "")</f>
        <v/>
      </c>
      <c r="H1712" s="6"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6" t="str" cm="1">
        <f t="array" ref="G1713">IFERROR(INDEX(EmployeeData[Join Date], ROW() - 37), "")</f>
        <v/>
      </c>
      <c r="H1713" s="6"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6" t="str" cm="1">
        <f t="array" ref="G1714">IFERROR(INDEX(EmployeeData[Join Date], ROW() - 37), "")</f>
        <v/>
      </c>
      <c r="H1714" s="6"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6" t="str" cm="1">
        <f t="array" ref="G1715">IFERROR(INDEX(EmployeeData[Join Date], ROW() - 37), "")</f>
        <v/>
      </c>
      <c r="H1715" s="6"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6" t="str" cm="1">
        <f t="array" ref="G1716">IFERROR(INDEX(EmployeeData[Join Date], ROW() - 37), "")</f>
        <v/>
      </c>
      <c r="H1716" s="6"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6" t="str" cm="1">
        <f t="array" ref="G1717">IFERROR(INDEX(EmployeeData[Join Date], ROW() - 37), "")</f>
        <v/>
      </c>
      <c r="H1717" s="6"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6" t="str" cm="1">
        <f t="array" ref="G1718">IFERROR(INDEX(EmployeeData[Join Date], ROW() - 37), "")</f>
        <v/>
      </c>
      <c r="H1718" s="6"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6" t="str" cm="1">
        <f t="array" ref="G1719">IFERROR(INDEX(EmployeeData[Join Date], ROW() - 37), "")</f>
        <v/>
      </c>
      <c r="H1719" s="6"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6" t="str" cm="1">
        <f t="array" ref="G1720">IFERROR(INDEX(EmployeeData[Join Date], ROW() - 37), "")</f>
        <v/>
      </c>
      <c r="H1720" s="6"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6" t="str" cm="1">
        <f t="array" ref="G1721">IFERROR(INDEX(EmployeeData[Join Date], ROW() - 37), "")</f>
        <v/>
      </c>
      <c r="H1721" s="6"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6" t="str" cm="1">
        <f t="array" ref="G1722">IFERROR(INDEX(EmployeeData[Join Date], ROW() - 37), "")</f>
        <v/>
      </c>
      <c r="H1722" s="6"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6" t="str" cm="1">
        <f t="array" ref="G1723">IFERROR(INDEX(EmployeeData[Join Date], ROW() - 37), "")</f>
        <v/>
      </c>
      <c r="H1723" s="6"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6" t="str" cm="1">
        <f t="array" ref="G1724">IFERROR(INDEX(EmployeeData[Join Date], ROW() - 37), "")</f>
        <v/>
      </c>
      <c r="H1724" s="6"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6" t="str" cm="1">
        <f t="array" ref="G1725">IFERROR(INDEX(EmployeeData[Join Date], ROW() - 37), "")</f>
        <v/>
      </c>
      <c r="H1725" s="6"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6" t="str" cm="1">
        <f t="array" ref="G1726">IFERROR(INDEX(EmployeeData[Join Date], ROW() - 37), "")</f>
        <v/>
      </c>
      <c r="H1726" s="6"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6" t="str" cm="1">
        <f t="array" ref="G1727">IFERROR(INDEX(EmployeeData[Join Date], ROW() - 37), "")</f>
        <v/>
      </c>
      <c r="H1727" s="6"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6" t="str" cm="1">
        <f t="array" ref="G1728">IFERROR(INDEX(EmployeeData[Join Date], ROW() - 37), "")</f>
        <v/>
      </c>
      <c r="H1728" s="6"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6" t="str" cm="1">
        <f t="array" ref="G1729">IFERROR(INDEX(EmployeeData[Join Date], ROW() - 37), "")</f>
        <v/>
      </c>
      <c r="H1729" s="6"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6" t="str" cm="1">
        <f t="array" ref="G1730">IFERROR(INDEX(EmployeeData[Join Date], ROW() - 37), "")</f>
        <v/>
      </c>
      <c r="H1730" s="6"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6" t="str" cm="1">
        <f t="array" ref="G1731">IFERROR(INDEX(EmployeeData[Join Date], ROW() - 37), "")</f>
        <v/>
      </c>
      <c r="H1731" s="6"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6" t="str" cm="1">
        <f t="array" ref="G1732">IFERROR(INDEX(EmployeeData[Join Date], ROW() - 37), "")</f>
        <v/>
      </c>
      <c r="H1732" s="6"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6" t="str" cm="1">
        <f t="array" ref="G1733">IFERROR(INDEX(EmployeeData[Join Date], ROW() - 37), "")</f>
        <v/>
      </c>
      <c r="H1733" s="6"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6" t="str" cm="1">
        <f t="array" ref="G1734">IFERROR(INDEX(EmployeeData[Join Date], ROW() - 37), "")</f>
        <v/>
      </c>
      <c r="H1734" s="6"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6" t="str" cm="1">
        <f t="array" ref="G1735">IFERROR(INDEX(EmployeeData[Join Date], ROW() - 37), "")</f>
        <v/>
      </c>
      <c r="H1735" s="6"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6" t="str" cm="1">
        <f t="array" ref="G1736">IFERROR(INDEX(EmployeeData[Join Date], ROW() - 37), "")</f>
        <v/>
      </c>
      <c r="H1736" s="6"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6" t="str" cm="1">
        <f t="array" ref="G1737">IFERROR(INDEX(EmployeeData[Join Date], ROW() - 37), "")</f>
        <v/>
      </c>
      <c r="H1737" s="6"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6" t="str" cm="1">
        <f t="array" ref="G1738">IFERROR(INDEX(EmployeeData[Join Date], ROW() - 37), "")</f>
        <v/>
      </c>
      <c r="H1738" s="6"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6" t="str" cm="1">
        <f t="array" ref="G1739">IFERROR(INDEX(EmployeeData[Join Date], ROW() - 37), "")</f>
        <v/>
      </c>
      <c r="H1739" s="6"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6" t="str" cm="1">
        <f t="array" ref="G1740">IFERROR(INDEX(EmployeeData[Join Date], ROW() - 37), "")</f>
        <v/>
      </c>
      <c r="H1740" s="6"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6" t="str" cm="1">
        <f t="array" ref="G1741">IFERROR(INDEX(EmployeeData[Join Date], ROW() - 37), "")</f>
        <v/>
      </c>
      <c r="H1741" s="6"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6" t="str" cm="1">
        <f t="array" ref="G1742">IFERROR(INDEX(EmployeeData[Join Date], ROW() - 37), "")</f>
        <v/>
      </c>
      <c r="H1742" s="6"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6" t="str" cm="1">
        <f t="array" ref="G1743">IFERROR(INDEX(EmployeeData[Join Date], ROW() - 37), "")</f>
        <v/>
      </c>
      <c r="H1743" s="6"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6" t="str" cm="1">
        <f t="array" ref="G1744">IFERROR(INDEX(EmployeeData[Join Date], ROW() - 37), "")</f>
        <v/>
      </c>
      <c r="H1744" s="6"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6" t="str" cm="1">
        <f t="array" ref="G1745">IFERROR(INDEX(EmployeeData[Join Date], ROW() - 37), "")</f>
        <v/>
      </c>
      <c r="H1745" s="6"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6" t="str" cm="1">
        <f t="array" ref="G1746">IFERROR(INDEX(EmployeeData[Join Date], ROW() - 37), "")</f>
        <v/>
      </c>
      <c r="H1746" s="6"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6" t="str" cm="1">
        <f t="array" ref="G1747">IFERROR(INDEX(EmployeeData[Join Date], ROW() - 37), "")</f>
        <v/>
      </c>
      <c r="H1747" s="6"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6" t="str" cm="1">
        <f t="array" ref="G1748">IFERROR(INDEX(EmployeeData[Join Date], ROW() - 37), "")</f>
        <v/>
      </c>
      <c r="H1748" s="6"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6" t="str" cm="1">
        <f t="array" ref="G1749">IFERROR(INDEX(EmployeeData[Join Date], ROW() - 37), "")</f>
        <v/>
      </c>
      <c r="H1749" s="6"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6" t="str" cm="1">
        <f t="array" ref="G1750">IFERROR(INDEX(EmployeeData[Join Date], ROW() - 37), "")</f>
        <v/>
      </c>
      <c r="H1750" s="6"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6" t="str" cm="1">
        <f t="array" ref="G1751">IFERROR(INDEX(EmployeeData[Join Date], ROW() - 37), "")</f>
        <v/>
      </c>
      <c r="H1751" s="6"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6" t="str" cm="1">
        <f t="array" ref="G1752">IFERROR(INDEX(EmployeeData[Join Date], ROW() - 37), "")</f>
        <v/>
      </c>
      <c r="H1752" s="6"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6" t="str" cm="1">
        <f t="array" ref="G1753">IFERROR(INDEX(EmployeeData[Join Date], ROW() - 37), "")</f>
        <v/>
      </c>
      <c r="H1753" s="6"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6" t="str" cm="1">
        <f t="array" ref="G1754">IFERROR(INDEX(EmployeeData[Join Date], ROW() - 37), "")</f>
        <v/>
      </c>
      <c r="H1754" s="6"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6" t="str" cm="1">
        <f t="array" ref="G1755">IFERROR(INDEX(EmployeeData[Join Date], ROW() - 37), "")</f>
        <v/>
      </c>
      <c r="H1755" s="6"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6" t="str" cm="1">
        <f t="array" ref="G1756">IFERROR(INDEX(EmployeeData[Join Date], ROW() - 37), "")</f>
        <v/>
      </c>
      <c r="H1756" s="6"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6" t="str" cm="1">
        <f t="array" ref="G1757">IFERROR(INDEX(EmployeeData[Join Date], ROW() - 37), "")</f>
        <v/>
      </c>
      <c r="H1757" s="6"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6" t="str" cm="1">
        <f t="array" ref="G1758">IFERROR(INDEX(EmployeeData[Join Date], ROW() - 37), "")</f>
        <v/>
      </c>
      <c r="H1758" s="6"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6" t="str" cm="1">
        <f t="array" ref="G1759">IFERROR(INDEX(EmployeeData[Join Date], ROW() - 37), "")</f>
        <v/>
      </c>
      <c r="H1759" s="6"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6" t="str" cm="1">
        <f t="array" ref="G1760">IFERROR(INDEX(EmployeeData[Join Date], ROW() - 37), "")</f>
        <v/>
      </c>
      <c r="H1760" s="6"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6" t="str" cm="1">
        <f t="array" ref="G1761">IFERROR(INDEX(EmployeeData[Join Date], ROW() - 37), "")</f>
        <v/>
      </c>
      <c r="H1761" s="6"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6" t="str" cm="1">
        <f t="array" ref="G1762">IFERROR(INDEX(EmployeeData[Join Date], ROW() - 37), "")</f>
        <v/>
      </c>
      <c r="H1762" s="6"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6" t="str" cm="1">
        <f t="array" ref="G1763">IFERROR(INDEX(EmployeeData[Join Date], ROW() - 37), "")</f>
        <v/>
      </c>
      <c r="H1763" s="6"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6" t="str" cm="1">
        <f t="array" ref="G1764">IFERROR(INDEX(EmployeeData[Join Date], ROW() - 37), "")</f>
        <v/>
      </c>
      <c r="H1764" s="6"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6" t="str" cm="1">
        <f t="array" ref="G1765">IFERROR(INDEX(EmployeeData[Join Date], ROW() - 37), "")</f>
        <v/>
      </c>
      <c r="H1765" s="6"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6" t="str" cm="1">
        <f t="array" ref="G1766">IFERROR(INDEX(EmployeeData[Join Date], ROW() - 37), "")</f>
        <v/>
      </c>
      <c r="H1766" s="6"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6" t="str" cm="1">
        <f t="array" ref="G1767">IFERROR(INDEX(EmployeeData[Join Date], ROW() - 37), "")</f>
        <v/>
      </c>
      <c r="H1767" s="6"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6" t="str" cm="1">
        <f t="array" ref="G1768">IFERROR(INDEX(EmployeeData[Join Date], ROW() - 37), "")</f>
        <v/>
      </c>
      <c r="H1768" s="6"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6" t="str" cm="1">
        <f t="array" ref="G1769">IFERROR(INDEX(EmployeeData[Join Date], ROW() - 37), "")</f>
        <v/>
      </c>
      <c r="H1769" s="6"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6" t="str" cm="1">
        <f t="array" ref="G1770">IFERROR(INDEX(EmployeeData[Join Date], ROW() - 37), "")</f>
        <v/>
      </c>
      <c r="H1770" s="6"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6" t="str" cm="1">
        <f t="array" ref="G1771">IFERROR(INDEX(EmployeeData[Join Date], ROW() - 37), "")</f>
        <v/>
      </c>
      <c r="H1771" s="6"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6" t="str" cm="1">
        <f t="array" ref="G1772">IFERROR(INDEX(EmployeeData[Join Date], ROW() - 37), "")</f>
        <v/>
      </c>
      <c r="H1772" s="6"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6" t="str" cm="1">
        <f t="array" ref="G1773">IFERROR(INDEX(EmployeeData[Join Date], ROW() - 37), "")</f>
        <v/>
      </c>
      <c r="H1773" s="6"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6" t="str" cm="1">
        <f t="array" ref="G1774">IFERROR(INDEX(EmployeeData[Join Date], ROW() - 37), "")</f>
        <v/>
      </c>
      <c r="H1774" s="6"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6" t="str" cm="1">
        <f t="array" ref="G1775">IFERROR(INDEX(EmployeeData[Join Date], ROW() - 37), "")</f>
        <v/>
      </c>
      <c r="H1775" s="6"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6" t="str" cm="1">
        <f t="array" ref="G1776">IFERROR(INDEX(EmployeeData[Join Date], ROW() - 37), "")</f>
        <v/>
      </c>
      <c r="H1776" s="6"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6" t="str" cm="1">
        <f t="array" ref="G1777">IFERROR(INDEX(EmployeeData[Join Date], ROW() - 37), "")</f>
        <v/>
      </c>
      <c r="H1777" s="6"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6" t="str" cm="1">
        <f t="array" ref="G1778">IFERROR(INDEX(EmployeeData[Join Date], ROW() - 37), "")</f>
        <v/>
      </c>
      <c r="H1778" s="6"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6" t="str" cm="1">
        <f t="array" ref="G1779">IFERROR(INDEX(EmployeeData[Join Date], ROW() - 37), "")</f>
        <v/>
      </c>
      <c r="H1779" s="6"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6" t="str" cm="1">
        <f t="array" ref="G1780">IFERROR(INDEX(EmployeeData[Join Date], ROW() - 37), "")</f>
        <v/>
      </c>
      <c r="H1780" s="6"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6" t="str" cm="1">
        <f t="array" ref="G1781">IFERROR(INDEX(EmployeeData[Join Date], ROW() - 37), "")</f>
        <v/>
      </c>
      <c r="H1781" s="6"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6" t="str" cm="1">
        <f t="array" ref="G1782">IFERROR(INDEX(EmployeeData[Join Date], ROW() - 37), "")</f>
        <v/>
      </c>
      <c r="H1782" s="6"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6" t="str" cm="1">
        <f t="array" ref="G1783">IFERROR(INDEX(EmployeeData[Join Date], ROW() - 37), "")</f>
        <v/>
      </c>
      <c r="H1783" s="6"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6" t="str" cm="1">
        <f t="array" ref="G1784">IFERROR(INDEX(EmployeeData[Join Date], ROW() - 37), "")</f>
        <v/>
      </c>
      <c r="H1784" s="6"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6" t="str" cm="1">
        <f t="array" ref="G1785">IFERROR(INDEX(EmployeeData[Join Date], ROW() - 37), "")</f>
        <v/>
      </c>
      <c r="H1785" s="6"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6" t="str" cm="1">
        <f t="array" ref="G1786">IFERROR(INDEX(EmployeeData[Join Date], ROW() - 37), "")</f>
        <v/>
      </c>
      <c r="H1786" s="6"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6" t="str" cm="1">
        <f t="array" ref="G1787">IFERROR(INDEX(EmployeeData[Join Date], ROW() - 37), "")</f>
        <v/>
      </c>
      <c r="H1787" s="6"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6" t="str" cm="1">
        <f t="array" ref="G1788">IFERROR(INDEX(EmployeeData[Join Date], ROW() - 37), "")</f>
        <v/>
      </c>
      <c r="H1788" s="6"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6" t="str" cm="1">
        <f t="array" ref="G1789">IFERROR(INDEX(EmployeeData[Join Date], ROW() - 37), "")</f>
        <v/>
      </c>
      <c r="H1789" s="6"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6" t="str" cm="1">
        <f t="array" ref="G1790">IFERROR(INDEX(EmployeeData[Join Date], ROW() - 37), "")</f>
        <v/>
      </c>
      <c r="H1790" s="6"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6" t="str" cm="1">
        <f t="array" ref="G1791">IFERROR(INDEX(EmployeeData[Join Date], ROW() - 37), "")</f>
        <v/>
      </c>
      <c r="H1791" s="6"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6" t="str" cm="1">
        <f t="array" ref="G1792">IFERROR(INDEX(EmployeeData[Join Date], ROW() - 37), "")</f>
        <v/>
      </c>
      <c r="H1792" s="6"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6" t="str" cm="1">
        <f t="array" ref="G1793">IFERROR(INDEX(EmployeeData[Join Date], ROW() - 37), "")</f>
        <v/>
      </c>
      <c r="H1793" s="6"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6" t="str" cm="1">
        <f t="array" ref="G1794">IFERROR(INDEX(EmployeeData[Join Date], ROW() - 37), "")</f>
        <v/>
      </c>
      <c r="H1794" s="6"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6" t="str" cm="1">
        <f t="array" ref="G1795">IFERROR(INDEX(EmployeeData[Join Date], ROW() - 37), "")</f>
        <v/>
      </c>
      <c r="H1795" s="6"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6" t="str" cm="1">
        <f t="array" ref="G1796">IFERROR(INDEX(EmployeeData[Join Date], ROW() - 37), "")</f>
        <v/>
      </c>
      <c r="H1796" s="6"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6" t="str" cm="1">
        <f t="array" ref="G1797">IFERROR(INDEX(EmployeeData[Join Date], ROW() - 37), "")</f>
        <v/>
      </c>
      <c r="H1797" s="6"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6" t="str" cm="1">
        <f t="array" ref="G1798">IFERROR(INDEX(EmployeeData[Join Date], ROW() - 37), "")</f>
        <v/>
      </c>
      <c r="H1798" s="6"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6" t="str" cm="1">
        <f t="array" ref="G1799">IFERROR(INDEX(EmployeeData[Join Date], ROW() - 37), "")</f>
        <v/>
      </c>
      <c r="H1799" s="6"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6" t="str" cm="1">
        <f t="array" ref="G1800">IFERROR(INDEX(EmployeeData[Join Date], ROW() - 37), "")</f>
        <v/>
      </c>
      <c r="H1800" s="6"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6" t="str" cm="1">
        <f t="array" ref="G1801">IFERROR(INDEX(EmployeeData[Join Date], ROW() - 37), "")</f>
        <v/>
      </c>
      <c r="H1801" s="6"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6" t="str" cm="1">
        <f t="array" ref="G1802">IFERROR(INDEX(EmployeeData[Join Date], ROW() - 37), "")</f>
        <v/>
      </c>
      <c r="H1802" s="6"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6" t="str" cm="1">
        <f t="array" ref="G1803">IFERROR(INDEX(EmployeeData[Join Date], ROW() - 37), "")</f>
        <v/>
      </c>
      <c r="H1803" s="6"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6" t="str" cm="1">
        <f t="array" ref="G1804">IFERROR(INDEX(EmployeeData[Join Date], ROW() - 37), "")</f>
        <v/>
      </c>
      <c r="H1804" s="6"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6" t="str" cm="1">
        <f t="array" ref="G1805">IFERROR(INDEX(EmployeeData[Join Date], ROW() - 37), "")</f>
        <v/>
      </c>
      <c r="H1805" s="6"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6" t="str" cm="1">
        <f t="array" ref="G1806">IFERROR(INDEX(EmployeeData[Join Date], ROW() - 37), "")</f>
        <v/>
      </c>
      <c r="H1806" s="6"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6" t="str" cm="1">
        <f t="array" ref="G1807">IFERROR(INDEX(EmployeeData[Join Date], ROW() - 37), "")</f>
        <v/>
      </c>
      <c r="H1807" s="6"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6" t="str" cm="1">
        <f t="array" ref="G1808">IFERROR(INDEX(EmployeeData[Join Date], ROW() - 37), "")</f>
        <v/>
      </c>
      <c r="H1808" s="6"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6" t="str" cm="1">
        <f t="array" ref="G1809">IFERROR(INDEX(EmployeeData[Join Date], ROW() - 37), "")</f>
        <v/>
      </c>
      <c r="H1809" s="6"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6" t="str" cm="1">
        <f t="array" ref="G1810">IFERROR(INDEX(EmployeeData[Join Date], ROW() - 37), "")</f>
        <v/>
      </c>
      <c r="H1810" s="6"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6" t="str" cm="1">
        <f t="array" ref="G1811">IFERROR(INDEX(EmployeeData[Join Date], ROW() - 37), "")</f>
        <v/>
      </c>
      <c r="H1811" s="6"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6" t="str" cm="1">
        <f t="array" ref="G1812">IFERROR(INDEX(EmployeeData[Join Date], ROW() - 37), "")</f>
        <v/>
      </c>
      <c r="H1812" s="6"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6" t="str" cm="1">
        <f t="array" ref="G1813">IFERROR(INDEX(EmployeeData[Join Date], ROW() - 37), "")</f>
        <v/>
      </c>
      <c r="H1813" s="6"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6" t="str" cm="1">
        <f t="array" ref="G1814">IFERROR(INDEX(EmployeeData[Join Date], ROW() - 37), "")</f>
        <v/>
      </c>
      <c r="H1814" s="6"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6" t="str" cm="1">
        <f t="array" ref="G1815">IFERROR(INDEX(EmployeeData[Join Date], ROW() - 37), "")</f>
        <v/>
      </c>
      <c r="H1815" s="6"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6" t="str" cm="1">
        <f t="array" ref="G1816">IFERROR(INDEX(EmployeeData[Join Date], ROW() - 37), "")</f>
        <v/>
      </c>
      <c r="H1816" s="6"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6" t="str" cm="1">
        <f t="array" ref="G1817">IFERROR(INDEX(EmployeeData[Join Date], ROW() - 37), "")</f>
        <v/>
      </c>
      <c r="H1817" s="6"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6" t="str" cm="1">
        <f t="array" ref="G1818">IFERROR(INDEX(EmployeeData[Join Date], ROW() - 37), "")</f>
        <v/>
      </c>
      <c r="H1818" s="6"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6" t="str" cm="1">
        <f t="array" ref="G1819">IFERROR(INDEX(EmployeeData[Join Date], ROW() - 37), "")</f>
        <v/>
      </c>
      <c r="H1819" s="6"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6" t="str" cm="1">
        <f t="array" ref="G1820">IFERROR(INDEX(EmployeeData[Join Date], ROW() - 37), "")</f>
        <v/>
      </c>
      <c r="H1820" s="6"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6" t="str" cm="1">
        <f t="array" ref="G1821">IFERROR(INDEX(EmployeeData[Join Date], ROW() - 37), "")</f>
        <v/>
      </c>
      <c r="H1821" s="6"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6" t="str" cm="1">
        <f t="array" ref="G1822">IFERROR(INDEX(EmployeeData[Join Date], ROW() - 37), "")</f>
        <v/>
      </c>
      <c r="H1822" s="6"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6" t="str" cm="1">
        <f t="array" ref="G1823">IFERROR(INDEX(EmployeeData[Join Date], ROW() - 37), "")</f>
        <v/>
      </c>
      <c r="H1823" s="6"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6" t="str" cm="1">
        <f t="array" ref="G1824">IFERROR(INDEX(EmployeeData[Join Date], ROW() - 37), "")</f>
        <v/>
      </c>
      <c r="H1824" s="6"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6" t="str" cm="1">
        <f t="array" ref="G1825">IFERROR(INDEX(EmployeeData[Join Date], ROW() - 37), "")</f>
        <v/>
      </c>
      <c r="H1825" s="6"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6" t="str" cm="1">
        <f t="array" ref="G1826">IFERROR(INDEX(EmployeeData[Join Date], ROW() - 37), "")</f>
        <v/>
      </c>
      <c r="H1826" s="6"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6" t="str" cm="1">
        <f t="array" ref="G1827">IFERROR(INDEX(EmployeeData[Join Date], ROW() - 37), "")</f>
        <v/>
      </c>
      <c r="H1827" s="6"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6" t="str" cm="1">
        <f t="array" ref="G1828">IFERROR(INDEX(EmployeeData[Join Date], ROW() - 37), "")</f>
        <v/>
      </c>
      <c r="H1828" s="6"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6" t="str" cm="1">
        <f t="array" ref="G1829">IFERROR(INDEX(EmployeeData[Join Date], ROW() - 37), "")</f>
        <v/>
      </c>
      <c r="H1829" s="6"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6" t="str" cm="1">
        <f t="array" ref="G1830">IFERROR(INDEX(EmployeeData[Join Date], ROW() - 37), "")</f>
        <v/>
      </c>
      <c r="H1830" s="6"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6" t="str" cm="1">
        <f t="array" ref="G1831">IFERROR(INDEX(EmployeeData[Join Date], ROW() - 37), "")</f>
        <v/>
      </c>
      <c r="H1831" s="6"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6" t="str" cm="1">
        <f t="array" ref="G1832">IFERROR(INDEX(EmployeeData[Join Date], ROW() - 37), "")</f>
        <v/>
      </c>
      <c r="H1832" s="6"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6" t="str" cm="1">
        <f t="array" ref="G1833">IFERROR(INDEX(EmployeeData[Join Date], ROW() - 37), "")</f>
        <v/>
      </c>
      <c r="H1833" s="6"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6" t="str" cm="1">
        <f t="array" ref="G1834">IFERROR(INDEX(EmployeeData[Join Date], ROW() - 37), "")</f>
        <v/>
      </c>
      <c r="H1834" s="6"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6" t="str" cm="1">
        <f t="array" ref="G1835">IFERROR(INDEX(EmployeeData[Join Date], ROW() - 37), "")</f>
        <v/>
      </c>
      <c r="H1835" s="6"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6" t="str" cm="1">
        <f t="array" ref="G1836">IFERROR(INDEX(EmployeeData[Join Date], ROW() - 37), "")</f>
        <v/>
      </c>
      <c r="H1836" s="6"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6" t="str" cm="1">
        <f t="array" ref="G1837">IFERROR(INDEX(EmployeeData[Join Date], ROW() - 37), "")</f>
        <v/>
      </c>
      <c r="H1837" s="6"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6" t="str" cm="1">
        <f t="array" ref="G1838">IFERROR(INDEX(EmployeeData[Join Date], ROW() - 37), "")</f>
        <v/>
      </c>
      <c r="H1838" s="6"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6" t="str" cm="1">
        <f t="array" ref="G1839">IFERROR(INDEX(EmployeeData[Join Date], ROW() - 37), "")</f>
        <v/>
      </c>
      <c r="H1839" s="6"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6" t="str" cm="1">
        <f t="array" ref="G1840">IFERROR(INDEX(EmployeeData[Join Date], ROW() - 37), "")</f>
        <v/>
      </c>
      <c r="H1840" s="6"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6" t="str" cm="1">
        <f t="array" ref="G1841">IFERROR(INDEX(EmployeeData[Join Date], ROW() - 37), "")</f>
        <v/>
      </c>
      <c r="H1841" s="6"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6" t="str" cm="1">
        <f t="array" ref="G1842">IFERROR(INDEX(EmployeeData[Join Date], ROW() - 37), "")</f>
        <v/>
      </c>
      <c r="H1842" s="6"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6" t="str" cm="1">
        <f t="array" ref="G1843">IFERROR(INDEX(EmployeeData[Join Date], ROW() - 37), "")</f>
        <v/>
      </c>
      <c r="H1843" s="6"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6" t="str" cm="1">
        <f t="array" ref="G1844">IFERROR(INDEX(EmployeeData[Join Date], ROW() - 37), "")</f>
        <v/>
      </c>
      <c r="H1844" s="6"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6" t="str" cm="1">
        <f t="array" ref="G1845">IFERROR(INDEX(EmployeeData[Join Date], ROW() - 37), "")</f>
        <v/>
      </c>
      <c r="H1845" s="6"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6" t="str" cm="1">
        <f t="array" ref="G1846">IFERROR(INDEX(EmployeeData[Join Date], ROW() - 37), "")</f>
        <v/>
      </c>
      <c r="H1846" s="6"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6" t="str" cm="1">
        <f t="array" ref="G1847">IFERROR(INDEX(EmployeeData[Join Date], ROW() - 37), "")</f>
        <v/>
      </c>
      <c r="H1847" s="6"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6" t="str" cm="1">
        <f t="array" ref="G1848">IFERROR(INDEX(EmployeeData[Join Date], ROW() - 37), "")</f>
        <v/>
      </c>
      <c r="H1848" s="6"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6" t="str" cm="1">
        <f t="array" ref="G1849">IFERROR(INDEX(EmployeeData[Join Date], ROW() - 37), "")</f>
        <v/>
      </c>
      <c r="H1849" s="6"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6" t="str" cm="1">
        <f t="array" ref="G1850">IFERROR(INDEX(EmployeeData[Join Date], ROW() - 37), "")</f>
        <v/>
      </c>
      <c r="H1850" s="6"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6" t="str" cm="1">
        <f t="array" ref="G1851">IFERROR(INDEX(EmployeeData[Join Date], ROW() - 37), "")</f>
        <v/>
      </c>
      <c r="H1851" s="6"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6" t="str" cm="1">
        <f t="array" ref="G1852">IFERROR(INDEX(EmployeeData[Join Date], ROW() - 37), "")</f>
        <v/>
      </c>
      <c r="H1852" s="6"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6" t="str" cm="1">
        <f t="array" ref="G1853">IFERROR(INDEX(EmployeeData[Join Date], ROW() - 37), "")</f>
        <v/>
      </c>
      <c r="H1853" s="6"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6" t="str" cm="1">
        <f t="array" ref="G1854">IFERROR(INDEX(EmployeeData[Join Date], ROW() - 37), "")</f>
        <v/>
      </c>
      <c r="H1854" s="6"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6" t="str" cm="1">
        <f t="array" ref="G1855">IFERROR(INDEX(EmployeeData[Join Date], ROW() - 37), "")</f>
        <v/>
      </c>
      <c r="H1855" s="6"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6" t="str" cm="1">
        <f t="array" ref="G1856">IFERROR(INDEX(EmployeeData[Join Date], ROW() - 37), "")</f>
        <v/>
      </c>
      <c r="H1856" s="6"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6" t="str" cm="1">
        <f t="array" ref="G1857">IFERROR(INDEX(EmployeeData[Join Date], ROW() - 37), "")</f>
        <v/>
      </c>
      <c r="H1857" s="6"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6" t="str" cm="1">
        <f t="array" ref="G1858">IFERROR(INDEX(EmployeeData[Join Date], ROW() - 37), "")</f>
        <v/>
      </c>
      <c r="H1858" s="6"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6" t="str" cm="1">
        <f t="array" ref="G1859">IFERROR(INDEX(EmployeeData[Join Date], ROW() - 37), "")</f>
        <v/>
      </c>
      <c r="H1859" s="6"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6" t="str" cm="1">
        <f t="array" ref="G1860">IFERROR(INDEX(EmployeeData[Join Date], ROW() - 37), "")</f>
        <v/>
      </c>
      <c r="H1860" s="6"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6" t="str" cm="1">
        <f t="array" ref="G1861">IFERROR(INDEX(EmployeeData[Join Date], ROW() - 37), "")</f>
        <v/>
      </c>
      <c r="H1861" s="6"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6" t="str" cm="1">
        <f t="array" ref="G1862">IFERROR(INDEX(EmployeeData[Join Date], ROW() - 37), "")</f>
        <v/>
      </c>
      <c r="H1862" s="6"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6" t="str" cm="1">
        <f t="array" ref="G1863">IFERROR(INDEX(EmployeeData[Join Date], ROW() - 37), "")</f>
        <v/>
      </c>
      <c r="H1863" s="6"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6" t="str" cm="1">
        <f t="array" ref="G1864">IFERROR(INDEX(EmployeeData[Join Date], ROW() - 37), "")</f>
        <v/>
      </c>
      <c r="H1864" s="6"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6" t="str" cm="1">
        <f t="array" ref="G1865">IFERROR(INDEX(EmployeeData[Join Date], ROW() - 37), "")</f>
        <v/>
      </c>
      <c r="H1865" s="6"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6" t="str" cm="1">
        <f t="array" ref="G1866">IFERROR(INDEX(EmployeeData[Join Date], ROW() - 37), "")</f>
        <v/>
      </c>
      <c r="H1866" s="6"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6" t="str" cm="1">
        <f t="array" ref="G1867">IFERROR(INDEX(EmployeeData[Join Date], ROW() - 37), "")</f>
        <v/>
      </c>
      <c r="H1867" s="6"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6" t="str" cm="1">
        <f t="array" ref="G1868">IFERROR(INDEX(EmployeeData[Join Date], ROW() - 37), "")</f>
        <v/>
      </c>
      <c r="H1868" s="6"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6" t="str" cm="1">
        <f t="array" ref="G1869">IFERROR(INDEX(EmployeeData[Join Date], ROW() - 37), "")</f>
        <v/>
      </c>
      <c r="H1869" s="6"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6" t="str" cm="1">
        <f t="array" ref="G1870">IFERROR(INDEX(EmployeeData[Join Date], ROW() - 37), "")</f>
        <v/>
      </c>
      <c r="H1870" s="6"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6" t="str" cm="1">
        <f t="array" ref="G1871">IFERROR(INDEX(EmployeeData[Join Date], ROW() - 37), "")</f>
        <v/>
      </c>
      <c r="H1871" s="6"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6" t="str" cm="1">
        <f t="array" ref="G1872">IFERROR(INDEX(EmployeeData[Join Date], ROW() - 37), "")</f>
        <v/>
      </c>
      <c r="H1872" s="6"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6" t="str" cm="1">
        <f t="array" ref="G1873">IFERROR(INDEX(EmployeeData[Join Date], ROW() - 37), "")</f>
        <v/>
      </c>
      <c r="H1873" s="6"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6" t="str" cm="1">
        <f t="array" ref="G1874">IFERROR(INDEX(EmployeeData[Join Date], ROW() - 37), "")</f>
        <v/>
      </c>
      <c r="H1874" s="6"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6" t="str" cm="1">
        <f t="array" ref="G1875">IFERROR(INDEX(EmployeeData[Join Date], ROW() - 37), "")</f>
        <v/>
      </c>
      <c r="H1875" s="6"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6" t="str" cm="1">
        <f t="array" ref="G1876">IFERROR(INDEX(EmployeeData[Join Date], ROW() - 37), "")</f>
        <v/>
      </c>
      <c r="H1876" s="6"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6" t="str" cm="1">
        <f t="array" ref="G1877">IFERROR(INDEX(EmployeeData[Join Date], ROW() - 37), "")</f>
        <v/>
      </c>
      <c r="H1877" s="6"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6" t="str" cm="1">
        <f t="array" ref="G1878">IFERROR(INDEX(EmployeeData[Join Date], ROW() - 37), "")</f>
        <v/>
      </c>
      <c r="H1878" s="6"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6" t="str" cm="1">
        <f t="array" ref="G1879">IFERROR(INDEX(EmployeeData[Join Date], ROW() - 37), "")</f>
        <v/>
      </c>
      <c r="H1879" s="6"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6" t="str" cm="1">
        <f t="array" ref="G1880">IFERROR(INDEX(EmployeeData[Join Date], ROW() - 37), "")</f>
        <v/>
      </c>
      <c r="H1880" s="6"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6" t="str" cm="1">
        <f t="array" ref="G1881">IFERROR(INDEX(EmployeeData[Join Date], ROW() - 37), "")</f>
        <v/>
      </c>
      <c r="H1881" s="6"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6" t="str" cm="1">
        <f t="array" ref="G1882">IFERROR(INDEX(EmployeeData[Join Date], ROW() - 37), "")</f>
        <v/>
      </c>
      <c r="H1882" s="6"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6" t="str" cm="1">
        <f t="array" ref="G1883">IFERROR(INDEX(EmployeeData[Join Date], ROW() - 37), "")</f>
        <v/>
      </c>
      <c r="H1883" s="6"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6" t="str" cm="1">
        <f t="array" ref="G1884">IFERROR(INDEX(EmployeeData[Join Date], ROW() - 37), "")</f>
        <v/>
      </c>
      <c r="H1884" s="6"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6" t="str" cm="1">
        <f t="array" ref="G1885">IFERROR(INDEX(EmployeeData[Join Date], ROW() - 37), "")</f>
        <v/>
      </c>
      <c r="H1885" s="6"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6" t="str" cm="1">
        <f t="array" ref="G1886">IFERROR(INDEX(EmployeeData[Join Date], ROW() - 37), "")</f>
        <v/>
      </c>
      <c r="H1886" s="6"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6" t="str" cm="1">
        <f t="array" ref="G1887">IFERROR(INDEX(EmployeeData[Join Date], ROW() - 37), "")</f>
        <v/>
      </c>
      <c r="H1887" s="6"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6" t="str" cm="1">
        <f t="array" ref="G1888">IFERROR(INDEX(EmployeeData[Join Date], ROW() - 37), "")</f>
        <v/>
      </c>
      <c r="H1888" s="6"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6" t="str" cm="1">
        <f t="array" ref="G1889">IFERROR(INDEX(EmployeeData[Join Date], ROW() - 37), "")</f>
        <v/>
      </c>
      <c r="H1889" s="6"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6" t="str" cm="1">
        <f t="array" ref="G1890">IFERROR(INDEX(EmployeeData[Join Date], ROW() - 37), "")</f>
        <v/>
      </c>
      <c r="H1890" s="6"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6" t="str" cm="1">
        <f t="array" ref="G1891">IFERROR(INDEX(EmployeeData[Join Date], ROW() - 37), "")</f>
        <v/>
      </c>
      <c r="H1891" s="6"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6" t="str" cm="1">
        <f t="array" ref="G1892">IFERROR(INDEX(EmployeeData[Join Date], ROW() - 37), "")</f>
        <v/>
      </c>
      <c r="H1892" s="6"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6" t="str" cm="1">
        <f t="array" ref="G1893">IFERROR(INDEX(EmployeeData[Join Date], ROW() - 37), "")</f>
        <v/>
      </c>
      <c r="H1893" s="6"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6" t="str" cm="1">
        <f t="array" ref="G1894">IFERROR(INDEX(EmployeeData[Join Date], ROW() - 37), "")</f>
        <v/>
      </c>
      <c r="H1894" s="6"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6" t="str" cm="1">
        <f t="array" ref="G1895">IFERROR(INDEX(EmployeeData[Join Date], ROW() - 37), "")</f>
        <v/>
      </c>
      <c r="H1895" s="6"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6" t="str" cm="1">
        <f t="array" ref="G1896">IFERROR(INDEX(EmployeeData[Join Date], ROW() - 37), "")</f>
        <v/>
      </c>
      <c r="H1896" s="6"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6" t="str" cm="1">
        <f t="array" ref="G1897">IFERROR(INDEX(EmployeeData[Join Date], ROW() - 37), "")</f>
        <v/>
      </c>
      <c r="H1897" s="6"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6" t="str" cm="1">
        <f t="array" ref="G1898">IFERROR(INDEX(EmployeeData[Join Date], ROW() - 37), "")</f>
        <v/>
      </c>
      <c r="H1898" s="6"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6" t="str" cm="1">
        <f t="array" ref="G1899">IFERROR(INDEX(EmployeeData[Join Date], ROW() - 37), "")</f>
        <v/>
      </c>
      <c r="H1899" s="6"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6" t="str" cm="1">
        <f t="array" ref="G1900">IFERROR(INDEX(EmployeeData[Join Date], ROW() - 37), "")</f>
        <v/>
      </c>
      <c r="H1900" s="6"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6" t="str" cm="1">
        <f t="array" ref="G1901">IFERROR(INDEX(EmployeeData[Join Date], ROW() - 37), "")</f>
        <v/>
      </c>
      <c r="H1901" s="6"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6" t="str" cm="1">
        <f t="array" ref="G1902">IFERROR(INDEX(EmployeeData[Join Date], ROW() - 37), "")</f>
        <v/>
      </c>
      <c r="H1902" s="6"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6" t="str" cm="1">
        <f t="array" ref="G1903">IFERROR(INDEX(EmployeeData[Join Date], ROW() - 37), "")</f>
        <v/>
      </c>
      <c r="H1903" s="6"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6" t="str" cm="1">
        <f t="array" ref="G1904">IFERROR(INDEX(EmployeeData[Join Date], ROW() - 37), "")</f>
        <v/>
      </c>
      <c r="H1904" s="6"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6" t="str" cm="1">
        <f t="array" ref="G1905">IFERROR(INDEX(EmployeeData[Join Date], ROW() - 37), "")</f>
        <v/>
      </c>
      <c r="H1905" s="6"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6" t="str" cm="1">
        <f t="array" ref="G1906">IFERROR(INDEX(EmployeeData[Join Date], ROW() - 37), "")</f>
        <v/>
      </c>
      <c r="H1906" s="6"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6" t="str" cm="1">
        <f t="array" ref="G1907">IFERROR(INDEX(EmployeeData[Join Date], ROW() - 37), "")</f>
        <v/>
      </c>
      <c r="H1907" s="6"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6" t="str" cm="1">
        <f t="array" ref="G1908">IFERROR(INDEX(EmployeeData[Join Date], ROW() - 37), "")</f>
        <v/>
      </c>
      <c r="H1908" s="6"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6" t="str" cm="1">
        <f t="array" ref="G1909">IFERROR(INDEX(EmployeeData[Join Date], ROW() - 37), "")</f>
        <v/>
      </c>
      <c r="H1909" s="6"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6" t="str" cm="1">
        <f t="array" ref="G1910">IFERROR(INDEX(EmployeeData[Join Date], ROW() - 37), "")</f>
        <v/>
      </c>
      <c r="H1910" s="6"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6" t="str" cm="1">
        <f t="array" ref="G1911">IFERROR(INDEX(EmployeeData[Join Date], ROW() - 37), "")</f>
        <v/>
      </c>
      <c r="H1911" s="6"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6" t="str" cm="1">
        <f t="array" ref="G1912">IFERROR(INDEX(EmployeeData[Join Date], ROW() - 37), "")</f>
        <v/>
      </c>
      <c r="H1912" s="6"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6" t="str" cm="1">
        <f t="array" ref="G1913">IFERROR(INDEX(EmployeeData[Join Date], ROW() - 37), "")</f>
        <v/>
      </c>
      <c r="H1913" s="6"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6" t="str" cm="1">
        <f t="array" ref="G1914">IFERROR(INDEX(EmployeeData[Join Date], ROW() - 37), "")</f>
        <v/>
      </c>
      <c r="H1914" s="6"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6" t="str" cm="1">
        <f t="array" ref="G1915">IFERROR(INDEX(EmployeeData[Join Date], ROW() - 37), "")</f>
        <v/>
      </c>
      <c r="H1915" s="6"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6" t="str" cm="1">
        <f t="array" ref="G1916">IFERROR(INDEX(EmployeeData[Join Date], ROW() - 37), "")</f>
        <v/>
      </c>
      <c r="H1916" s="6"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6" t="str" cm="1">
        <f t="array" ref="G1917">IFERROR(INDEX(EmployeeData[Join Date], ROW() - 37), "")</f>
        <v/>
      </c>
      <c r="H1917" s="6"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6" t="str" cm="1">
        <f t="array" ref="G1918">IFERROR(INDEX(EmployeeData[Join Date], ROW() - 37), "")</f>
        <v/>
      </c>
      <c r="H1918" s="6"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6" t="str" cm="1">
        <f t="array" ref="G1919">IFERROR(INDEX(EmployeeData[Join Date], ROW() - 37), "")</f>
        <v/>
      </c>
      <c r="H1919" s="6"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6" t="str" cm="1">
        <f t="array" ref="G1920">IFERROR(INDEX(EmployeeData[Join Date], ROW() - 37), "")</f>
        <v/>
      </c>
      <c r="H1920" s="6"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6" t="str" cm="1">
        <f t="array" ref="G1921">IFERROR(INDEX(EmployeeData[Join Date], ROW() - 37), "")</f>
        <v/>
      </c>
      <c r="H1921" s="6"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6" t="str" cm="1">
        <f t="array" ref="G1922">IFERROR(INDEX(EmployeeData[Join Date], ROW() - 37), "")</f>
        <v/>
      </c>
      <c r="H1922" s="6"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6" t="str" cm="1">
        <f t="array" ref="G1923">IFERROR(INDEX(EmployeeData[Join Date], ROW() - 37), "")</f>
        <v/>
      </c>
      <c r="H1923" s="6"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6" t="str" cm="1">
        <f t="array" ref="G1924">IFERROR(INDEX(EmployeeData[Join Date], ROW() - 37), "")</f>
        <v/>
      </c>
      <c r="H1924" s="6"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6" t="str" cm="1">
        <f t="array" ref="G1925">IFERROR(INDEX(EmployeeData[Join Date], ROW() - 37), "")</f>
        <v/>
      </c>
      <c r="H1925" s="6"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6" t="str" cm="1">
        <f t="array" ref="G1926">IFERROR(INDEX(EmployeeData[Join Date], ROW() - 37), "")</f>
        <v/>
      </c>
      <c r="H1926" s="6"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6" t="str" cm="1">
        <f t="array" ref="G1927">IFERROR(INDEX(EmployeeData[Join Date], ROW() - 37), "")</f>
        <v/>
      </c>
      <c r="H1927" s="6"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6" t="str" cm="1">
        <f t="array" ref="G1928">IFERROR(INDEX(EmployeeData[Join Date], ROW() - 37), "")</f>
        <v/>
      </c>
      <c r="H1928" s="6"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6" t="str" cm="1">
        <f t="array" ref="G1929">IFERROR(INDEX(EmployeeData[Join Date], ROW() - 37), "")</f>
        <v/>
      </c>
      <c r="H1929" s="6"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6" t="str" cm="1">
        <f t="array" ref="G1930">IFERROR(INDEX(EmployeeData[Join Date], ROW() - 37), "")</f>
        <v/>
      </c>
      <c r="H1930" s="6"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6" t="str" cm="1">
        <f t="array" ref="G1931">IFERROR(INDEX(EmployeeData[Join Date], ROW() - 37), "")</f>
        <v/>
      </c>
      <c r="H1931" s="6"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6" t="str" cm="1">
        <f t="array" ref="G1932">IFERROR(INDEX(EmployeeData[Join Date], ROW() - 37), "")</f>
        <v/>
      </c>
      <c r="H1932" s="6"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6" t="str" cm="1">
        <f t="array" ref="G1933">IFERROR(INDEX(EmployeeData[Join Date], ROW() - 37), "")</f>
        <v/>
      </c>
      <c r="H1933" s="6"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6" t="str" cm="1">
        <f t="array" ref="G1934">IFERROR(INDEX(EmployeeData[Join Date], ROW() - 37), "")</f>
        <v/>
      </c>
      <c r="H1934" s="6"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6" t="str" cm="1">
        <f t="array" ref="G1935">IFERROR(INDEX(EmployeeData[Join Date], ROW() - 37), "")</f>
        <v/>
      </c>
      <c r="H1935" s="6"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6" t="str" cm="1">
        <f t="array" ref="G1936">IFERROR(INDEX(EmployeeData[Join Date], ROW() - 37), "")</f>
        <v/>
      </c>
      <c r="H1936" s="6"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6" t="str" cm="1">
        <f t="array" ref="G1937">IFERROR(INDEX(EmployeeData[Join Date], ROW() - 37), "")</f>
        <v/>
      </c>
      <c r="H1937" s="6"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6" t="str" cm="1">
        <f t="array" ref="G1938">IFERROR(INDEX(EmployeeData[Join Date], ROW() - 37), "")</f>
        <v/>
      </c>
      <c r="H1938" s="6"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6" t="str" cm="1">
        <f t="array" ref="G1939">IFERROR(INDEX(EmployeeData[Join Date], ROW() - 37), "")</f>
        <v/>
      </c>
      <c r="H1939" s="6"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6" t="str" cm="1">
        <f t="array" ref="G1940">IFERROR(INDEX(EmployeeData[Join Date], ROW() - 37), "")</f>
        <v/>
      </c>
      <c r="H1940" s="6"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6" t="str" cm="1">
        <f t="array" ref="G1941">IFERROR(INDEX(EmployeeData[Join Date], ROW() - 37), "")</f>
        <v/>
      </c>
      <c r="H1941" s="6"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6" t="str" cm="1">
        <f t="array" ref="G1942">IFERROR(INDEX(EmployeeData[Join Date], ROW() - 37), "")</f>
        <v/>
      </c>
      <c r="H1942" s="6"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6" t="str" cm="1">
        <f t="array" ref="G1943">IFERROR(INDEX(EmployeeData[Join Date], ROW() - 37), "")</f>
        <v/>
      </c>
      <c r="H1943" s="6"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6" t="str" cm="1">
        <f t="array" ref="G1944">IFERROR(INDEX(EmployeeData[Join Date], ROW() - 37), "")</f>
        <v/>
      </c>
      <c r="H1944" s="6"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6" t="str" cm="1">
        <f t="array" ref="G1945">IFERROR(INDEX(EmployeeData[Join Date], ROW() - 37), "")</f>
        <v/>
      </c>
      <c r="H1945" s="6"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6" t="str" cm="1">
        <f t="array" ref="G1946">IFERROR(INDEX(EmployeeData[Join Date], ROW() - 37), "")</f>
        <v/>
      </c>
      <c r="H1946" s="6"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6" t="str" cm="1">
        <f t="array" ref="G1947">IFERROR(INDEX(EmployeeData[Join Date], ROW() - 37), "")</f>
        <v/>
      </c>
      <c r="H1947" s="6"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6" t="str" cm="1">
        <f t="array" ref="G1948">IFERROR(INDEX(EmployeeData[Join Date], ROW() - 37), "")</f>
        <v/>
      </c>
      <c r="H1948" s="6"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6" t="str" cm="1">
        <f t="array" ref="G1949">IFERROR(INDEX(EmployeeData[Join Date], ROW() - 37), "")</f>
        <v/>
      </c>
      <c r="H1949" s="6"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6" t="str" cm="1">
        <f t="array" ref="G1950">IFERROR(INDEX(EmployeeData[Join Date], ROW() - 37), "")</f>
        <v/>
      </c>
      <c r="H1950" s="6"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6" t="str" cm="1">
        <f t="array" ref="G1951">IFERROR(INDEX(EmployeeData[Join Date], ROW() - 37), "")</f>
        <v/>
      </c>
      <c r="H1951" s="6"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6" t="str" cm="1">
        <f t="array" ref="G1952">IFERROR(INDEX(EmployeeData[Join Date], ROW() - 37), "")</f>
        <v/>
      </c>
      <c r="H1952" s="6"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6" t="str" cm="1">
        <f t="array" ref="G1953">IFERROR(INDEX(EmployeeData[Join Date], ROW() - 37), "")</f>
        <v/>
      </c>
      <c r="H1953" s="6"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6" t="str" cm="1">
        <f t="array" ref="G1954">IFERROR(INDEX(EmployeeData[Join Date], ROW() - 37), "")</f>
        <v/>
      </c>
      <c r="H1954" s="6"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6" t="str" cm="1">
        <f t="array" ref="G1955">IFERROR(INDEX(EmployeeData[Join Date], ROW() - 37), "")</f>
        <v/>
      </c>
      <c r="H1955" s="6"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6" t="str" cm="1">
        <f t="array" ref="G1956">IFERROR(INDEX(EmployeeData[Join Date], ROW() - 37), "")</f>
        <v/>
      </c>
      <c r="H1956" s="6"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6" t="str" cm="1">
        <f t="array" ref="G1957">IFERROR(INDEX(EmployeeData[Join Date], ROW() - 37), "")</f>
        <v/>
      </c>
      <c r="H1957" s="6"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6" t="str" cm="1">
        <f t="array" ref="G1958">IFERROR(INDEX(EmployeeData[Join Date], ROW() - 37), "")</f>
        <v/>
      </c>
      <c r="H1958" s="6"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6" t="str" cm="1">
        <f t="array" ref="G1959">IFERROR(INDEX(EmployeeData[Join Date], ROW() - 37), "")</f>
        <v/>
      </c>
      <c r="H1959" s="6"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6" t="str" cm="1">
        <f t="array" ref="G1960">IFERROR(INDEX(EmployeeData[Join Date], ROW() - 37), "")</f>
        <v/>
      </c>
      <c r="H1960" s="6"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6" t="str" cm="1">
        <f t="array" ref="G1961">IFERROR(INDEX(EmployeeData[Join Date], ROW() - 37), "")</f>
        <v/>
      </c>
      <c r="H1961" s="6"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6" t="str" cm="1">
        <f t="array" ref="G1962">IFERROR(INDEX(EmployeeData[Join Date], ROW() - 37), "")</f>
        <v/>
      </c>
      <c r="H1962" s="6"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6" t="str" cm="1">
        <f t="array" ref="G1963">IFERROR(INDEX(EmployeeData[Join Date], ROW() - 37), "")</f>
        <v/>
      </c>
      <c r="H1963" s="6"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6" t="str" cm="1">
        <f t="array" ref="G1964">IFERROR(INDEX(EmployeeData[Join Date], ROW() - 37), "")</f>
        <v/>
      </c>
      <c r="H1964" s="6"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6" t="str" cm="1">
        <f t="array" ref="G1965">IFERROR(INDEX(EmployeeData[Join Date], ROW() - 37), "")</f>
        <v/>
      </c>
      <c r="H1965" s="6"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6" t="str" cm="1">
        <f t="array" ref="G1966">IFERROR(INDEX(EmployeeData[Join Date], ROW() - 37), "")</f>
        <v/>
      </c>
      <c r="H1966" s="6"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6" t="str" cm="1">
        <f t="array" ref="G1967">IFERROR(INDEX(EmployeeData[Join Date], ROW() - 37), "")</f>
        <v/>
      </c>
      <c r="H1967" s="6"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6" t="str" cm="1">
        <f t="array" ref="G1968">IFERROR(INDEX(EmployeeData[Join Date], ROW() - 37), "")</f>
        <v/>
      </c>
      <c r="H1968" s="6"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6" t="str" cm="1">
        <f t="array" ref="G1969">IFERROR(INDEX(EmployeeData[Join Date], ROW() - 37), "")</f>
        <v/>
      </c>
      <c r="H1969" s="6"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6" t="str" cm="1">
        <f t="array" ref="G1970">IFERROR(INDEX(EmployeeData[Join Date], ROW() - 37), "")</f>
        <v/>
      </c>
      <c r="H1970" s="6"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6" t="str" cm="1">
        <f t="array" ref="G1971">IFERROR(INDEX(EmployeeData[Join Date], ROW() - 37), "")</f>
        <v/>
      </c>
      <c r="H1971" s="6"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6" t="str" cm="1">
        <f t="array" ref="G1972">IFERROR(INDEX(EmployeeData[Join Date], ROW() - 37), "")</f>
        <v/>
      </c>
      <c r="H1972" s="6"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6" t="str" cm="1">
        <f t="array" ref="G1973">IFERROR(INDEX(EmployeeData[Join Date], ROW() - 37), "")</f>
        <v/>
      </c>
      <c r="H1973" s="6"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6" t="str" cm="1">
        <f t="array" ref="G1974">IFERROR(INDEX(EmployeeData[Join Date], ROW() - 37), "")</f>
        <v/>
      </c>
      <c r="H1974" s="6"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6" t="str" cm="1">
        <f t="array" ref="G1975">IFERROR(INDEX(EmployeeData[Join Date], ROW() - 37), "")</f>
        <v/>
      </c>
      <c r="H1975" s="6"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6" t="str" cm="1">
        <f t="array" ref="G1976">IFERROR(INDEX(EmployeeData[Join Date], ROW() - 37), "")</f>
        <v/>
      </c>
      <c r="H1976" s="6"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6" t="str" cm="1">
        <f t="array" ref="G1977">IFERROR(INDEX(EmployeeData[Join Date], ROW() - 37), "")</f>
        <v/>
      </c>
      <c r="H1977" s="6"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6" t="str" cm="1">
        <f t="array" ref="G1978">IFERROR(INDEX(EmployeeData[Join Date], ROW() - 37), "")</f>
        <v/>
      </c>
      <c r="H1978" s="6"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6" t="str" cm="1">
        <f t="array" ref="G1979">IFERROR(INDEX(EmployeeData[Join Date], ROW() - 37), "")</f>
        <v/>
      </c>
      <c r="H1979" s="6"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6" t="str" cm="1">
        <f t="array" ref="G1980">IFERROR(INDEX(EmployeeData[Join Date], ROW() - 37), "")</f>
        <v/>
      </c>
      <c r="H1980" s="6"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6" t="str" cm="1">
        <f t="array" ref="G1981">IFERROR(INDEX(EmployeeData[Join Date], ROW() - 37), "")</f>
        <v/>
      </c>
      <c r="H1981" s="6"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6" t="str" cm="1">
        <f t="array" ref="G1982">IFERROR(INDEX(EmployeeData[Join Date], ROW() - 37), "")</f>
        <v/>
      </c>
      <c r="H1982" s="6"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6" t="str" cm="1">
        <f t="array" ref="G1983">IFERROR(INDEX(EmployeeData[Join Date], ROW() - 37), "")</f>
        <v/>
      </c>
      <c r="H1983" s="6"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6" t="str" cm="1">
        <f t="array" ref="G1984">IFERROR(INDEX(EmployeeData[Join Date], ROW() - 37), "")</f>
        <v/>
      </c>
      <c r="H1984" s="6"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6" t="str" cm="1">
        <f t="array" ref="G1985">IFERROR(INDEX(EmployeeData[Join Date], ROW() - 37), "")</f>
        <v/>
      </c>
      <c r="H1985" s="6"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6" t="str" cm="1">
        <f t="array" ref="G1986">IFERROR(INDEX(EmployeeData[Join Date], ROW() - 37), "")</f>
        <v/>
      </c>
      <c r="H1986" s="6"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6" t="str" cm="1">
        <f t="array" ref="G1987">IFERROR(INDEX(EmployeeData[Join Date], ROW() - 37), "")</f>
        <v/>
      </c>
      <c r="H1987" s="6"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6" t="str" cm="1">
        <f t="array" ref="G1988">IFERROR(INDEX(EmployeeData[Join Date], ROW() - 37), "")</f>
        <v/>
      </c>
      <c r="H1988" s="6"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6" t="str" cm="1">
        <f t="array" ref="G1989">IFERROR(INDEX(EmployeeData[Join Date], ROW() - 37), "")</f>
        <v/>
      </c>
      <c r="H1989" s="6"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6" t="str" cm="1">
        <f t="array" ref="G1990">IFERROR(INDEX(EmployeeData[Join Date], ROW() - 37), "")</f>
        <v/>
      </c>
      <c r="H1990" s="6"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6" t="str" cm="1">
        <f t="array" ref="G1991">IFERROR(INDEX(EmployeeData[Join Date], ROW() - 37), "")</f>
        <v/>
      </c>
      <c r="H1991" s="6"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6" t="str" cm="1">
        <f t="array" ref="G1992">IFERROR(INDEX(EmployeeData[Join Date], ROW() - 37), "")</f>
        <v/>
      </c>
      <c r="H1992" s="6"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6" t="str" cm="1">
        <f t="array" ref="G1993">IFERROR(INDEX(EmployeeData[Join Date], ROW() - 37), "")</f>
        <v/>
      </c>
      <c r="H1993" s="6"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6" t="str" cm="1">
        <f t="array" ref="G1994">IFERROR(INDEX(EmployeeData[Join Date], ROW() - 37), "")</f>
        <v/>
      </c>
      <c r="H1994" s="6"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6" t="str" cm="1">
        <f t="array" ref="G1995">IFERROR(INDEX(EmployeeData[Join Date], ROW() - 37), "")</f>
        <v/>
      </c>
      <c r="H1995" s="6"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6" t="str" cm="1">
        <f t="array" ref="G1996">IFERROR(INDEX(EmployeeData[Join Date], ROW() - 37), "")</f>
        <v/>
      </c>
      <c r="H1996" s="6"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6" t="str" cm="1">
        <f t="array" ref="G1997">IFERROR(INDEX(EmployeeData[Join Date], ROW() - 37), "")</f>
        <v/>
      </c>
      <c r="H1997" s="6"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6" t="str" cm="1">
        <f t="array" ref="G1998">IFERROR(INDEX(EmployeeData[Join Date], ROW() - 37), "")</f>
        <v/>
      </c>
      <c r="H1998" s="6"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6" t="str" cm="1">
        <f t="array" ref="G1999">IFERROR(INDEX(EmployeeData[Join Date], ROW() - 37), "")</f>
        <v/>
      </c>
      <c r="H1999" s="6"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6" t="str" cm="1">
        <f t="array" ref="G2000">IFERROR(INDEX(EmployeeData[Join Date], ROW() - 37), "")</f>
        <v/>
      </c>
      <c r="H2000" s="6"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6" t="str" cm="1">
        <f t="array" ref="G2001">IFERROR(INDEX(EmployeeData[Join Date], ROW() - 37), "")</f>
        <v/>
      </c>
      <c r="H2001" s="6"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6" t="str" cm="1">
        <f t="array" ref="G2002">IFERROR(INDEX(EmployeeData[Join Date], ROW() - 37), "")</f>
        <v/>
      </c>
      <c r="H2002" s="6"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6" t="str" cm="1">
        <f t="array" ref="G2003">IFERROR(INDEX(EmployeeData[Join Date], ROW() - 37), "")</f>
        <v/>
      </c>
      <c r="H2003" s="6"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6" t="str" cm="1">
        <f t="array" ref="G2004">IFERROR(INDEX(EmployeeData[Join Date], ROW() - 37), "")</f>
        <v/>
      </c>
      <c r="H2004" s="6"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6" t="str" cm="1">
        <f t="array" ref="G2005">IFERROR(INDEX(EmployeeData[Join Date], ROW() - 37), "")</f>
        <v/>
      </c>
      <c r="H2005" s="6"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6" t="str" cm="1">
        <f t="array" ref="G2006">IFERROR(INDEX(EmployeeData[Join Date], ROW() - 37), "")</f>
        <v/>
      </c>
      <c r="H2006" s="6"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6" t="str" cm="1">
        <f t="array" ref="G2007">IFERROR(INDEX(EmployeeData[Join Date], ROW() - 37), "")</f>
        <v/>
      </c>
      <c r="H2007" s="6"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6" t="str" cm="1">
        <f t="array" ref="G2008">IFERROR(INDEX(EmployeeData[Join Date], ROW() - 37), "")</f>
        <v/>
      </c>
      <c r="H2008" s="6"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6" t="str" cm="1">
        <f t="array" ref="G2009">IFERROR(INDEX(EmployeeData[Join Date], ROW() - 37), "")</f>
        <v/>
      </c>
      <c r="H2009" s="6"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6" t="str" cm="1">
        <f t="array" ref="G2010">IFERROR(INDEX(EmployeeData[Join Date], ROW() - 37), "")</f>
        <v/>
      </c>
      <c r="H2010" s="6"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6" t="str" cm="1">
        <f t="array" ref="G2011">IFERROR(INDEX(EmployeeData[Join Date], ROW() - 37), "")</f>
        <v/>
      </c>
      <c r="H2011" s="6"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6" t="str" cm="1">
        <f t="array" ref="G2012">IFERROR(INDEX(EmployeeData[Join Date], ROW() - 37), "")</f>
        <v/>
      </c>
      <c r="H2012" s="6"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6" t="str" cm="1">
        <f t="array" ref="G2013">IFERROR(INDEX(EmployeeData[Join Date], ROW() - 37), "")</f>
        <v/>
      </c>
      <c r="H2013" s="6"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6" t="str" cm="1">
        <f t="array" ref="G2014">IFERROR(INDEX(EmployeeData[Join Date], ROW() - 37), "")</f>
        <v/>
      </c>
      <c r="H2014" s="6"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6" t="str" cm="1">
        <f t="array" ref="G2015">IFERROR(INDEX(EmployeeData[Join Date], ROW() - 37), "")</f>
        <v/>
      </c>
      <c r="H2015" s="6"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6" t="str" cm="1">
        <f t="array" ref="G2016">IFERROR(INDEX(EmployeeData[Join Date], ROW() - 37), "")</f>
        <v/>
      </c>
      <c r="H2016" s="6"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6" t="str" cm="1">
        <f t="array" ref="G2017">IFERROR(INDEX(EmployeeData[Join Date], ROW() - 37), "")</f>
        <v/>
      </c>
      <c r="H2017" s="6"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6" t="str" cm="1">
        <f t="array" ref="G2018">IFERROR(INDEX(EmployeeData[Join Date], ROW() - 37), "")</f>
        <v/>
      </c>
      <c r="H2018" s="6"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6" t="str" cm="1">
        <f t="array" ref="G2019">IFERROR(INDEX(EmployeeData[Join Date], ROW() - 37), "")</f>
        <v/>
      </c>
      <c r="H2019" s="6"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6" t="str" cm="1">
        <f t="array" ref="G2020">IFERROR(INDEX(EmployeeData[Join Date], ROW() - 37), "")</f>
        <v/>
      </c>
      <c r="H2020" s="6"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6" t="str" cm="1">
        <f t="array" ref="G2021">IFERROR(INDEX(EmployeeData[Join Date], ROW() - 37), "")</f>
        <v/>
      </c>
      <c r="H2021" s="6"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6" t="str" cm="1">
        <f t="array" ref="G2022">IFERROR(INDEX(EmployeeData[Join Date], ROW() - 37), "")</f>
        <v/>
      </c>
      <c r="H2022" s="6"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6" t="str" cm="1">
        <f t="array" ref="G2023">IFERROR(INDEX(EmployeeData[Join Date], ROW() - 37), "")</f>
        <v/>
      </c>
      <c r="H2023" s="6"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6" t="str" cm="1">
        <f t="array" ref="G2024">IFERROR(INDEX(EmployeeData[Join Date], ROW() - 37), "")</f>
        <v/>
      </c>
      <c r="H2024" s="6"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6" t="str" cm="1">
        <f t="array" ref="G2025">IFERROR(INDEX(EmployeeData[Join Date], ROW() - 37), "")</f>
        <v/>
      </c>
      <c r="H2025" s="6"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6" t="str" cm="1">
        <f t="array" ref="G2026">IFERROR(INDEX(EmployeeData[Join Date], ROW() - 37), "")</f>
        <v/>
      </c>
      <c r="H2026" s="6"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6" t="str" cm="1">
        <f t="array" ref="G2027">IFERROR(INDEX(EmployeeData[Join Date], ROW() - 37), "")</f>
        <v/>
      </c>
      <c r="H2027" s="6"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6" t="str" cm="1">
        <f t="array" ref="G2028">IFERROR(INDEX(EmployeeData[Join Date], ROW() - 37), "")</f>
        <v/>
      </c>
      <c r="H2028" s="6"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6" t="str" cm="1">
        <f t="array" ref="G2029">IFERROR(INDEX(EmployeeData[Join Date], ROW() - 37), "")</f>
        <v/>
      </c>
      <c r="H2029" s="6"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6" t="str" cm="1">
        <f t="array" ref="G2030">IFERROR(INDEX(EmployeeData[Join Date], ROW() - 37), "")</f>
        <v/>
      </c>
      <c r="H2030" s="6"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6" t="str" cm="1">
        <f t="array" ref="G2031">IFERROR(INDEX(EmployeeData[Join Date], ROW() - 37), "")</f>
        <v/>
      </c>
      <c r="H2031" s="6"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6" t="str" cm="1">
        <f t="array" ref="G2032">IFERROR(INDEX(EmployeeData[Join Date], ROW() - 37), "")</f>
        <v/>
      </c>
      <c r="H2032" s="6"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6" t="str" cm="1">
        <f t="array" ref="G2033">IFERROR(INDEX(EmployeeData[Join Date], ROW() - 37), "")</f>
        <v/>
      </c>
      <c r="H2033" s="6"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6" t="str" cm="1">
        <f t="array" ref="G2034">IFERROR(INDEX(EmployeeData[Join Date], ROW() - 37), "")</f>
        <v/>
      </c>
      <c r="H2034" s="6"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6" t="str" cm="1">
        <f t="array" ref="G2035">IFERROR(INDEX(EmployeeData[Join Date], ROW() - 37), "")</f>
        <v/>
      </c>
      <c r="H2035" s="6"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6" t="str" cm="1">
        <f t="array" ref="G2036">IFERROR(INDEX(EmployeeData[Join Date], ROW() - 37), "")</f>
        <v/>
      </c>
      <c r="H2036" s="6"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6" t="str" cm="1">
        <f t="array" ref="G2037">IFERROR(INDEX(EmployeeData[Join Date], ROW() - 37), "")</f>
        <v/>
      </c>
      <c r="H2037" s="6"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6" t="str" cm="1">
        <f t="array" ref="G2038">IFERROR(INDEX(EmployeeData[Join Date], ROW() - 37), "")</f>
        <v/>
      </c>
      <c r="H2038" s="6"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6" t="str" cm="1">
        <f t="array" ref="G2039">IFERROR(INDEX(EmployeeData[Join Date], ROW() - 37), "")</f>
        <v/>
      </c>
      <c r="H2039" s="6"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6" t="str" cm="1">
        <f t="array" ref="G2040">IFERROR(INDEX(EmployeeData[Join Date], ROW() - 37), "")</f>
        <v/>
      </c>
      <c r="H2040" s="6"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6" t="str" cm="1">
        <f t="array" ref="G2041">IFERROR(INDEX(EmployeeData[Join Date], ROW() - 37), "")</f>
        <v/>
      </c>
      <c r="H2041" s="6"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6" t="str" cm="1">
        <f t="array" ref="G2042">IFERROR(INDEX(EmployeeData[Join Date], ROW() - 37), "")</f>
        <v/>
      </c>
      <c r="H2042" s="6"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6" t="str" cm="1">
        <f t="array" ref="G2043">IFERROR(INDEX(EmployeeData[Join Date], ROW() - 37), "")</f>
        <v/>
      </c>
      <c r="H2043" s="6"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6" t="str" cm="1">
        <f t="array" ref="G2044">IFERROR(INDEX(EmployeeData[Join Date], ROW() - 37), "")</f>
        <v/>
      </c>
      <c r="H2044" s="6"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6" t="str" cm="1">
        <f t="array" ref="G2045">IFERROR(INDEX(EmployeeData[Join Date], ROW() - 37), "")</f>
        <v/>
      </c>
      <c r="H2045" s="6"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6" t="str" cm="1">
        <f t="array" ref="G2046">IFERROR(INDEX(EmployeeData[Join Date], ROW() - 37), "")</f>
        <v/>
      </c>
      <c r="H2046" s="6"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6" t="str" cm="1">
        <f t="array" ref="G2047">IFERROR(INDEX(EmployeeData[Join Date], ROW() - 37), "")</f>
        <v/>
      </c>
      <c r="H2047" s="6"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6" t="str" cm="1">
        <f t="array" ref="G2048">IFERROR(INDEX(EmployeeData[Join Date], ROW() - 37), "")</f>
        <v/>
      </c>
      <c r="H2048" s="6"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6" t="str" cm="1">
        <f t="array" ref="G2049">IFERROR(INDEX(EmployeeData[Join Date], ROW() - 37), "")</f>
        <v/>
      </c>
      <c r="H2049" s="6"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6" t="str" cm="1">
        <f t="array" ref="G2050">IFERROR(INDEX(EmployeeData[Join Date], ROW() - 37), "")</f>
        <v/>
      </c>
      <c r="H2050" s="6"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6" t="str" cm="1">
        <f t="array" ref="G2051">IFERROR(INDEX(EmployeeData[Join Date], ROW() - 37), "")</f>
        <v/>
      </c>
      <c r="H2051" s="6"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6" t="str" cm="1">
        <f t="array" ref="G2052">IFERROR(INDEX(EmployeeData[Join Date], ROW() - 37), "")</f>
        <v/>
      </c>
      <c r="H2052" s="6"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6" t="str" cm="1">
        <f t="array" ref="G2053">IFERROR(INDEX(EmployeeData[Join Date], ROW() - 37), "")</f>
        <v/>
      </c>
      <c r="H2053" s="6"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6" t="str" cm="1">
        <f t="array" ref="G2054">IFERROR(INDEX(EmployeeData[Join Date], ROW() - 37), "")</f>
        <v/>
      </c>
      <c r="H2054" s="6"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6" t="str" cm="1">
        <f t="array" ref="G2055">IFERROR(INDEX(EmployeeData[Join Date], ROW() - 37), "")</f>
        <v/>
      </c>
      <c r="H2055" s="6"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6" t="str" cm="1">
        <f t="array" ref="G2056">IFERROR(INDEX(EmployeeData[Join Date], ROW() - 37), "")</f>
        <v/>
      </c>
      <c r="H2056" s="6"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6" t="str" cm="1">
        <f t="array" ref="G2057">IFERROR(INDEX(EmployeeData[Join Date], ROW() - 37), "")</f>
        <v/>
      </c>
      <c r="H2057" s="6"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6" t="str" cm="1">
        <f t="array" ref="G2058">IFERROR(INDEX(EmployeeData[Join Date], ROW() - 37), "")</f>
        <v/>
      </c>
      <c r="H2058" s="6"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6" t="str" cm="1">
        <f t="array" ref="G2059">IFERROR(INDEX(EmployeeData[Join Date], ROW() - 37), "")</f>
        <v/>
      </c>
      <c r="H2059" s="6"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6" t="str" cm="1">
        <f t="array" ref="G2060">IFERROR(INDEX(EmployeeData[Join Date], ROW() - 37), "")</f>
        <v/>
      </c>
      <c r="H2060" s="6"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6" t="str" cm="1">
        <f t="array" ref="G2061">IFERROR(INDEX(EmployeeData[Join Date], ROW() - 37), "")</f>
        <v/>
      </c>
      <c r="H2061" s="6"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6" t="str" cm="1">
        <f t="array" ref="G2062">IFERROR(INDEX(EmployeeData[Join Date], ROW() - 37), "")</f>
        <v/>
      </c>
      <c r="H2062" s="6"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6" t="str" cm="1">
        <f t="array" ref="G2063">IFERROR(INDEX(EmployeeData[Join Date], ROW() - 37), "")</f>
        <v/>
      </c>
      <c r="H2063" s="6"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6" t="str" cm="1">
        <f t="array" ref="G2064">IFERROR(INDEX(EmployeeData[Join Date], ROW() - 37), "")</f>
        <v/>
      </c>
      <c r="H2064" s="6"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6" t="str" cm="1">
        <f t="array" ref="G2065">IFERROR(INDEX(EmployeeData[Join Date], ROW() - 37), "")</f>
        <v/>
      </c>
      <c r="H2065" s="6"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6" t="str" cm="1">
        <f t="array" ref="G2066">IFERROR(INDEX(EmployeeData[Join Date], ROW() - 37), "")</f>
        <v/>
      </c>
      <c r="H2066" s="6"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6" t="str" cm="1">
        <f t="array" ref="G2067">IFERROR(INDEX(EmployeeData[Join Date], ROW() - 37), "")</f>
        <v/>
      </c>
      <c r="H2067" s="6"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6" t="str" cm="1">
        <f t="array" ref="G2068">IFERROR(INDEX(EmployeeData[Join Date], ROW() - 37), "")</f>
        <v/>
      </c>
      <c r="H2068" s="6"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6" t="str" cm="1">
        <f t="array" ref="G2069">IFERROR(INDEX(EmployeeData[Join Date], ROW() - 37), "")</f>
        <v/>
      </c>
      <c r="H2069" s="6"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6" t="str" cm="1">
        <f t="array" ref="G2070">IFERROR(INDEX(EmployeeData[Join Date], ROW() - 37), "")</f>
        <v/>
      </c>
      <c r="H2070" s="6"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6" t="str" cm="1">
        <f t="array" ref="G2071">IFERROR(INDEX(EmployeeData[Join Date], ROW() - 37), "")</f>
        <v/>
      </c>
      <c r="H2071" s="6"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6" t="str" cm="1">
        <f t="array" ref="G2072">IFERROR(INDEX(EmployeeData[Join Date], ROW() - 37), "")</f>
        <v/>
      </c>
      <c r="H2072" s="6"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6" t="str" cm="1">
        <f t="array" ref="G2073">IFERROR(INDEX(EmployeeData[Join Date], ROW() - 37), "")</f>
        <v/>
      </c>
      <c r="H2073" s="6"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6" t="str" cm="1">
        <f t="array" ref="G2074">IFERROR(INDEX(EmployeeData[Join Date], ROW() - 37), "")</f>
        <v/>
      </c>
      <c r="H2074" s="6"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6" t="str" cm="1">
        <f t="array" ref="G2075">IFERROR(INDEX(EmployeeData[Join Date], ROW() - 37), "")</f>
        <v/>
      </c>
      <c r="H2075" s="6"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6" t="str" cm="1">
        <f t="array" ref="G2076">IFERROR(INDEX(EmployeeData[Join Date], ROW() - 37), "")</f>
        <v/>
      </c>
      <c r="H2076" s="6"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6" t="str" cm="1">
        <f t="array" ref="G2077">IFERROR(INDEX(EmployeeData[Join Date], ROW() - 37), "")</f>
        <v/>
      </c>
      <c r="H2077" s="6"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6" t="str" cm="1">
        <f t="array" ref="G2078">IFERROR(INDEX(EmployeeData[Join Date], ROW() - 37), "")</f>
        <v/>
      </c>
      <c r="H2078" s="6"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6" t="str" cm="1">
        <f t="array" ref="G2079">IFERROR(INDEX(EmployeeData[Join Date], ROW() - 37), "")</f>
        <v/>
      </c>
      <c r="H2079" s="6"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6" t="str" cm="1">
        <f t="array" ref="G2080">IFERROR(INDEX(EmployeeData[Join Date], ROW() - 37), "")</f>
        <v/>
      </c>
      <c r="H2080" s="6"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6" t="str" cm="1">
        <f t="array" ref="G2081">IFERROR(INDEX(EmployeeData[Join Date], ROW() - 37), "")</f>
        <v/>
      </c>
      <c r="H2081" s="6"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6" t="str" cm="1">
        <f t="array" ref="G2082">IFERROR(INDEX(EmployeeData[Join Date], ROW() - 37), "")</f>
        <v/>
      </c>
      <c r="H2082" s="6"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6" t="str" cm="1">
        <f t="array" ref="G2083">IFERROR(INDEX(EmployeeData[Join Date], ROW() - 37), "")</f>
        <v/>
      </c>
      <c r="H2083" s="6"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6" t="str" cm="1">
        <f t="array" ref="G2084">IFERROR(INDEX(EmployeeData[Join Date], ROW() - 37), "")</f>
        <v/>
      </c>
      <c r="H2084" s="6"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6" t="str" cm="1">
        <f t="array" ref="G2085">IFERROR(INDEX(EmployeeData[Join Date], ROW() - 37), "")</f>
        <v/>
      </c>
      <c r="H2085" s="6"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6" t="str" cm="1">
        <f t="array" ref="G2086">IFERROR(INDEX(EmployeeData[Join Date], ROW() - 37), "")</f>
        <v/>
      </c>
      <c r="H2086" s="6"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6" t="str" cm="1">
        <f t="array" ref="G2087">IFERROR(INDEX(EmployeeData[Join Date], ROW() - 37), "")</f>
        <v/>
      </c>
      <c r="H2087" s="6"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6" t="str" cm="1">
        <f t="array" ref="G2088">IFERROR(INDEX(EmployeeData[Join Date], ROW() - 37), "")</f>
        <v/>
      </c>
      <c r="H2088" s="6"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6" t="str" cm="1">
        <f t="array" ref="G2089">IFERROR(INDEX(EmployeeData[Join Date], ROW() - 37), "")</f>
        <v/>
      </c>
      <c r="H2089" s="6"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6" t="str" cm="1">
        <f t="array" ref="G2090">IFERROR(INDEX(EmployeeData[Join Date], ROW() - 37), "")</f>
        <v/>
      </c>
      <c r="H2090" s="6"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6" t="str" cm="1">
        <f t="array" ref="G2091">IFERROR(INDEX(EmployeeData[Join Date], ROW() - 37), "")</f>
        <v/>
      </c>
      <c r="H2091" s="6"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6" t="str" cm="1">
        <f t="array" ref="G2092">IFERROR(INDEX(EmployeeData[Join Date], ROW() - 37), "")</f>
        <v/>
      </c>
      <c r="H2092" s="6"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6" t="str" cm="1">
        <f t="array" ref="G2093">IFERROR(INDEX(EmployeeData[Join Date], ROW() - 37), "")</f>
        <v/>
      </c>
      <c r="H2093" s="6"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6" t="str" cm="1">
        <f t="array" ref="G2094">IFERROR(INDEX(EmployeeData[Join Date], ROW() - 37), "")</f>
        <v/>
      </c>
      <c r="H2094" s="6"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6" t="str" cm="1">
        <f t="array" ref="G2095">IFERROR(INDEX(EmployeeData[Join Date], ROW() - 37), "")</f>
        <v/>
      </c>
      <c r="H2095" s="6"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6" t="str" cm="1">
        <f t="array" ref="G2096">IFERROR(INDEX(EmployeeData[Join Date], ROW() - 37), "")</f>
        <v/>
      </c>
      <c r="H2096" s="6"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6" t="str" cm="1">
        <f t="array" ref="G2097">IFERROR(INDEX(EmployeeData[Join Date], ROW() - 37), "")</f>
        <v/>
      </c>
      <c r="H2097" s="6"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6" t="str" cm="1">
        <f t="array" ref="G2098">IFERROR(INDEX(EmployeeData[Join Date], ROW() - 37), "")</f>
        <v/>
      </c>
      <c r="H2098" s="6"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6" t="str" cm="1">
        <f t="array" ref="G2099">IFERROR(INDEX(EmployeeData[Join Date], ROW() - 37), "")</f>
        <v/>
      </c>
      <c r="H2099" s="6"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6" t="str" cm="1">
        <f t="array" ref="G2100">IFERROR(INDEX(EmployeeData[Join Date], ROW() - 37), "")</f>
        <v/>
      </c>
      <c r="H2100" s="6"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6" t="str" cm="1">
        <f t="array" ref="G2101">IFERROR(INDEX(EmployeeData[Join Date], ROW() - 37), "")</f>
        <v/>
      </c>
      <c r="H2101" s="6"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6" t="str" cm="1">
        <f t="array" ref="G2102">IFERROR(INDEX(EmployeeData[Join Date], ROW() - 37), "")</f>
        <v/>
      </c>
      <c r="H2102" s="6"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6" t="str" cm="1">
        <f t="array" ref="G2103">IFERROR(INDEX(EmployeeData[Join Date], ROW() - 37), "")</f>
        <v/>
      </c>
      <c r="H2103" s="6"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6" t="str" cm="1">
        <f t="array" ref="G2104">IFERROR(INDEX(EmployeeData[Join Date], ROW() - 37), "")</f>
        <v/>
      </c>
      <c r="H2104" s="6"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6" t="str" cm="1">
        <f t="array" ref="G2105">IFERROR(INDEX(EmployeeData[Join Date], ROW() - 37), "")</f>
        <v/>
      </c>
      <c r="H2105" s="6"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6" t="str" cm="1">
        <f t="array" ref="G2106">IFERROR(INDEX(EmployeeData[Join Date], ROW() - 37), "")</f>
        <v/>
      </c>
      <c r="H2106" s="6"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6" t="str" cm="1">
        <f t="array" ref="G2107">IFERROR(INDEX(EmployeeData[Join Date], ROW() - 37), "")</f>
        <v/>
      </c>
      <c r="H2107" s="6"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6" t="str" cm="1">
        <f t="array" ref="G2108">IFERROR(INDEX(EmployeeData[Join Date], ROW() - 37), "")</f>
        <v/>
      </c>
      <c r="H2108" s="6"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6" t="str" cm="1">
        <f t="array" ref="G2109">IFERROR(INDEX(EmployeeData[Join Date], ROW() - 37), "")</f>
        <v/>
      </c>
      <c r="H2109" s="6"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6" t="str" cm="1">
        <f t="array" ref="G2110">IFERROR(INDEX(EmployeeData[Join Date], ROW() - 37), "")</f>
        <v/>
      </c>
      <c r="H2110" s="6"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6" t="str" cm="1">
        <f t="array" ref="G2111">IFERROR(INDEX(EmployeeData[Join Date], ROW() - 37), "")</f>
        <v/>
      </c>
      <c r="H2111" s="6"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6" t="str" cm="1">
        <f t="array" ref="G2112">IFERROR(INDEX(EmployeeData[Join Date], ROW() - 37), "")</f>
        <v/>
      </c>
      <c r="H2112" s="6"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6" t="str" cm="1">
        <f t="array" ref="G2113">IFERROR(INDEX(EmployeeData[Join Date], ROW() - 37), "")</f>
        <v/>
      </c>
      <c r="H2113" s="6"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6" t="str" cm="1">
        <f t="array" ref="G2114">IFERROR(INDEX(EmployeeData[Join Date], ROW() - 37), "")</f>
        <v/>
      </c>
      <c r="H2114" s="6"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6" t="str" cm="1">
        <f t="array" ref="G2115">IFERROR(INDEX(EmployeeData[Join Date], ROW() - 37), "")</f>
        <v/>
      </c>
      <c r="H2115" s="6"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6" t="str" cm="1">
        <f t="array" ref="G2116">IFERROR(INDEX(EmployeeData[Join Date], ROW() - 37), "")</f>
        <v/>
      </c>
      <c r="H2116" s="6"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6" t="str" cm="1">
        <f t="array" ref="G2117">IFERROR(INDEX(EmployeeData[Join Date], ROW() - 37), "")</f>
        <v/>
      </c>
      <c r="H2117" s="6"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6" t="str" cm="1">
        <f t="array" ref="G2118">IFERROR(INDEX(EmployeeData[Join Date], ROW() - 37), "")</f>
        <v/>
      </c>
      <c r="H2118" s="6"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6" t="str" cm="1">
        <f t="array" ref="G2119">IFERROR(INDEX(EmployeeData[Join Date], ROW() - 37), "")</f>
        <v/>
      </c>
      <c r="H2119" s="6"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6" t="str" cm="1">
        <f t="array" ref="G2120">IFERROR(INDEX(EmployeeData[Join Date], ROW() - 37), "")</f>
        <v/>
      </c>
      <c r="H2120" s="6"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6" t="str" cm="1">
        <f t="array" ref="G2121">IFERROR(INDEX(EmployeeData[Join Date], ROW() - 37), "")</f>
        <v/>
      </c>
      <c r="H2121" s="6"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6" t="str" cm="1">
        <f t="array" ref="G2122">IFERROR(INDEX(EmployeeData[Join Date], ROW() - 37), "")</f>
        <v/>
      </c>
      <c r="H2122" s="6"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6" t="str" cm="1">
        <f t="array" ref="G2123">IFERROR(INDEX(EmployeeData[Join Date], ROW() - 37), "")</f>
        <v/>
      </c>
      <c r="H2123" s="6"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6" t="str" cm="1">
        <f t="array" ref="G2124">IFERROR(INDEX(EmployeeData[Join Date], ROW() - 37), "")</f>
        <v/>
      </c>
      <c r="H2124" s="6"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6" t="str" cm="1">
        <f t="array" ref="G2125">IFERROR(INDEX(EmployeeData[Join Date], ROW() - 37), "")</f>
        <v/>
      </c>
      <c r="H2125" s="6"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6" t="str" cm="1">
        <f t="array" ref="G2126">IFERROR(INDEX(EmployeeData[Join Date], ROW() - 37), "")</f>
        <v/>
      </c>
      <c r="H2126" s="6"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6" t="str" cm="1">
        <f t="array" ref="G2127">IFERROR(INDEX(EmployeeData[Join Date], ROW() - 37), "")</f>
        <v/>
      </c>
      <c r="H2127" s="6"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6" t="str" cm="1">
        <f t="array" ref="G2128">IFERROR(INDEX(EmployeeData[Join Date], ROW() - 37), "")</f>
        <v/>
      </c>
      <c r="H2128" s="6"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6" t="str" cm="1">
        <f t="array" ref="G2129">IFERROR(INDEX(EmployeeData[Join Date], ROW() - 37), "")</f>
        <v/>
      </c>
      <c r="H2129" s="6"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6" t="str" cm="1">
        <f t="array" ref="G2130">IFERROR(INDEX(EmployeeData[Join Date], ROW() - 37), "")</f>
        <v/>
      </c>
      <c r="H2130" s="6"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6" t="str" cm="1">
        <f t="array" ref="G2131">IFERROR(INDEX(EmployeeData[Join Date], ROW() - 37), "")</f>
        <v/>
      </c>
      <c r="H2131" s="6"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6" t="str" cm="1">
        <f t="array" ref="G2132">IFERROR(INDEX(EmployeeData[Join Date], ROW() - 37), "")</f>
        <v/>
      </c>
      <c r="H2132" s="6"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6" t="str" cm="1">
        <f t="array" ref="G2133">IFERROR(INDEX(EmployeeData[Join Date], ROW() - 37), "")</f>
        <v/>
      </c>
      <c r="H2133" s="6"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6" t="str" cm="1">
        <f t="array" ref="G2134">IFERROR(INDEX(EmployeeData[Join Date], ROW() - 37), "")</f>
        <v/>
      </c>
      <c r="H2134" s="6"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6" t="str" cm="1">
        <f t="array" ref="G2135">IFERROR(INDEX(EmployeeData[Join Date], ROW() - 37), "")</f>
        <v/>
      </c>
      <c r="H2135" s="6"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6" t="str" cm="1">
        <f t="array" ref="G2136">IFERROR(INDEX(EmployeeData[Join Date], ROW() - 37), "")</f>
        <v/>
      </c>
      <c r="H2136" s="6"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6" t="str" cm="1">
        <f t="array" ref="G2137">IFERROR(INDEX(EmployeeData[Join Date], ROW() - 37), "")</f>
        <v/>
      </c>
      <c r="H2137" s="6"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6" t="str" cm="1">
        <f t="array" ref="G2138">IFERROR(INDEX(EmployeeData[Join Date], ROW() - 37), "")</f>
        <v/>
      </c>
      <c r="H2138" s="6"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6" t="str" cm="1">
        <f t="array" ref="G2139">IFERROR(INDEX(EmployeeData[Join Date], ROW() - 37), "")</f>
        <v/>
      </c>
      <c r="H2139" s="6"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6" t="str" cm="1">
        <f t="array" ref="G2140">IFERROR(INDEX(EmployeeData[Join Date], ROW() - 37), "")</f>
        <v/>
      </c>
      <c r="H2140" s="6"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6" t="str" cm="1">
        <f t="array" ref="G2141">IFERROR(INDEX(EmployeeData[Join Date], ROW() - 37), "")</f>
        <v/>
      </c>
      <c r="H2141" s="6"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6" t="str" cm="1">
        <f t="array" ref="G2142">IFERROR(INDEX(EmployeeData[Join Date], ROW() - 37), "")</f>
        <v/>
      </c>
      <c r="H2142" s="6"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6" t="str" cm="1">
        <f t="array" ref="G2143">IFERROR(INDEX(EmployeeData[Join Date], ROW() - 37), "")</f>
        <v/>
      </c>
      <c r="H2143" s="6"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6" t="str" cm="1">
        <f t="array" ref="G2144">IFERROR(INDEX(EmployeeData[Join Date], ROW() - 37), "")</f>
        <v/>
      </c>
      <c r="H2144" s="6"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6" t="str" cm="1">
        <f t="array" ref="G2145">IFERROR(INDEX(EmployeeData[Join Date], ROW() - 37), "")</f>
        <v/>
      </c>
      <c r="H2145" s="6"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6" t="str" cm="1">
        <f t="array" ref="G2146">IFERROR(INDEX(EmployeeData[Join Date], ROW() - 37), "")</f>
        <v/>
      </c>
      <c r="H2146" s="6"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6" t="str" cm="1">
        <f t="array" ref="G2147">IFERROR(INDEX(EmployeeData[Join Date], ROW() - 37), "")</f>
        <v/>
      </c>
      <c r="H2147" s="6"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6" t="str" cm="1">
        <f t="array" ref="G2148">IFERROR(INDEX(EmployeeData[Join Date], ROW() - 37), "")</f>
        <v/>
      </c>
      <c r="H2148" s="6"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6" t="str" cm="1">
        <f t="array" ref="G2149">IFERROR(INDEX(EmployeeData[Join Date], ROW() - 37), "")</f>
        <v/>
      </c>
      <c r="H2149" s="6"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6" t="str" cm="1">
        <f t="array" ref="G2150">IFERROR(INDEX(EmployeeData[Join Date], ROW() - 37), "")</f>
        <v/>
      </c>
      <c r="H2150" s="6"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6" t="str" cm="1">
        <f t="array" ref="G2151">IFERROR(INDEX(EmployeeData[Join Date], ROW() - 37), "")</f>
        <v/>
      </c>
      <c r="H2151" s="6"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6" t="str" cm="1">
        <f t="array" ref="G2152">IFERROR(INDEX(EmployeeData[Join Date], ROW() - 37), "")</f>
        <v/>
      </c>
      <c r="H2152" s="6"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6" t="str" cm="1">
        <f t="array" ref="G2153">IFERROR(INDEX(EmployeeData[Join Date], ROW() - 37), "")</f>
        <v/>
      </c>
      <c r="H2153" s="6"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6" t="str" cm="1">
        <f t="array" ref="G2154">IFERROR(INDEX(EmployeeData[Join Date], ROW() - 37), "")</f>
        <v/>
      </c>
      <c r="H2154" s="6"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6" t="str" cm="1">
        <f t="array" ref="G2155">IFERROR(INDEX(EmployeeData[Join Date], ROW() - 37), "")</f>
        <v/>
      </c>
      <c r="H2155" s="6"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6" t="str" cm="1">
        <f t="array" ref="G2156">IFERROR(INDEX(EmployeeData[Join Date], ROW() - 37), "")</f>
        <v/>
      </c>
      <c r="H2156" s="6"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6" t="str" cm="1">
        <f t="array" ref="G2157">IFERROR(INDEX(EmployeeData[Join Date], ROW() - 37), "")</f>
        <v/>
      </c>
      <c r="H2157" s="6"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6" t="str" cm="1">
        <f t="array" ref="G2158">IFERROR(INDEX(EmployeeData[Join Date], ROW() - 37), "")</f>
        <v/>
      </c>
      <c r="H2158" s="6"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6" t="str" cm="1">
        <f t="array" ref="G2159">IFERROR(INDEX(EmployeeData[Join Date], ROW() - 37), "")</f>
        <v/>
      </c>
      <c r="H2159" s="6"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6" t="str" cm="1">
        <f t="array" ref="G2160">IFERROR(INDEX(EmployeeData[Join Date], ROW() - 37), "")</f>
        <v/>
      </c>
      <c r="H2160" s="6"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6" t="str" cm="1">
        <f t="array" ref="G2161">IFERROR(INDEX(EmployeeData[Join Date], ROW() - 37), "")</f>
        <v/>
      </c>
      <c r="H2161" s="6"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6" t="str" cm="1">
        <f t="array" ref="G2162">IFERROR(INDEX(EmployeeData[Join Date], ROW() - 37), "")</f>
        <v/>
      </c>
      <c r="H2162" s="6"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6" t="str" cm="1">
        <f t="array" ref="G2163">IFERROR(INDEX(EmployeeData[Join Date], ROW() - 37), "")</f>
        <v/>
      </c>
      <c r="H2163" s="6"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6" t="str" cm="1">
        <f t="array" ref="G2164">IFERROR(INDEX(EmployeeData[Join Date], ROW() - 37), "")</f>
        <v/>
      </c>
      <c r="H2164" s="6"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6" t="str" cm="1">
        <f t="array" ref="G2165">IFERROR(INDEX(EmployeeData[Join Date], ROW() - 37), "")</f>
        <v/>
      </c>
      <c r="H2165" s="6"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6" t="str" cm="1">
        <f t="array" ref="G2166">IFERROR(INDEX(EmployeeData[Join Date], ROW() - 37), "")</f>
        <v/>
      </c>
      <c r="H2166" s="6"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6" t="str" cm="1">
        <f t="array" ref="G2167">IFERROR(INDEX(EmployeeData[Join Date], ROW() - 37), "")</f>
        <v/>
      </c>
      <c r="H2167" s="6"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6" t="str" cm="1">
        <f t="array" ref="G2168">IFERROR(INDEX(EmployeeData[Join Date], ROW() - 37), "")</f>
        <v/>
      </c>
      <c r="H2168" s="6"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6" t="str" cm="1">
        <f t="array" ref="G2169">IFERROR(INDEX(EmployeeData[Join Date], ROW() - 37), "")</f>
        <v/>
      </c>
      <c r="H2169" s="6"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6" t="str" cm="1">
        <f t="array" ref="G2170">IFERROR(INDEX(EmployeeData[Join Date], ROW() - 37), "")</f>
        <v/>
      </c>
      <c r="H2170" s="6"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6" t="str" cm="1">
        <f t="array" ref="G2171">IFERROR(INDEX(EmployeeData[Join Date], ROW() - 37), "")</f>
        <v/>
      </c>
      <c r="H2171" s="6"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6" t="str" cm="1">
        <f t="array" ref="G2172">IFERROR(INDEX(EmployeeData[Join Date], ROW() - 37), "")</f>
        <v/>
      </c>
      <c r="H2172" s="6"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6" t="str" cm="1">
        <f t="array" ref="G2173">IFERROR(INDEX(EmployeeData[Join Date], ROW() - 37), "")</f>
        <v/>
      </c>
      <c r="H2173" s="6"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6" t="str" cm="1">
        <f t="array" ref="G2174">IFERROR(INDEX(EmployeeData[Join Date], ROW() - 37), "")</f>
        <v/>
      </c>
      <c r="H2174" s="6"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6" t="str" cm="1">
        <f t="array" ref="G2175">IFERROR(INDEX(EmployeeData[Join Date], ROW() - 37), "")</f>
        <v/>
      </c>
      <c r="H2175" s="6"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6" t="str" cm="1">
        <f t="array" ref="G2176">IFERROR(INDEX(EmployeeData[Join Date], ROW() - 37), "")</f>
        <v/>
      </c>
      <c r="H2176" s="6"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6" t="str" cm="1">
        <f t="array" ref="G2177">IFERROR(INDEX(EmployeeData[Join Date], ROW() - 37), "")</f>
        <v/>
      </c>
      <c r="H2177" s="6"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6" t="str" cm="1">
        <f t="array" ref="G2178">IFERROR(INDEX(EmployeeData[Join Date], ROW() - 37), "")</f>
        <v/>
      </c>
      <c r="H2178" s="6"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6" t="str" cm="1">
        <f t="array" ref="G2179">IFERROR(INDEX(EmployeeData[Join Date], ROW() - 37), "")</f>
        <v/>
      </c>
      <c r="H2179" s="6"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6" t="str" cm="1">
        <f t="array" ref="G2180">IFERROR(INDEX(EmployeeData[Join Date], ROW() - 37), "")</f>
        <v/>
      </c>
      <c r="H2180" s="6"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6" t="str" cm="1">
        <f t="array" ref="G2181">IFERROR(INDEX(EmployeeData[Join Date], ROW() - 37), "")</f>
        <v/>
      </c>
      <c r="H2181" s="6"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6" t="str" cm="1">
        <f t="array" ref="G2182">IFERROR(INDEX(EmployeeData[Join Date], ROW() - 37), "")</f>
        <v/>
      </c>
      <c r="H2182" s="6"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6" t="str" cm="1">
        <f t="array" ref="G2183">IFERROR(INDEX(EmployeeData[Join Date], ROW() - 37), "")</f>
        <v/>
      </c>
      <c r="H2183" s="6"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6" t="str" cm="1">
        <f t="array" ref="G2184">IFERROR(INDEX(EmployeeData[Join Date], ROW() - 37), "")</f>
        <v/>
      </c>
      <c r="H2184" s="6"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6" t="str" cm="1">
        <f t="array" ref="G2185">IFERROR(INDEX(EmployeeData[Join Date], ROW() - 37), "")</f>
        <v/>
      </c>
      <c r="H2185" s="6"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6" t="str" cm="1">
        <f t="array" ref="G2186">IFERROR(INDEX(EmployeeData[Join Date], ROW() - 37), "")</f>
        <v/>
      </c>
      <c r="H2186" s="6"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6" t="str" cm="1">
        <f t="array" ref="G2187">IFERROR(INDEX(EmployeeData[Join Date], ROW() - 37), "")</f>
        <v/>
      </c>
      <c r="H2187" s="6"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6" t="str" cm="1">
        <f t="array" ref="G2188">IFERROR(INDEX(EmployeeData[Join Date], ROW() - 37), "")</f>
        <v/>
      </c>
      <c r="H2188" s="6"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6" t="str" cm="1">
        <f t="array" ref="G2189">IFERROR(INDEX(EmployeeData[Join Date], ROW() - 37), "")</f>
        <v/>
      </c>
      <c r="H2189" s="6"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6" t="str" cm="1">
        <f t="array" ref="G2190">IFERROR(INDEX(EmployeeData[Join Date], ROW() - 37), "")</f>
        <v/>
      </c>
      <c r="H2190" s="6"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6" t="str" cm="1">
        <f t="array" ref="G2191">IFERROR(INDEX(EmployeeData[Join Date], ROW() - 37), "")</f>
        <v/>
      </c>
      <c r="H2191" s="6"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6" t="str" cm="1">
        <f t="array" ref="G2192">IFERROR(INDEX(EmployeeData[Join Date], ROW() - 37), "")</f>
        <v/>
      </c>
      <c r="H2192" s="6"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6" t="str" cm="1">
        <f t="array" ref="G2193">IFERROR(INDEX(EmployeeData[Join Date], ROW() - 37), "")</f>
        <v/>
      </c>
      <c r="H2193" s="6"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6" t="str" cm="1">
        <f t="array" ref="G2194">IFERROR(INDEX(EmployeeData[Join Date], ROW() - 37), "")</f>
        <v/>
      </c>
      <c r="H2194" s="6"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6" t="str" cm="1">
        <f t="array" ref="G2195">IFERROR(INDEX(EmployeeData[Join Date], ROW() - 37), "")</f>
        <v/>
      </c>
      <c r="H2195" s="6"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6" t="str" cm="1">
        <f t="array" ref="G2196">IFERROR(INDEX(EmployeeData[Join Date], ROW() - 37), "")</f>
        <v/>
      </c>
      <c r="H2196" s="6"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6" t="str" cm="1">
        <f t="array" ref="G2197">IFERROR(INDEX(EmployeeData[Join Date], ROW() - 37), "")</f>
        <v/>
      </c>
      <c r="H2197" s="6"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6" t="str" cm="1">
        <f t="array" ref="G2198">IFERROR(INDEX(EmployeeData[Join Date], ROW() - 37), "")</f>
        <v/>
      </c>
      <c r="H2198" s="6"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6" t="str" cm="1">
        <f t="array" ref="G2199">IFERROR(INDEX(EmployeeData[Join Date], ROW() - 37), "")</f>
        <v/>
      </c>
      <c r="H2199" s="6"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6" t="str" cm="1">
        <f t="array" ref="G2200">IFERROR(INDEX(EmployeeData[Join Date], ROW() - 37), "")</f>
        <v/>
      </c>
      <c r="H2200" s="6"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6" t="str" cm="1">
        <f t="array" ref="G2201">IFERROR(INDEX(EmployeeData[Join Date], ROW() - 37), "")</f>
        <v/>
      </c>
      <c r="H2201" s="6"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6" t="str" cm="1">
        <f t="array" ref="G2202">IFERROR(INDEX(EmployeeData[Join Date], ROW() - 37), "")</f>
        <v/>
      </c>
      <c r="H2202" s="6"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6" t="str" cm="1">
        <f t="array" ref="G2203">IFERROR(INDEX(EmployeeData[Join Date], ROW() - 37), "")</f>
        <v/>
      </c>
      <c r="H2203" s="6"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6" t="str" cm="1">
        <f t="array" ref="G2204">IFERROR(INDEX(EmployeeData[Join Date], ROW() - 37), "")</f>
        <v/>
      </c>
      <c r="H2204" s="6"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6" t="str" cm="1">
        <f t="array" ref="G2205">IFERROR(INDEX(EmployeeData[Join Date], ROW() - 37), "")</f>
        <v/>
      </c>
      <c r="H2205" s="6"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6" t="str" cm="1">
        <f t="array" ref="G2206">IFERROR(INDEX(EmployeeData[Join Date], ROW() - 37), "")</f>
        <v/>
      </c>
      <c r="H2206" s="6"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6" t="str" cm="1">
        <f t="array" ref="G2207">IFERROR(INDEX(EmployeeData[Join Date], ROW() - 37), "")</f>
        <v/>
      </c>
      <c r="H2207" s="6"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6" t="str" cm="1">
        <f t="array" ref="G2208">IFERROR(INDEX(EmployeeData[Join Date], ROW() - 37), "")</f>
        <v/>
      </c>
      <c r="H2208" s="6"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6" t="str" cm="1">
        <f t="array" ref="G2209">IFERROR(INDEX(EmployeeData[Join Date], ROW() - 37), "")</f>
        <v/>
      </c>
      <c r="H2209" s="6"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6" t="str" cm="1">
        <f t="array" ref="G2210">IFERROR(INDEX(EmployeeData[Join Date], ROW() - 37), "")</f>
        <v/>
      </c>
      <c r="H2210" s="6"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6" t="str" cm="1">
        <f t="array" ref="G2211">IFERROR(INDEX(EmployeeData[Join Date], ROW() - 37), "")</f>
        <v/>
      </c>
      <c r="H2211" s="6"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6" t="str" cm="1">
        <f t="array" ref="G2212">IFERROR(INDEX(EmployeeData[Join Date], ROW() - 37), "")</f>
        <v/>
      </c>
      <c r="H2212" s="6"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6" t="str" cm="1">
        <f t="array" ref="G2213">IFERROR(INDEX(EmployeeData[Join Date], ROW() - 37), "")</f>
        <v/>
      </c>
      <c r="H2213" s="6"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6" t="str" cm="1">
        <f t="array" ref="G2214">IFERROR(INDEX(EmployeeData[Join Date], ROW() - 37), "")</f>
        <v/>
      </c>
      <c r="H2214" s="6"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6" t="str" cm="1">
        <f t="array" ref="G2215">IFERROR(INDEX(EmployeeData[Join Date], ROW() - 37), "")</f>
        <v/>
      </c>
      <c r="H2215" s="6"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6" t="str" cm="1">
        <f t="array" ref="G2216">IFERROR(INDEX(EmployeeData[Join Date], ROW() - 37), "")</f>
        <v/>
      </c>
      <c r="H2216" s="6"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6" t="str" cm="1">
        <f t="array" ref="G2217">IFERROR(INDEX(EmployeeData[Join Date], ROW() - 37), "")</f>
        <v/>
      </c>
      <c r="H2217" s="6"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6" t="str" cm="1">
        <f t="array" ref="G2218">IFERROR(INDEX(EmployeeData[Join Date], ROW() - 37), "")</f>
        <v/>
      </c>
      <c r="H2218" s="6"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6" t="str" cm="1">
        <f t="array" ref="G2219">IFERROR(INDEX(EmployeeData[Join Date], ROW() - 37), "")</f>
        <v/>
      </c>
      <c r="H2219" s="6"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6" t="str" cm="1">
        <f t="array" ref="G2220">IFERROR(INDEX(EmployeeData[Join Date], ROW() - 37), "")</f>
        <v/>
      </c>
      <c r="H2220" s="6"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6" t="str" cm="1">
        <f t="array" ref="G2221">IFERROR(INDEX(EmployeeData[Join Date], ROW() - 37), "")</f>
        <v/>
      </c>
      <c r="H2221" s="6"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6" t="str" cm="1">
        <f t="array" ref="G2222">IFERROR(INDEX(EmployeeData[Join Date], ROW() - 37), "")</f>
        <v/>
      </c>
      <c r="H2222" s="6"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6" t="str" cm="1">
        <f t="array" ref="G2223">IFERROR(INDEX(EmployeeData[Join Date], ROW() - 37), "")</f>
        <v/>
      </c>
      <c r="H2223" s="6"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6" t="str" cm="1">
        <f t="array" ref="G2224">IFERROR(INDEX(EmployeeData[Join Date], ROW() - 37), "")</f>
        <v/>
      </c>
      <c r="H2224" s="6"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6" t="str" cm="1">
        <f t="array" ref="G2225">IFERROR(INDEX(EmployeeData[Join Date], ROW() - 37), "")</f>
        <v/>
      </c>
      <c r="H2225" s="6"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6" t="str" cm="1">
        <f t="array" ref="G2226">IFERROR(INDEX(EmployeeData[Join Date], ROW() - 37), "")</f>
        <v/>
      </c>
      <c r="H2226" s="6"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6" t="str" cm="1">
        <f t="array" ref="G2227">IFERROR(INDEX(EmployeeData[Join Date], ROW() - 37), "")</f>
        <v/>
      </c>
      <c r="H2227" s="6"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6" t="str" cm="1">
        <f t="array" ref="G2228">IFERROR(INDEX(EmployeeData[Join Date], ROW() - 37), "")</f>
        <v/>
      </c>
      <c r="H2228" s="6"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6" t="str" cm="1">
        <f t="array" ref="G2229">IFERROR(INDEX(EmployeeData[Join Date], ROW() - 37), "")</f>
        <v/>
      </c>
      <c r="H2229" s="6"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6" t="str" cm="1">
        <f t="array" ref="G2230">IFERROR(INDEX(EmployeeData[Join Date], ROW() - 37), "")</f>
        <v/>
      </c>
      <c r="H2230" s="6"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6" t="str" cm="1">
        <f t="array" ref="G2231">IFERROR(INDEX(EmployeeData[Join Date], ROW() - 37), "")</f>
        <v/>
      </c>
      <c r="H2231" s="6"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6" t="str" cm="1">
        <f t="array" ref="G2232">IFERROR(INDEX(EmployeeData[Join Date], ROW() - 37), "")</f>
        <v/>
      </c>
      <c r="H2232" s="6"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6" t="str" cm="1">
        <f t="array" ref="G2233">IFERROR(INDEX(EmployeeData[Join Date], ROW() - 37), "")</f>
        <v/>
      </c>
      <c r="H2233" s="6"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6" t="str" cm="1">
        <f t="array" ref="G2234">IFERROR(INDEX(EmployeeData[Join Date], ROW() - 37), "")</f>
        <v/>
      </c>
      <c r="H2234" s="6"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6" t="str" cm="1">
        <f t="array" ref="G2235">IFERROR(INDEX(EmployeeData[Join Date], ROW() - 37), "")</f>
        <v/>
      </c>
      <c r="H2235" s="6"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6" t="str" cm="1">
        <f t="array" ref="G2236">IFERROR(INDEX(EmployeeData[Join Date], ROW() - 37), "")</f>
        <v/>
      </c>
      <c r="H2236" s="6"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6" t="str" cm="1">
        <f t="array" ref="G2237">IFERROR(INDEX(EmployeeData[Join Date], ROW() - 37), "")</f>
        <v/>
      </c>
      <c r="H2237" s="6"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6" t="str" cm="1">
        <f t="array" ref="G2238">IFERROR(INDEX(EmployeeData[Join Date], ROW() - 37), "")</f>
        <v/>
      </c>
      <c r="H2238" s="6"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6" t="str" cm="1">
        <f t="array" ref="G2239">IFERROR(INDEX(EmployeeData[Join Date], ROW() - 37), "")</f>
        <v/>
      </c>
      <c r="H2239" s="6"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6" t="str" cm="1">
        <f t="array" ref="G2240">IFERROR(INDEX(EmployeeData[Join Date], ROW() - 37), "")</f>
        <v/>
      </c>
      <c r="H2240" s="6"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6" t="str" cm="1">
        <f t="array" ref="G2241">IFERROR(INDEX(EmployeeData[Join Date], ROW() - 37), "")</f>
        <v/>
      </c>
      <c r="H2241" s="6"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6" t="str" cm="1">
        <f t="array" ref="G2242">IFERROR(INDEX(EmployeeData[Join Date], ROW() - 37), "")</f>
        <v/>
      </c>
      <c r="H2242" s="6"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6" t="str" cm="1">
        <f t="array" ref="G2243">IFERROR(INDEX(EmployeeData[Join Date], ROW() - 37), "")</f>
        <v/>
      </c>
      <c r="H2243" s="6"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6" t="str" cm="1">
        <f t="array" ref="G2244">IFERROR(INDEX(EmployeeData[Join Date], ROW() - 37), "")</f>
        <v/>
      </c>
      <c r="H2244" s="6"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6" t="str" cm="1">
        <f t="array" ref="G2245">IFERROR(INDEX(EmployeeData[Join Date], ROW() - 37), "")</f>
        <v/>
      </c>
      <c r="H2245" s="6"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6" t="str" cm="1">
        <f t="array" ref="G2246">IFERROR(INDEX(EmployeeData[Join Date], ROW() - 37), "")</f>
        <v/>
      </c>
      <c r="H2246" s="6"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6" t="str" cm="1">
        <f t="array" ref="G2247">IFERROR(INDEX(EmployeeData[Join Date], ROW() - 37), "")</f>
        <v/>
      </c>
      <c r="H2247" s="6"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6" t="str" cm="1">
        <f t="array" ref="G2248">IFERROR(INDEX(EmployeeData[Join Date], ROW() - 37), "")</f>
        <v/>
      </c>
      <c r="H2248" s="6"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6" t="str" cm="1">
        <f t="array" ref="G2249">IFERROR(INDEX(EmployeeData[Join Date], ROW() - 37), "")</f>
        <v/>
      </c>
      <c r="H2249" s="6"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6" t="str" cm="1">
        <f t="array" ref="G2250">IFERROR(INDEX(EmployeeData[Join Date], ROW() - 37), "")</f>
        <v/>
      </c>
      <c r="H2250" s="6"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6" t="str" cm="1">
        <f t="array" ref="G2251">IFERROR(INDEX(EmployeeData[Join Date], ROW() - 37), "")</f>
        <v/>
      </c>
      <c r="H2251" s="6"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6" t="str" cm="1">
        <f t="array" ref="G2252">IFERROR(INDEX(EmployeeData[Join Date], ROW() - 37), "")</f>
        <v/>
      </c>
      <c r="H2252" s="6"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6" t="str" cm="1">
        <f t="array" ref="G2253">IFERROR(INDEX(EmployeeData[Join Date], ROW() - 37), "")</f>
        <v/>
      </c>
      <c r="H2253" s="6"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6" t="str" cm="1">
        <f t="array" ref="G2254">IFERROR(INDEX(EmployeeData[Join Date], ROW() - 37), "")</f>
        <v/>
      </c>
      <c r="H2254" s="6"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6" t="str" cm="1">
        <f t="array" ref="G2255">IFERROR(INDEX(EmployeeData[Join Date], ROW() - 37), "")</f>
        <v/>
      </c>
      <c r="H2255" s="6"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6" t="str" cm="1">
        <f t="array" ref="G2256">IFERROR(INDEX(EmployeeData[Join Date], ROW() - 37), "")</f>
        <v/>
      </c>
      <c r="H2256" s="6"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6" t="str" cm="1">
        <f t="array" ref="G2257">IFERROR(INDEX(EmployeeData[Join Date], ROW() - 37), "")</f>
        <v/>
      </c>
      <c r="H2257" s="6"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6" t="str" cm="1">
        <f t="array" ref="G2258">IFERROR(INDEX(EmployeeData[Join Date], ROW() - 37), "")</f>
        <v/>
      </c>
      <c r="H2258" s="6"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6" t="str" cm="1">
        <f t="array" ref="G2259">IFERROR(INDEX(EmployeeData[Join Date], ROW() - 37), "")</f>
        <v/>
      </c>
      <c r="H2259" s="6"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6" t="str" cm="1">
        <f t="array" ref="G2260">IFERROR(INDEX(EmployeeData[Join Date], ROW() - 37), "")</f>
        <v/>
      </c>
      <c r="H2260" s="6"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6" t="str" cm="1">
        <f t="array" ref="G2261">IFERROR(INDEX(EmployeeData[Join Date], ROW() - 37), "")</f>
        <v/>
      </c>
      <c r="H2261" s="6"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6" t="str" cm="1">
        <f t="array" ref="G2262">IFERROR(INDEX(EmployeeData[Join Date], ROW() - 37), "")</f>
        <v/>
      </c>
      <c r="H2262" s="6"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6" t="str" cm="1">
        <f t="array" ref="G2263">IFERROR(INDEX(EmployeeData[Join Date], ROW() - 37), "")</f>
        <v/>
      </c>
      <c r="H2263" s="6"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6" t="str" cm="1">
        <f t="array" ref="G2264">IFERROR(INDEX(EmployeeData[Join Date], ROW() - 37), "")</f>
        <v/>
      </c>
      <c r="H2264" s="6"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6" t="str" cm="1">
        <f t="array" ref="G2265">IFERROR(INDEX(EmployeeData[Join Date], ROW() - 37), "")</f>
        <v/>
      </c>
      <c r="H2265" s="6"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6" t="str" cm="1">
        <f t="array" ref="G2266">IFERROR(INDEX(EmployeeData[Join Date], ROW() - 37), "")</f>
        <v/>
      </c>
      <c r="H2266" s="6"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6" t="str" cm="1">
        <f t="array" ref="G2267">IFERROR(INDEX(EmployeeData[Join Date], ROW() - 37), "")</f>
        <v/>
      </c>
      <c r="H2267" s="6"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6" t="str" cm="1">
        <f t="array" ref="G2268">IFERROR(INDEX(EmployeeData[Join Date], ROW() - 37), "")</f>
        <v/>
      </c>
      <c r="H2268" s="6"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6" t="str" cm="1">
        <f t="array" ref="G2269">IFERROR(INDEX(EmployeeData[Join Date], ROW() - 37), "")</f>
        <v/>
      </c>
      <c r="H2269" s="6"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6" t="str" cm="1">
        <f t="array" ref="G2270">IFERROR(INDEX(EmployeeData[Join Date], ROW() - 37), "")</f>
        <v/>
      </c>
      <c r="H2270" s="6"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6" t="str" cm="1">
        <f t="array" ref="G2271">IFERROR(INDEX(EmployeeData[Join Date], ROW() - 37), "")</f>
        <v/>
      </c>
      <c r="H2271" s="6"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6" t="str" cm="1">
        <f t="array" ref="G2272">IFERROR(INDEX(EmployeeData[Join Date], ROW() - 37), "")</f>
        <v/>
      </c>
      <c r="H2272" s="6"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6" t="str" cm="1">
        <f t="array" ref="G2273">IFERROR(INDEX(EmployeeData[Join Date], ROW() - 37), "")</f>
        <v/>
      </c>
      <c r="H2273" s="6"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6" t="str" cm="1">
        <f t="array" ref="G2274">IFERROR(INDEX(EmployeeData[Join Date], ROW() - 37), "")</f>
        <v/>
      </c>
      <c r="H2274" s="6"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6" t="str" cm="1">
        <f t="array" ref="G2275">IFERROR(INDEX(EmployeeData[Join Date], ROW() - 37), "")</f>
        <v/>
      </c>
      <c r="H2275" s="6"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6" t="str" cm="1">
        <f t="array" ref="G2276">IFERROR(INDEX(EmployeeData[Join Date], ROW() - 37), "")</f>
        <v/>
      </c>
      <c r="H2276" s="6"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6" t="str" cm="1">
        <f t="array" ref="G2277">IFERROR(INDEX(EmployeeData[Join Date], ROW() - 37), "")</f>
        <v/>
      </c>
      <c r="H2277" s="6"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6" t="str" cm="1">
        <f t="array" ref="G2278">IFERROR(INDEX(EmployeeData[Join Date], ROW() - 37), "")</f>
        <v/>
      </c>
      <c r="H2278" s="6"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6" t="str" cm="1">
        <f t="array" ref="G2279">IFERROR(INDEX(EmployeeData[Join Date], ROW() - 37), "")</f>
        <v/>
      </c>
      <c r="H2279" s="6"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6" t="str" cm="1">
        <f t="array" ref="G2280">IFERROR(INDEX(EmployeeData[Join Date], ROW() - 37), "")</f>
        <v/>
      </c>
      <c r="H2280" s="6"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6" t="str" cm="1">
        <f t="array" ref="G2281">IFERROR(INDEX(EmployeeData[Join Date], ROW() - 37), "")</f>
        <v/>
      </c>
      <c r="H2281" s="6"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6" t="str" cm="1">
        <f t="array" ref="G2282">IFERROR(INDEX(EmployeeData[Join Date], ROW() - 37), "")</f>
        <v/>
      </c>
      <c r="H2282" s="6"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6" t="str" cm="1">
        <f t="array" ref="G2283">IFERROR(INDEX(EmployeeData[Join Date], ROW() - 37), "")</f>
        <v/>
      </c>
      <c r="H2283" s="6"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6" t="str" cm="1">
        <f t="array" ref="G2284">IFERROR(INDEX(EmployeeData[Join Date], ROW() - 37), "")</f>
        <v/>
      </c>
      <c r="H2284" s="6"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6" t="str" cm="1">
        <f t="array" ref="G2285">IFERROR(INDEX(EmployeeData[Join Date], ROW() - 37), "")</f>
        <v/>
      </c>
      <c r="H2285" s="6"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6" t="str" cm="1">
        <f t="array" ref="G2286">IFERROR(INDEX(EmployeeData[Join Date], ROW() - 37), "")</f>
        <v/>
      </c>
      <c r="H2286" s="6"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6" t="str" cm="1">
        <f t="array" ref="G2287">IFERROR(INDEX(EmployeeData[Join Date], ROW() - 37), "")</f>
        <v/>
      </c>
      <c r="H2287" s="6"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6" t="str" cm="1">
        <f t="array" ref="G2288">IFERROR(INDEX(EmployeeData[Join Date], ROW() - 37), "")</f>
        <v/>
      </c>
      <c r="H2288" s="6"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6" t="str" cm="1">
        <f t="array" ref="G2289">IFERROR(INDEX(EmployeeData[Join Date], ROW() - 37), "")</f>
        <v/>
      </c>
      <c r="H2289" s="6"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6" t="str" cm="1">
        <f t="array" ref="G2290">IFERROR(INDEX(EmployeeData[Join Date], ROW() - 37), "")</f>
        <v/>
      </c>
      <c r="H2290" s="6"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6" t="str" cm="1">
        <f t="array" ref="G2291">IFERROR(INDEX(EmployeeData[Join Date], ROW() - 37), "")</f>
        <v/>
      </c>
      <c r="H2291" s="6"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6" t="str" cm="1">
        <f t="array" ref="G2292">IFERROR(INDEX(EmployeeData[Join Date], ROW() - 37), "")</f>
        <v/>
      </c>
      <c r="H2292" s="6"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6" t="str" cm="1">
        <f t="array" ref="G2293">IFERROR(INDEX(EmployeeData[Join Date], ROW() - 37), "")</f>
        <v/>
      </c>
      <c r="H2293" s="6"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6" t="str" cm="1">
        <f t="array" ref="G2294">IFERROR(INDEX(EmployeeData[Join Date], ROW() - 37), "")</f>
        <v/>
      </c>
      <c r="H2294" s="6"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6" t="str" cm="1">
        <f t="array" ref="G2295">IFERROR(INDEX(EmployeeData[Join Date], ROW() - 37), "")</f>
        <v/>
      </c>
      <c r="H2295" s="6"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6" t="str" cm="1">
        <f t="array" ref="G2296">IFERROR(INDEX(EmployeeData[Join Date], ROW() - 37), "")</f>
        <v/>
      </c>
      <c r="H2296" s="6"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6" t="str" cm="1">
        <f t="array" ref="G2297">IFERROR(INDEX(EmployeeData[Join Date], ROW() - 37), "")</f>
        <v/>
      </c>
      <c r="H2297" s="6"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6" t="str" cm="1">
        <f t="array" ref="G2298">IFERROR(INDEX(EmployeeData[Join Date], ROW() - 37), "")</f>
        <v/>
      </c>
      <c r="H2298" s="6"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6" t="str" cm="1">
        <f t="array" ref="G2299">IFERROR(INDEX(EmployeeData[Join Date], ROW() - 37), "")</f>
        <v/>
      </c>
      <c r="H2299" s="6"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6" t="str" cm="1">
        <f t="array" ref="G2300">IFERROR(INDEX(EmployeeData[Join Date], ROW() - 37), "")</f>
        <v/>
      </c>
      <c r="H2300" s="6"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6" t="str" cm="1">
        <f t="array" ref="G2301">IFERROR(INDEX(EmployeeData[Join Date], ROW() - 37), "")</f>
        <v/>
      </c>
      <c r="H2301" s="6"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6" t="str" cm="1">
        <f t="array" ref="G2302">IFERROR(INDEX(EmployeeData[Join Date], ROW() - 37), "")</f>
        <v/>
      </c>
      <c r="H2302" s="6"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6" t="str" cm="1">
        <f t="array" ref="G2303">IFERROR(INDEX(EmployeeData[Join Date], ROW() - 37), "")</f>
        <v/>
      </c>
      <c r="H2303" s="6"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6" t="str" cm="1">
        <f t="array" ref="G2304">IFERROR(INDEX(EmployeeData[Join Date], ROW() - 37), "")</f>
        <v/>
      </c>
      <c r="H2304" s="6"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6" t="str" cm="1">
        <f t="array" ref="G2305">IFERROR(INDEX(EmployeeData[Join Date], ROW() - 37), "")</f>
        <v/>
      </c>
      <c r="H2305" s="6"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6" t="str" cm="1">
        <f t="array" ref="G2306">IFERROR(INDEX(EmployeeData[Join Date], ROW() - 37), "")</f>
        <v/>
      </c>
      <c r="H2306" s="6"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6" t="str" cm="1">
        <f t="array" ref="G2307">IFERROR(INDEX(EmployeeData[Join Date], ROW() - 37), "")</f>
        <v/>
      </c>
      <c r="H2307" s="6"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6" t="str" cm="1">
        <f t="array" ref="G2308">IFERROR(INDEX(EmployeeData[Join Date], ROW() - 37), "")</f>
        <v/>
      </c>
      <c r="H2308" s="6"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6" t="str" cm="1">
        <f t="array" ref="G2309">IFERROR(INDEX(EmployeeData[Join Date], ROW() - 37), "")</f>
        <v/>
      </c>
      <c r="H2309" s="6"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6" t="str" cm="1">
        <f t="array" ref="G2310">IFERROR(INDEX(EmployeeData[Join Date], ROW() - 37), "")</f>
        <v/>
      </c>
      <c r="H2310" s="6"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6" t="str" cm="1">
        <f t="array" ref="G2311">IFERROR(INDEX(EmployeeData[Join Date], ROW() - 37), "")</f>
        <v/>
      </c>
      <c r="H2311" s="6"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6" t="str" cm="1">
        <f t="array" ref="G2312">IFERROR(INDEX(EmployeeData[Join Date], ROW() - 37), "")</f>
        <v/>
      </c>
      <c r="H2312" s="6"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6" t="str" cm="1">
        <f t="array" ref="G2313">IFERROR(INDEX(EmployeeData[Join Date], ROW() - 37), "")</f>
        <v/>
      </c>
      <c r="H2313" s="6"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6" t="str" cm="1">
        <f t="array" ref="G2314">IFERROR(INDEX(EmployeeData[Join Date], ROW() - 37), "")</f>
        <v/>
      </c>
      <c r="H2314" s="6"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6" t="str" cm="1">
        <f t="array" ref="G2315">IFERROR(INDEX(EmployeeData[Join Date], ROW() - 37), "")</f>
        <v/>
      </c>
      <c r="H2315" s="6"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6" t="str" cm="1">
        <f t="array" ref="G2316">IFERROR(INDEX(EmployeeData[Join Date], ROW() - 37), "")</f>
        <v/>
      </c>
      <c r="H2316" s="6"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6" t="str" cm="1">
        <f t="array" ref="G2317">IFERROR(INDEX(EmployeeData[Join Date], ROW() - 37), "")</f>
        <v/>
      </c>
      <c r="H2317" s="6"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6" t="str" cm="1">
        <f t="array" ref="G2318">IFERROR(INDEX(EmployeeData[Join Date], ROW() - 37), "")</f>
        <v/>
      </c>
      <c r="H2318" s="6"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6" t="str" cm="1">
        <f t="array" ref="G2319">IFERROR(INDEX(EmployeeData[Join Date], ROW() - 37), "")</f>
        <v/>
      </c>
      <c r="H2319" s="6"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6" t="str" cm="1">
        <f t="array" ref="G2320">IFERROR(INDEX(EmployeeData[Join Date], ROW() - 37), "")</f>
        <v/>
      </c>
      <c r="H2320" s="6"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6" t="str" cm="1">
        <f t="array" ref="G2321">IFERROR(INDEX(EmployeeData[Join Date], ROW() - 37), "")</f>
        <v/>
      </c>
      <c r="H2321" s="6"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6" t="str" cm="1">
        <f t="array" ref="G2322">IFERROR(INDEX(EmployeeData[Join Date], ROW() - 37), "")</f>
        <v/>
      </c>
      <c r="H2322" s="6"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6" t="str" cm="1">
        <f t="array" ref="G2323">IFERROR(INDEX(EmployeeData[Join Date], ROW() - 37), "")</f>
        <v/>
      </c>
      <c r="H2323" s="6"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6" t="str" cm="1">
        <f t="array" ref="G2324">IFERROR(INDEX(EmployeeData[Join Date], ROW() - 37), "")</f>
        <v/>
      </c>
      <c r="H2324" s="6"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6" t="str" cm="1">
        <f t="array" ref="G2325">IFERROR(INDEX(EmployeeData[Join Date], ROW() - 37), "")</f>
        <v/>
      </c>
      <c r="H2325" s="6"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6" t="str" cm="1">
        <f t="array" ref="G2326">IFERROR(INDEX(EmployeeData[Join Date], ROW() - 37), "")</f>
        <v/>
      </c>
      <c r="H2326" s="6"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6" t="str" cm="1">
        <f t="array" ref="G2327">IFERROR(INDEX(EmployeeData[Join Date], ROW() - 37), "")</f>
        <v/>
      </c>
      <c r="H2327" s="6"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6" t="str" cm="1">
        <f t="array" ref="G2328">IFERROR(INDEX(EmployeeData[Join Date], ROW() - 37), "")</f>
        <v/>
      </c>
      <c r="H2328" s="6"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6" t="str" cm="1">
        <f t="array" ref="G2329">IFERROR(INDEX(EmployeeData[Join Date], ROW() - 37), "")</f>
        <v/>
      </c>
      <c r="H2329" s="6"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6" t="str" cm="1">
        <f t="array" ref="G2330">IFERROR(INDEX(EmployeeData[Join Date], ROW() - 37), "")</f>
        <v/>
      </c>
      <c r="H2330" s="6"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6" t="str" cm="1">
        <f t="array" ref="G2331">IFERROR(INDEX(EmployeeData[Join Date], ROW() - 37), "")</f>
        <v/>
      </c>
      <c r="H2331" s="6"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6" t="str" cm="1">
        <f t="array" ref="G2332">IFERROR(INDEX(EmployeeData[Join Date], ROW() - 37), "")</f>
        <v/>
      </c>
      <c r="H2332" s="6"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6" t="str" cm="1">
        <f t="array" ref="G2333">IFERROR(INDEX(EmployeeData[Join Date], ROW() - 37), "")</f>
        <v/>
      </c>
      <c r="H2333" s="6"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6" t="str" cm="1">
        <f t="array" ref="G2334">IFERROR(INDEX(EmployeeData[Join Date], ROW() - 37), "")</f>
        <v/>
      </c>
      <c r="H2334" s="6"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6" t="str" cm="1">
        <f t="array" ref="G2335">IFERROR(INDEX(EmployeeData[Join Date], ROW() - 37), "")</f>
        <v/>
      </c>
      <c r="H2335" s="6"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6" t="str" cm="1">
        <f t="array" ref="G2336">IFERROR(INDEX(EmployeeData[Join Date], ROW() - 37), "")</f>
        <v/>
      </c>
      <c r="H2336" s="6"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6" t="str" cm="1">
        <f t="array" ref="G2337">IFERROR(INDEX(EmployeeData[Join Date], ROW() - 37), "")</f>
        <v/>
      </c>
      <c r="H2337" s="6"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6" t="str" cm="1">
        <f t="array" ref="G2338">IFERROR(INDEX(EmployeeData[Join Date], ROW() - 37), "")</f>
        <v/>
      </c>
      <c r="H2338" s="6"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6" t="str" cm="1">
        <f t="array" ref="G2339">IFERROR(INDEX(EmployeeData[Join Date], ROW() - 37), "")</f>
        <v/>
      </c>
      <c r="H2339" s="6"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6" t="str" cm="1">
        <f t="array" ref="G2340">IFERROR(INDEX(EmployeeData[Join Date], ROW() - 37), "")</f>
        <v/>
      </c>
      <c r="H2340" s="6"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6" t="str" cm="1">
        <f t="array" ref="G2341">IFERROR(INDEX(EmployeeData[Join Date], ROW() - 37), "")</f>
        <v/>
      </c>
      <c r="H2341" s="6"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6" t="str" cm="1">
        <f t="array" ref="G2342">IFERROR(INDEX(EmployeeData[Join Date], ROW() - 37), "")</f>
        <v/>
      </c>
      <c r="H2342" s="6"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6" t="str" cm="1">
        <f t="array" ref="G2343">IFERROR(INDEX(EmployeeData[Join Date], ROW() - 37), "")</f>
        <v/>
      </c>
      <c r="H2343" s="6"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6" t="str" cm="1">
        <f t="array" ref="G2344">IFERROR(INDEX(EmployeeData[Join Date], ROW() - 37), "")</f>
        <v/>
      </c>
      <c r="H2344" s="6"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6" t="str" cm="1">
        <f t="array" ref="G2345">IFERROR(INDEX(EmployeeData[Join Date], ROW() - 37), "")</f>
        <v/>
      </c>
      <c r="H2345" s="6"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6" t="str" cm="1">
        <f t="array" ref="G2346">IFERROR(INDEX(EmployeeData[Join Date], ROW() - 37), "")</f>
        <v/>
      </c>
      <c r="H2346" s="6"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6" t="str" cm="1">
        <f t="array" ref="G2347">IFERROR(INDEX(EmployeeData[Join Date], ROW() - 37), "")</f>
        <v/>
      </c>
      <c r="H2347" s="6"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6" t="str" cm="1">
        <f t="array" ref="G2348">IFERROR(INDEX(EmployeeData[Join Date], ROW() - 37), "")</f>
        <v/>
      </c>
      <c r="H2348" s="6"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6" t="str" cm="1">
        <f t="array" ref="G2349">IFERROR(INDEX(EmployeeData[Join Date], ROW() - 37), "")</f>
        <v/>
      </c>
      <c r="H2349" s="6"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6" t="str" cm="1">
        <f t="array" ref="G2350">IFERROR(INDEX(EmployeeData[Join Date], ROW() - 37), "")</f>
        <v/>
      </c>
      <c r="H2350" s="6"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6" t="str" cm="1">
        <f t="array" ref="G2351">IFERROR(INDEX(EmployeeData[Join Date], ROW() - 37), "")</f>
        <v/>
      </c>
      <c r="H2351" s="6"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6" t="str" cm="1">
        <f t="array" ref="G2352">IFERROR(INDEX(EmployeeData[Join Date], ROW() - 37), "")</f>
        <v/>
      </c>
      <c r="H2352" s="6"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6" t="str" cm="1">
        <f t="array" ref="G2353">IFERROR(INDEX(EmployeeData[Join Date], ROW() - 37), "")</f>
        <v/>
      </c>
      <c r="H2353" s="6"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6" t="str" cm="1">
        <f t="array" ref="G2354">IFERROR(INDEX(EmployeeData[Join Date], ROW() - 37), "")</f>
        <v/>
      </c>
      <c r="H2354" s="6"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6" t="str" cm="1">
        <f t="array" ref="G2355">IFERROR(INDEX(EmployeeData[Join Date], ROW() - 37), "")</f>
        <v/>
      </c>
      <c r="H2355" s="6"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6" t="str" cm="1">
        <f t="array" ref="G2356">IFERROR(INDEX(EmployeeData[Join Date], ROW() - 37), "")</f>
        <v/>
      </c>
      <c r="H2356" s="6"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6" t="str" cm="1">
        <f t="array" ref="G2357">IFERROR(INDEX(EmployeeData[Join Date], ROW() - 37), "")</f>
        <v/>
      </c>
      <c r="H2357" s="6"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6" t="str" cm="1">
        <f t="array" ref="G2358">IFERROR(INDEX(EmployeeData[Join Date], ROW() - 37), "")</f>
        <v/>
      </c>
      <c r="H2358" s="6"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6" t="str" cm="1">
        <f t="array" ref="G2359">IFERROR(INDEX(EmployeeData[Join Date], ROW() - 37), "")</f>
        <v/>
      </c>
      <c r="H2359" s="6"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6" t="str" cm="1">
        <f t="array" ref="G2360">IFERROR(INDEX(EmployeeData[Join Date], ROW() - 37), "")</f>
        <v/>
      </c>
      <c r="H2360" s="6"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6" t="str" cm="1">
        <f t="array" ref="G2361">IFERROR(INDEX(EmployeeData[Join Date], ROW() - 37), "")</f>
        <v/>
      </c>
      <c r="H2361" s="6"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6" t="str" cm="1">
        <f t="array" ref="G2362">IFERROR(INDEX(EmployeeData[Join Date], ROW() - 37), "")</f>
        <v/>
      </c>
      <c r="H2362" s="6"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6" t="str" cm="1">
        <f t="array" ref="G2363">IFERROR(INDEX(EmployeeData[Join Date], ROW() - 37), "")</f>
        <v/>
      </c>
      <c r="H2363" s="6"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6" t="str" cm="1">
        <f t="array" ref="G2364">IFERROR(INDEX(EmployeeData[Join Date], ROW() - 37), "")</f>
        <v/>
      </c>
      <c r="H2364" s="6"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6" t="str" cm="1">
        <f t="array" ref="G2365">IFERROR(INDEX(EmployeeData[Join Date], ROW() - 37), "")</f>
        <v/>
      </c>
      <c r="H2365" s="6"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6" t="str" cm="1">
        <f t="array" ref="G2366">IFERROR(INDEX(EmployeeData[Join Date], ROW() - 37), "")</f>
        <v/>
      </c>
      <c r="H2366" s="6"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6" t="str" cm="1">
        <f t="array" ref="G2367">IFERROR(INDEX(EmployeeData[Join Date], ROW() - 37), "")</f>
        <v/>
      </c>
      <c r="H2367" s="6"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6" t="str" cm="1">
        <f t="array" ref="G2368">IFERROR(INDEX(EmployeeData[Join Date], ROW() - 37), "")</f>
        <v/>
      </c>
      <c r="H2368" s="6"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6" t="str" cm="1">
        <f t="array" ref="G2369">IFERROR(INDEX(EmployeeData[Join Date], ROW() - 37), "")</f>
        <v/>
      </c>
      <c r="H2369" s="6"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6" t="str" cm="1">
        <f t="array" ref="G2370">IFERROR(INDEX(EmployeeData[Join Date], ROW() - 37), "")</f>
        <v/>
      </c>
      <c r="H2370" s="6"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6" t="str" cm="1">
        <f t="array" ref="G2371">IFERROR(INDEX(EmployeeData[Join Date], ROW() - 37), "")</f>
        <v/>
      </c>
      <c r="H2371" s="6"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6" t="str" cm="1">
        <f t="array" ref="G2372">IFERROR(INDEX(EmployeeData[Join Date], ROW() - 37), "")</f>
        <v/>
      </c>
      <c r="H2372" s="6"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6" t="str" cm="1">
        <f t="array" ref="G2373">IFERROR(INDEX(EmployeeData[Join Date], ROW() - 37), "")</f>
        <v/>
      </c>
      <c r="H2373" s="6"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6" t="str" cm="1">
        <f t="array" ref="G2374">IFERROR(INDEX(EmployeeData[Join Date], ROW() - 37), "")</f>
        <v/>
      </c>
      <c r="H2374" s="6"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6" t="str" cm="1">
        <f t="array" ref="G2375">IFERROR(INDEX(EmployeeData[Join Date], ROW() - 37), "")</f>
        <v/>
      </c>
      <c r="H2375" s="6"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6" t="str" cm="1">
        <f t="array" ref="G2376">IFERROR(INDEX(EmployeeData[Join Date], ROW() - 37), "")</f>
        <v/>
      </c>
      <c r="H2376" s="6"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6" t="str" cm="1">
        <f t="array" ref="G2377">IFERROR(INDEX(EmployeeData[Join Date], ROW() - 37), "")</f>
        <v/>
      </c>
      <c r="H2377" s="6"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6" t="str" cm="1">
        <f t="array" ref="G2378">IFERROR(INDEX(EmployeeData[Join Date], ROW() - 37), "")</f>
        <v/>
      </c>
      <c r="H2378" s="6"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6" t="str" cm="1">
        <f t="array" ref="G2379">IFERROR(INDEX(EmployeeData[Join Date], ROW() - 37), "")</f>
        <v/>
      </c>
      <c r="H2379" s="6"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6" t="str" cm="1">
        <f t="array" ref="G2380">IFERROR(INDEX(EmployeeData[Join Date], ROW() - 37), "")</f>
        <v/>
      </c>
      <c r="H2380" s="6"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6" t="str" cm="1">
        <f t="array" ref="G2381">IFERROR(INDEX(EmployeeData[Join Date], ROW() - 37), "")</f>
        <v/>
      </c>
      <c r="H2381" s="6"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6" t="str" cm="1">
        <f t="array" ref="G2382">IFERROR(INDEX(EmployeeData[Join Date], ROW() - 37), "")</f>
        <v/>
      </c>
      <c r="H2382" s="6"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6" t="str" cm="1">
        <f t="array" ref="G2383">IFERROR(INDEX(EmployeeData[Join Date], ROW() - 37), "")</f>
        <v/>
      </c>
      <c r="H2383" s="6"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6" t="str" cm="1">
        <f t="array" ref="G2384">IFERROR(INDEX(EmployeeData[Join Date], ROW() - 37), "")</f>
        <v/>
      </c>
      <c r="H2384" s="6"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6" t="str" cm="1">
        <f t="array" ref="G2385">IFERROR(INDEX(EmployeeData[Join Date], ROW() - 37), "")</f>
        <v/>
      </c>
      <c r="H2385" s="6"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6" t="str" cm="1">
        <f t="array" ref="G2386">IFERROR(INDEX(EmployeeData[Join Date], ROW() - 37), "")</f>
        <v/>
      </c>
      <c r="H2386" s="6"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6" t="str" cm="1">
        <f t="array" ref="G2387">IFERROR(INDEX(EmployeeData[Join Date], ROW() - 37), "")</f>
        <v/>
      </c>
      <c r="H2387" s="6"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6" t="str" cm="1">
        <f t="array" ref="G2388">IFERROR(INDEX(EmployeeData[Join Date], ROW() - 37), "")</f>
        <v/>
      </c>
      <c r="H2388" s="6"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6" t="str" cm="1">
        <f t="array" ref="G2389">IFERROR(INDEX(EmployeeData[Join Date], ROW() - 37), "")</f>
        <v/>
      </c>
      <c r="H2389" s="6"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6" t="str" cm="1">
        <f t="array" ref="G2390">IFERROR(INDEX(EmployeeData[Join Date], ROW() - 37), "")</f>
        <v/>
      </c>
      <c r="H2390" s="6"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6" t="str" cm="1">
        <f t="array" ref="G2391">IFERROR(INDEX(EmployeeData[Join Date], ROW() - 37), "")</f>
        <v/>
      </c>
      <c r="H2391" s="6"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6" t="str" cm="1">
        <f t="array" ref="G2392">IFERROR(INDEX(EmployeeData[Join Date], ROW() - 37), "")</f>
        <v/>
      </c>
      <c r="H2392" s="6"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6" t="str" cm="1">
        <f t="array" ref="G2393">IFERROR(INDEX(EmployeeData[Join Date], ROW() - 37), "")</f>
        <v/>
      </c>
      <c r="H2393" s="6"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6" t="str" cm="1">
        <f t="array" ref="G2394">IFERROR(INDEX(EmployeeData[Join Date], ROW() - 37), "")</f>
        <v/>
      </c>
      <c r="H2394" s="6"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6" t="str" cm="1">
        <f t="array" ref="G2395">IFERROR(INDEX(EmployeeData[Join Date], ROW() - 37), "")</f>
        <v/>
      </c>
      <c r="H2395" s="6"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6" t="str" cm="1">
        <f t="array" ref="G2396">IFERROR(INDEX(EmployeeData[Join Date], ROW() - 37), "")</f>
        <v/>
      </c>
      <c r="H2396" s="6"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6" t="str" cm="1">
        <f t="array" ref="G2397">IFERROR(INDEX(EmployeeData[Join Date], ROW() - 37), "")</f>
        <v/>
      </c>
      <c r="H2397" s="6"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6" t="str" cm="1">
        <f t="array" ref="G2398">IFERROR(INDEX(EmployeeData[Join Date], ROW() - 37), "")</f>
        <v/>
      </c>
      <c r="H2398" s="6"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6" t="str" cm="1">
        <f t="array" ref="G2399">IFERROR(INDEX(EmployeeData[Join Date], ROW() - 37), "")</f>
        <v/>
      </c>
      <c r="H2399" s="6"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6" t="str" cm="1">
        <f t="array" ref="G2400">IFERROR(INDEX(EmployeeData[Join Date], ROW() - 37), "")</f>
        <v/>
      </c>
      <c r="H2400" s="6"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6" t="str" cm="1">
        <f t="array" ref="G2401">IFERROR(INDEX(EmployeeData[Join Date], ROW() - 37), "")</f>
        <v/>
      </c>
      <c r="H2401" s="6"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6" t="str" cm="1">
        <f t="array" ref="G2402">IFERROR(INDEX(EmployeeData[Join Date], ROW() - 37), "")</f>
        <v/>
      </c>
      <c r="H2402" s="6"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6" t="str" cm="1">
        <f t="array" ref="G2403">IFERROR(INDEX(EmployeeData[Join Date], ROW() - 37), "")</f>
        <v/>
      </c>
      <c r="H2403" s="6"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6" t="str" cm="1">
        <f t="array" ref="G2404">IFERROR(INDEX(EmployeeData[Join Date], ROW() - 37), "")</f>
        <v/>
      </c>
      <c r="H2404" s="6"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6" t="str" cm="1">
        <f t="array" ref="G2405">IFERROR(INDEX(EmployeeData[Join Date], ROW() - 37), "")</f>
        <v/>
      </c>
      <c r="H2405" s="6"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6" t="str" cm="1">
        <f t="array" ref="G2406">IFERROR(INDEX(EmployeeData[Join Date], ROW() - 37), "")</f>
        <v/>
      </c>
      <c r="H2406" s="6"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6" t="str" cm="1">
        <f t="array" ref="G2407">IFERROR(INDEX(EmployeeData[Join Date], ROW() - 37), "")</f>
        <v/>
      </c>
      <c r="H2407" s="6"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6" t="str" cm="1">
        <f t="array" ref="G2408">IFERROR(INDEX(EmployeeData[Join Date], ROW() - 37), "")</f>
        <v/>
      </c>
      <c r="H2408" s="6"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6" t="str" cm="1">
        <f t="array" ref="G2409">IFERROR(INDEX(EmployeeData[Join Date], ROW() - 37), "")</f>
        <v/>
      </c>
      <c r="H2409" s="6"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6" t="str" cm="1">
        <f t="array" ref="G2410">IFERROR(INDEX(EmployeeData[Join Date], ROW() - 37), "")</f>
        <v/>
      </c>
      <c r="H2410" s="6"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6" t="str" cm="1">
        <f t="array" ref="G2411">IFERROR(INDEX(EmployeeData[Join Date], ROW() - 37), "")</f>
        <v/>
      </c>
      <c r="H2411" s="6"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6" t="str" cm="1">
        <f t="array" ref="G2412">IFERROR(INDEX(EmployeeData[Join Date], ROW() - 37), "")</f>
        <v/>
      </c>
      <c r="H2412" s="6"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6" t="str" cm="1">
        <f t="array" ref="G2413">IFERROR(INDEX(EmployeeData[Join Date], ROW() - 37), "")</f>
        <v/>
      </c>
      <c r="H2413" s="6"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6" t="str" cm="1">
        <f t="array" ref="G2414">IFERROR(INDEX(EmployeeData[Join Date], ROW() - 37), "")</f>
        <v/>
      </c>
      <c r="H2414" s="6"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6" t="str" cm="1">
        <f t="array" ref="G2415">IFERROR(INDEX(EmployeeData[Join Date], ROW() - 37), "")</f>
        <v/>
      </c>
      <c r="H2415" s="6"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6" t="str" cm="1">
        <f t="array" ref="G2416">IFERROR(INDEX(EmployeeData[Join Date], ROW() - 37), "")</f>
        <v/>
      </c>
      <c r="H2416" s="6"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6" t="str" cm="1">
        <f t="array" ref="G2417">IFERROR(INDEX(EmployeeData[Join Date], ROW() - 37), "")</f>
        <v/>
      </c>
      <c r="H2417" s="6"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6" t="str" cm="1">
        <f t="array" ref="G2418">IFERROR(INDEX(EmployeeData[Join Date], ROW() - 37), "")</f>
        <v/>
      </c>
      <c r="H2418" s="6"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6" t="str" cm="1">
        <f t="array" ref="G2419">IFERROR(INDEX(EmployeeData[Join Date], ROW() - 37), "")</f>
        <v/>
      </c>
      <c r="H2419" s="6"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6" t="str" cm="1">
        <f t="array" ref="G2420">IFERROR(INDEX(EmployeeData[Join Date], ROW() - 37), "")</f>
        <v/>
      </c>
      <c r="H2420" s="6"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6" t="str" cm="1">
        <f t="array" ref="G2421">IFERROR(INDEX(EmployeeData[Join Date], ROW() - 37), "")</f>
        <v/>
      </c>
      <c r="H2421" s="6"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6" t="str" cm="1">
        <f t="array" ref="G2422">IFERROR(INDEX(EmployeeData[Join Date], ROW() - 37), "")</f>
        <v/>
      </c>
      <c r="H2422" s="6"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6" t="str" cm="1">
        <f t="array" ref="G2423">IFERROR(INDEX(EmployeeData[Join Date], ROW() - 37), "")</f>
        <v/>
      </c>
      <c r="H2423" s="6"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6" t="str" cm="1">
        <f t="array" ref="G2424">IFERROR(INDEX(EmployeeData[Join Date], ROW() - 37), "")</f>
        <v/>
      </c>
      <c r="H2424" s="6"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6" t="str" cm="1">
        <f t="array" ref="G2425">IFERROR(INDEX(EmployeeData[Join Date], ROW() - 37), "")</f>
        <v/>
      </c>
      <c r="H2425" s="6"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6" t="str" cm="1">
        <f t="array" ref="G2426">IFERROR(INDEX(EmployeeData[Join Date], ROW() - 37), "")</f>
        <v/>
      </c>
      <c r="H2426" s="6"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6" t="str" cm="1">
        <f t="array" ref="G2427">IFERROR(INDEX(EmployeeData[Join Date], ROW() - 37), "")</f>
        <v/>
      </c>
      <c r="H2427" s="6"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6" t="str" cm="1">
        <f t="array" ref="G2428">IFERROR(INDEX(EmployeeData[Join Date], ROW() - 37), "")</f>
        <v/>
      </c>
      <c r="H2428" s="6"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6" t="str" cm="1">
        <f t="array" ref="G2429">IFERROR(INDEX(EmployeeData[Join Date], ROW() - 37), "")</f>
        <v/>
      </c>
      <c r="H2429" s="6"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6" t="str" cm="1">
        <f t="array" ref="G2430">IFERROR(INDEX(EmployeeData[Join Date], ROW() - 37), "")</f>
        <v/>
      </c>
      <c r="H2430" s="6"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6" t="str" cm="1">
        <f t="array" ref="G2431">IFERROR(INDEX(EmployeeData[Join Date], ROW() - 37), "")</f>
        <v/>
      </c>
      <c r="H2431" s="6"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6" t="str" cm="1">
        <f t="array" ref="G2432">IFERROR(INDEX(EmployeeData[Join Date], ROW() - 37), "")</f>
        <v/>
      </c>
      <c r="H2432" s="6"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6" t="str" cm="1">
        <f t="array" ref="G2433">IFERROR(INDEX(EmployeeData[Join Date], ROW() - 37), "")</f>
        <v/>
      </c>
      <c r="H2433" s="6"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6" t="str" cm="1">
        <f t="array" ref="G2434">IFERROR(INDEX(EmployeeData[Join Date], ROW() - 37), "")</f>
        <v/>
      </c>
      <c r="H2434" s="6"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6" t="str" cm="1">
        <f t="array" ref="G2435">IFERROR(INDEX(EmployeeData[Join Date], ROW() - 37), "")</f>
        <v/>
      </c>
      <c r="H2435" s="6"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6" t="str" cm="1">
        <f t="array" ref="G2436">IFERROR(INDEX(EmployeeData[Join Date], ROW() - 37), "")</f>
        <v/>
      </c>
      <c r="H2436" s="6"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6" t="str" cm="1">
        <f t="array" ref="G2437">IFERROR(INDEX(EmployeeData[Join Date], ROW() - 37), "")</f>
        <v/>
      </c>
      <c r="H2437" s="6"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6" t="str" cm="1">
        <f t="array" ref="G2438">IFERROR(INDEX(EmployeeData[Join Date], ROW() - 37), "")</f>
        <v/>
      </c>
      <c r="H2438" s="6"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6" t="str" cm="1">
        <f t="array" ref="G2439">IFERROR(INDEX(EmployeeData[Join Date], ROW() - 37), "")</f>
        <v/>
      </c>
      <c r="H2439" s="6"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6" t="str" cm="1">
        <f t="array" ref="G2440">IFERROR(INDEX(EmployeeData[Join Date], ROW() - 37), "")</f>
        <v/>
      </c>
      <c r="H2440" s="6"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6" t="str" cm="1">
        <f t="array" ref="G2441">IFERROR(INDEX(EmployeeData[Join Date], ROW() - 37), "")</f>
        <v/>
      </c>
      <c r="H2441" s="6"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6" t="str" cm="1">
        <f t="array" ref="G2442">IFERROR(INDEX(EmployeeData[Join Date], ROW() - 37), "")</f>
        <v/>
      </c>
      <c r="H2442" s="6"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6" t="str" cm="1">
        <f t="array" ref="G2443">IFERROR(INDEX(EmployeeData[Join Date], ROW() - 37), "")</f>
        <v/>
      </c>
      <c r="H2443" s="6"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6" t="str" cm="1">
        <f t="array" ref="G2444">IFERROR(INDEX(EmployeeData[Join Date], ROW() - 37), "")</f>
        <v/>
      </c>
      <c r="H2444" s="6"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6" t="str" cm="1">
        <f t="array" ref="G2445">IFERROR(INDEX(EmployeeData[Join Date], ROW() - 37), "")</f>
        <v/>
      </c>
      <c r="H2445" s="6"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6" t="str" cm="1">
        <f t="array" ref="G2446">IFERROR(INDEX(EmployeeData[Join Date], ROW() - 37), "")</f>
        <v/>
      </c>
      <c r="H2446" s="6"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6" t="str" cm="1">
        <f t="array" ref="G2447">IFERROR(INDEX(EmployeeData[Join Date], ROW() - 37), "")</f>
        <v/>
      </c>
      <c r="H2447" s="6"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6" t="str" cm="1">
        <f t="array" ref="G2448">IFERROR(INDEX(EmployeeData[Join Date], ROW() - 37), "")</f>
        <v/>
      </c>
      <c r="H2448" s="6"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6" t="str" cm="1">
        <f t="array" ref="G2449">IFERROR(INDEX(EmployeeData[Join Date], ROW() - 37), "")</f>
        <v/>
      </c>
      <c r="H2449" s="6"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6" t="str" cm="1">
        <f t="array" ref="G2450">IFERROR(INDEX(EmployeeData[Join Date], ROW() - 37), "")</f>
        <v/>
      </c>
      <c r="H2450" s="6"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6" t="str" cm="1">
        <f t="array" ref="G2451">IFERROR(INDEX(EmployeeData[Join Date], ROW() - 37), "")</f>
        <v/>
      </c>
      <c r="H2451" s="6"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6" t="str" cm="1">
        <f t="array" ref="G2452">IFERROR(INDEX(EmployeeData[Join Date], ROW() - 37), "")</f>
        <v/>
      </c>
      <c r="H2452" s="6"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6" t="str" cm="1">
        <f t="array" ref="G2453">IFERROR(INDEX(EmployeeData[Join Date], ROW() - 37), "")</f>
        <v/>
      </c>
      <c r="H2453" s="6"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6" t="str" cm="1">
        <f t="array" ref="G2454">IFERROR(INDEX(EmployeeData[Join Date], ROW() - 37), "")</f>
        <v/>
      </c>
      <c r="H2454" s="6"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6" t="str" cm="1">
        <f t="array" ref="G2455">IFERROR(INDEX(EmployeeData[Join Date], ROW() - 37), "")</f>
        <v/>
      </c>
      <c r="H2455" s="6"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6" t="str" cm="1">
        <f t="array" ref="G2456">IFERROR(INDEX(EmployeeData[Join Date], ROW() - 37), "")</f>
        <v/>
      </c>
      <c r="H2456" s="6"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6" t="str" cm="1">
        <f t="array" ref="G2457">IFERROR(INDEX(EmployeeData[Join Date], ROW() - 37), "")</f>
        <v/>
      </c>
      <c r="H2457" s="6"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6" t="str" cm="1">
        <f t="array" ref="G2458">IFERROR(INDEX(EmployeeData[Join Date], ROW() - 37), "")</f>
        <v/>
      </c>
      <c r="H2458" s="6"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6" t="str" cm="1">
        <f t="array" ref="G2459">IFERROR(INDEX(EmployeeData[Join Date], ROW() - 37), "")</f>
        <v/>
      </c>
      <c r="H2459" s="6"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6" t="str" cm="1">
        <f t="array" ref="G2460">IFERROR(INDEX(EmployeeData[Join Date], ROW() - 37), "")</f>
        <v/>
      </c>
      <c r="H2460" s="6"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6" t="str" cm="1">
        <f t="array" ref="G2461">IFERROR(INDEX(EmployeeData[Join Date], ROW() - 37), "")</f>
        <v/>
      </c>
      <c r="H2461" s="6"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6" t="str" cm="1">
        <f t="array" ref="G2462">IFERROR(INDEX(EmployeeData[Join Date], ROW() - 37), "")</f>
        <v/>
      </c>
      <c r="H2462" s="6"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6" t="str" cm="1">
        <f t="array" ref="G2463">IFERROR(INDEX(EmployeeData[Join Date], ROW() - 37), "")</f>
        <v/>
      </c>
      <c r="H2463" s="6"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6" t="str" cm="1">
        <f t="array" ref="G2464">IFERROR(INDEX(EmployeeData[Join Date], ROW() - 37), "")</f>
        <v/>
      </c>
      <c r="H2464" s="6"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6" t="str" cm="1">
        <f t="array" ref="G2465">IFERROR(INDEX(EmployeeData[Join Date], ROW() - 37), "")</f>
        <v/>
      </c>
      <c r="H2465" s="6"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6" t="str" cm="1">
        <f t="array" ref="G2466">IFERROR(INDEX(EmployeeData[Join Date], ROW() - 37), "")</f>
        <v/>
      </c>
      <c r="H2466" s="6"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6" t="str" cm="1">
        <f t="array" ref="G2467">IFERROR(INDEX(EmployeeData[Join Date], ROW() - 37), "")</f>
        <v/>
      </c>
      <c r="H2467" s="6"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6" t="str" cm="1">
        <f t="array" ref="G2468">IFERROR(INDEX(EmployeeData[Join Date], ROW() - 37), "")</f>
        <v/>
      </c>
      <c r="H2468" s="6"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6" t="str" cm="1">
        <f t="array" ref="G2469">IFERROR(INDEX(EmployeeData[Join Date], ROW() - 37), "")</f>
        <v/>
      </c>
      <c r="H2469" s="6"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6" t="str" cm="1">
        <f t="array" ref="G2470">IFERROR(INDEX(EmployeeData[Join Date], ROW() - 37), "")</f>
        <v/>
      </c>
      <c r="H2470" s="6"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6" t="str" cm="1">
        <f t="array" ref="G2471">IFERROR(INDEX(EmployeeData[Join Date], ROW() - 37), "")</f>
        <v/>
      </c>
      <c r="H2471" s="6"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6" t="str" cm="1">
        <f t="array" ref="G2472">IFERROR(INDEX(EmployeeData[Join Date], ROW() - 37), "")</f>
        <v/>
      </c>
      <c r="H2472" s="6"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6" t="str" cm="1">
        <f t="array" ref="G2473">IFERROR(INDEX(EmployeeData[Join Date], ROW() - 37), "")</f>
        <v/>
      </c>
      <c r="H2473" s="6"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6" t="str" cm="1">
        <f t="array" ref="G2474">IFERROR(INDEX(EmployeeData[Join Date], ROW() - 37), "")</f>
        <v/>
      </c>
      <c r="H2474" s="6"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6" t="str" cm="1">
        <f t="array" ref="G2475">IFERROR(INDEX(EmployeeData[Join Date], ROW() - 37), "")</f>
        <v/>
      </c>
      <c r="H2475" s="6"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6" t="str" cm="1">
        <f t="array" ref="G2476">IFERROR(INDEX(EmployeeData[Join Date], ROW() - 37), "")</f>
        <v/>
      </c>
      <c r="H2476" s="6"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6" t="str" cm="1">
        <f t="array" ref="G2477">IFERROR(INDEX(EmployeeData[Join Date], ROW() - 37), "")</f>
        <v/>
      </c>
      <c r="H2477" s="6"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6" t="str" cm="1">
        <f t="array" ref="G2478">IFERROR(INDEX(EmployeeData[Join Date], ROW() - 37), "")</f>
        <v/>
      </c>
      <c r="H2478" s="6"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6" t="str" cm="1">
        <f t="array" ref="G2479">IFERROR(INDEX(EmployeeData[Join Date], ROW() - 37), "")</f>
        <v/>
      </c>
      <c r="H2479" s="6"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6" t="str" cm="1">
        <f t="array" ref="G2480">IFERROR(INDEX(EmployeeData[Join Date], ROW() - 37), "")</f>
        <v/>
      </c>
      <c r="H2480" s="6"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6" t="str" cm="1">
        <f t="array" ref="G2481">IFERROR(INDEX(EmployeeData[Join Date], ROW() - 37), "")</f>
        <v/>
      </c>
      <c r="H2481" s="6"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6" t="str" cm="1">
        <f t="array" ref="G2482">IFERROR(INDEX(EmployeeData[Join Date], ROW() - 37), "")</f>
        <v/>
      </c>
      <c r="H2482" s="6"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6" t="str" cm="1">
        <f t="array" ref="G2483">IFERROR(INDEX(EmployeeData[Join Date], ROW() - 37), "")</f>
        <v/>
      </c>
      <c r="H2483" s="6"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6" t="str" cm="1">
        <f t="array" ref="G2484">IFERROR(INDEX(EmployeeData[Join Date], ROW() - 37), "")</f>
        <v/>
      </c>
      <c r="H2484" s="6"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6" t="str" cm="1">
        <f t="array" ref="G2485">IFERROR(INDEX(EmployeeData[Join Date], ROW() - 37), "")</f>
        <v/>
      </c>
      <c r="H2485" s="6"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6" t="str" cm="1">
        <f t="array" ref="G2486">IFERROR(INDEX(EmployeeData[Join Date], ROW() - 37), "")</f>
        <v/>
      </c>
      <c r="H2486" s="6"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6" t="str" cm="1">
        <f t="array" ref="G2487">IFERROR(INDEX(EmployeeData[Join Date], ROW() - 37), "")</f>
        <v/>
      </c>
      <c r="H2487" s="6"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6" t="str" cm="1">
        <f t="array" ref="G2488">IFERROR(INDEX(EmployeeData[Join Date], ROW() - 37), "")</f>
        <v/>
      </c>
      <c r="H2488" s="6"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6" t="str" cm="1">
        <f t="array" ref="G2489">IFERROR(INDEX(EmployeeData[Join Date], ROW() - 37), "")</f>
        <v/>
      </c>
      <c r="H2489" s="6"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6" t="str" cm="1">
        <f t="array" ref="G2490">IFERROR(INDEX(EmployeeData[Join Date], ROW() - 37), "")</f>
        <v/>
      </c>
      <c r="H2490" s="6"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6" t="str" cm="1">
        <f t="array" ref="G2491">IFERROR(INDEX(EmployeeData[Join Date], ROW() - 37), "")</f>
        <v/>
      </c>
      <c r="H2491" s="6"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6" t="str" cm="1">
        <f t="array" ref="G2492">IFERROR(INDEX(EmployeeData[Join Date], ROW() - 37), "")</f>
        <v/>
      </c>
      <c r="H2492" s="6"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6" t="str" cm="1">
        <f t="array" ref="G2493">IFERROR(INDEX(EmployeeData[Join Date], ROW() - 37), "")</f>
        <v/>
      </c>
      <c r="H2493" s="6"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6" t="str" cm="1">
        <f t="array" ref="G2494">IFERROR(INDEX(EmployeeData[Join Date], ROW() - 37), "")</f>
        <v/>
      </c>
      <c r="H2494" s="6"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6" t="str" cm="1">
        <f t="array" ref="G2495">IFERROR(INDEX(EmployeeData[Join Date], ROW() - 37), "")</f>
        <v/>
      </c>
      <c r="H2495" s="6"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6" t="str" cm="1">
        <f t="array" ref="G2496">IFERROR(INDEX(EmployeeData[Join Date], ROW() - 37), "")</f>
        <v/>
      </c>
      <c r="H2496" s="6"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6" t="str" cm="1">
        <f t="array" ref="G2497">IFERROR(INDEX(EmployeeData[Join Date], ROW() - 37), "")</f>
        <v/>
      </c>
      <c r="H2497" s="6"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6" t="str" cm="1">
        <f t="array" ref="G2498">IFERROR(INDEX(EmployeeData[Join Date], ROW() - 37), "")</f>
        <v/>
      </c>
      <c r="H2498" s="6"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6" t="str" cm="1">
        <f t="array" ref="G2499">IFERROR(INDEX(EmployeeData[Join Date], ROW() - 37), "")</f>
        <v/>
      </c>
      <c r="H2499" s="6"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6" t="str" cm="1">
        <f t="array" ref="G2500">IFERROR(INDEX(EmployeeData[Join Date], ROW() - 37), "")</f>
        <v/>
      </c>
      <c r="H2500" s="6"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6" t="str" cm="1">
        <f t="array" ref="G2501">IFERROR(INDEX(EmployeeData[Join Date], ROW() - 37), "")</f>
        <v/>
      </c>
      <c r="H2501" s="6"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6" t="str" cm="1">
        <f t="array" ref="G2502">IFERROR(INDEX(EmployeeData[Join Date], ROW() - 37), "")</f>
        <v/>
      </c>
      <c r="H2502" s="6"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6" t="str" cm="1">
        <f t="array" ref="G2503">IFERROR(INDEX(EmployeeData[Join Date], ROW() - 37), "")</f>
        <v/>
      </c>
      <c r="H2503" s="6"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6" t="str" cm="1">
        <f t="array" ref="G2504">IFERROR(INDEX(EmployeeData[Join Date], ROW() - 37), "")</f>
        <v/>
      </c>
      <c r="H2504" s="6"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6" t="str" cm="1">
        <f t="array" ref="G2505">IFERROR(INDEX(EmployeeData[Join Date], ROW() - 37), "")</f>
        <v/>
      </c>
      <c r="H2505" s="6"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6" t="str" cm="1">
        <f t="array" ref="G2506">IFERROR(INDEX(EmployeeData[Join Date], ROW() - 37), "")</f>
        <v/>
      </c>
      <c r="H2506" s="6"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6" t="str" cm="1">
        <f t="array" ref="G2507">IFERROR(INDEX(EmployeeData[Join Date], ROW() - 37), "")</f>
        <v/>
      </c>
      <c r="H2507" s="6"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6" t="str" cm="1">
        <f t="array" ref="G2508">IFERROR(INDEX(EmployeeData[Join Date], ROW() - 37), "")</f>
        <v/>
      </c>
      <c r="H2508" s="6"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6" t="str" cm="1">
        <f t="array" ref="G2509">IFERROR(INDEX(EmployeeData[Join Date], ROW() - 37), "")</f>
        <v/>
      </c>
      <c r="H2509" s="6"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6" t="str" cm="1">
        <f t="array" ref="G2510">IFERROR(INDEX(EmployeeData[Join Date], ROW() - 37), "")</f>
        <v/>
      </c>
      <c r="H2510" s="6"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6" t="str" cm="1">
        <f t="array" ref="G2511">IFERROR(INDEX(EmployeeData[Join Date], ROW() - 37), "")</f>
        <v/>
      </c>
      <c r="H2511" s="6"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6" t="str" cm="1">
        <f t="array" ref="G2512">IFERROR(INDEX(EmployeeData[Join Date], ROW() - 37), "")</f>
        <v/>
      </c>
      <c r="H2512" s="6"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6" t="str" cm="1">
        <f t="array" ref="G2513">IFERROR(INDEX(EmployeeData[Join Date], ROW() - 37), "")</f>
        <v/>
      </c>
      <c r="H2513" s="6"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6" t="str" cm="1">
        <f t="array" ref="G2514">IFERROR(INDEX(EmployeeData[Join Date], ROW() - 37), "")</f>
        <v/>
      </c>
      <c r="H2514" s="6"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6" t="str" cm="1">
        <f t="array" ref="G2515">IFERROR(INDEX(EmployeeData[Join Date], ROW() - 37), "")</f>
        <v/>
      </c>
      <c r="H2515" s="6"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6" t="str" cm="1">
        <f t="array" ref="G2516">IFERROR(INDEX(EmployeeData[Join Date], ROW() - 37), "")</f>
        <v/>
      </c>
      <c r="H2516" s="6"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6" t="str" cm="1">
        <f t="array" ref="G2517">IFERROR(INDEX(EmployeeData[Join Date], ROW() - 37), "")</f>
        <v/>
      </c>
      <c r="H2517" s="6"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6" t="str" cm="1">
        <f t="array" ref="G2518">IFERROR(INDEX(EmployeeData[Join Date], ROW() - 37), "")</f>
        <v/>
      </c>
      <c r="H2518" s="6"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6" t="str" cm="1">
        <f t="array" ref="G2519">IFERROR(INDEX(EmployeeData[Join Date], ROW() - 37), "")</f>
        <v/>
      </c>
      <c r="H2519" s="6"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6" t="str" cm="1">
        <f t="array" ref="G2520">IFERROR(INDEX(EmployeeData[Join Date], ROW() - 37), "")</f>
        <v/>
      </c>
      <c r="H2520" s="6"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6" t="str" cm="1">
        <f t="array" ref="G2521">IFERROR(INDEX(EmployeeData[Join Date], ROW() - 37), "")</f>
        <v/>
      </c>
      <c r="H2521" s="6"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6" t="str" cm="1">
        <f t="array" ref="G2522">IFERROR(INDEX(EmployeeData[Join Date], ROW() - 37), "")</f>
        <v/>
      </c>
      <c r="H2522" s="6"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6" t="str" cm="1">
        <f t="array" ref="G2523">IFERROR(INDEX(EmployeeData[Join Date], ROW() - 37), "")</f>
        <v/>
      </c>
      <c r="H2523" s="6"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6" t="str" cm="1">
        <f t="array" ref="G2524">IFERROR(INDEX(EmployeeData[Join Date], ROW() - 37), "")</f>
        <v/>
      </c>
      <c r="H2524" s="6"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6" t="str" cm="1">
        <f t="array" ref="G2525">IFERROR(INDEX(EmployeeData[Join Date], ROW() - 37), "")</f>
        <v/>
      </c>
      <c r="H2525" s="6"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6" t="str" cm="1">
        <f t="array" ref="G2526">IFERROR(INDEX(EmployeeData[Join Date], ROW() - 37), "")</f>
        <v/>
      </c>
      <c r="H2526" s="6"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6" t="str" cm="1">
        <f t="array" ref="G2527">IFERROR(INDEX(EmployeeData[Join Date], ROW() - 37), "")</f>
        <v/>
      </c>
      <c r="H2527" s="6"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6" t="str" cm="1">
        <f t="array" ref="G2528">IFERROR(INDEX(EmployeeData[Join Date], ROW() - 37), "")</f>
        <v/>
      </c>
      <c r="H2528" s="6"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6" t="str" cm="1">
        <f t="array" ref="G2529">IFERROR(INDEX(EmployeeData[Join Date], ROW() - 37), "")</f>
        <v/>
      </c>
      <c r="H2529" s="6"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6" t="str" cm="1">
        <f t="array" ref="G2530">IFERROR(INDEX(EmployeeData[Join Date], ROW() - 37), "")</f>
        <v/>
      </c>
      <c r="H2530" s="6"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6" t="str" cm="1">
        <f t="array" ref="G2531">IFERROR(INDEX(EmployeeData[Join Date], ROW() - 37), "")</f>
        <v/>
      </c>
      <c r="H2531" s="6"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6" t="str" cm="1">
        <f t="array" ref="G2532">IFERROR(INDEX(EmployeeData[Join Date], ROW() - 37), "")</f>
        <v/>
      </c>
      <c r="H2532" s="6"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6" t="str" cm="1">
        <f t="array" ref="G2533">IFERROR(INDEX(EmployeeData[Join Date], ROW() - 37), "")</f>
        <v/>
      </c>
      <c r="H2533" s="6"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6" t="str" cm="1">
        <f t="array" ref="G2534">IFERROR(INDEX(EmployeeData[Join Date], ROW() - 37), "")</f>
        <v/>
      </c>
      <c r="H2534" s="6"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6" t="str" cm="1">
        <f t="array" ref="G2535">IFERROR(INDEX(EmployeeData[Join Date], ROW() - 37), "")</f>
        <v/>
      </c>
      <c r="H2535" s="6"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6" t="str" cm="1">
        <f t="array" ref="G2536">IFERROR(INDEX(EmployeeData[Join Date], ROW() - 37), "")</f>
        <v/>
      </c>
      <c r="H2536" s="6"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6" t="str" cm="1">
        <f t="array" ref="G2537">IFERROR(INDEX(EmployeeData[Join Date], ROW() - 37), "")</f>
        <v/>
      </c>
      <c r="H2537" s="6"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6" t="str" cm="1">
        <f t="array" ref="G2538">IFERROR(INDEX(EmployeeData[Join Date], ROW() - 37), "")</f>
        <v/>
      </c>
      <c r="H2538" s="6"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6" t="str" cm="1">
        <f t="array" ref="G2539">IFERROR(INDEX(EmployeeData[Join Date], ROW() - 37), "")</f>
        <v/>
      </c>
      <c r="H2539" s="6"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6" t="str" cm="1">
        <f t="array" ref="G2540">IFERROR(INDEX(EmployeeData[Join Date], ROW() - 37), "")</f>
        <v/>
      </c>
      <c r="H2540" s="6"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6" t="str" cm="1">
        <f t="array" ref="G2541">IFERROR(INDEX(EmployeeData[Join Date], ROW() - 37), "")</f>
        <v/>
      </c>
      <c r="H2541" s="6"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6" t="str" cm="1">
        <f t="array" ref="G2542">IFERROR(INDEX(EmployeeData[Join Date], ROW() - 37), "")</f>
        <v/>
      </c>
      <c r="H2542" s="6"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6" t="str" cm="1">
        <f t="array" ref="G2543">IFERROR(INDEX(EmployeeData[Join Date], ROW() - 37), "")</f>
        <v/>
      </c>
      <c r="H2543" s="6"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6" t="str" cm="1">
        <f t="array" ref="G2544">IFERROR(INDEX(EmployeeData[Join Date], ROW() - 37), "")</f>
        <v/>
      </c>
      <c r="H2544" s="6"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6" t="str" cm="1">
        <f t="array" ref="G2545">IFERROR(INDEX(EmployeeData[Join Date], ROW() - 37), "")</f>
        <v/>
      </c>
      <c r="H2545" s="6"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6" t="str" cm="1">
        <f t="array" ref="G2546">IFERROR(INDEX(EmployeeData[Join Date], ROW() - 37), "")</f>
        <v/>
      </c>
      <c r="H2546" s="6"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6" t="str" cm="1">
        <f t="array" ref="G2547">IFERROR(INDEX(EmployeeData[Join Date], ROW() - 37), "")</f>
        <v/>
      </c>
      <c r="H2547" s="6"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6" t="str" cm="1">
        <f t="array" ref="G2548">IFERROR(INDEX(EmployeeData[Join Date], ROW() - 37), "")</f>
        <v/>
      </c>
      <c r="H2548" s="6"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6" t="str" cm="1">
        <f t="array" ref="G2549">IFERROR(INDEX(EmployeeData[Join Date], ROW() - 37), "")</f>
        <v/>
      </c>
      <c r="H2549" s="6"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6" t="str" cm="1">
        <f t="array" ref="G2550">IFERROR(INDEX(EmployeeData[Join Date], ROW() - 37), "")</f>
        <v/>
      </c>
      <c r="H2550" s="6"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6" t="str" cm="1">
        <f t="array" ref="G2551">IFERROR(INDEX(EmployeeData[Join Date], ROW() - 37), "")</f>
        <v/>
      </c>
      <c r="H2551" s="6"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6" t="str" cm="1">
        <f t="array" ref="G2552">IFERROR(INDEX(EmployeeData[Join Date], ROW() - 37), "")</f>
        <v/>
      </c>
      <c r="H2552" s="6"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6" t="str" cm="1">
        <f t="array" ref="G2553">IFERROR(INDEX(EmployeeData[Join Date], ROW() - 37), "")</f>
        <v/>
      </c>
      <c r="H2553" s="6"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6" t="str" cm="1">
        <f t="array" ref="G2554">IFERROR(INDEX(EmployeeData[Join Date], ROW() - 37), "")</f>
        <v/>
      </c>
      <c r="H2554" s="6"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6" t="str" cm="1">
        <f t="array" ref="G2555">IFERROR(INDEX(EmployeeData[Join Date], ROW() - 37), "")</f>
        <v/>
      </c>
      <c r="H2555" s="6"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6" t="str" cm="1">
        <f t="array" ref="G2556">IFERROR(INDEX(EmployeeData[Join Date], ROW() - 37), "")</f>
        <v/>
      </c>
      <c r="H2556" s="6"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6" t="str" cm="1">
        <f t="array" ref="G2557">IFERROR(INDEX(EmployeeData[Join Date], ROW() - 37), "")</f>
        <v/>
      </c>
      <c r="H2557" s="6"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6" t="str" cm="1">
        <f t="array" ref="G2558">IFERROR(INDEX(EmployeeData[Join Date], ROW() - 37), "")</f>
        <v/>
      </c>
      <c r="H2558" s="6"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6" t="str" cm="1">
        <f t="array" ref="G2559">IFERROR(INDEX(EmployeeData[Join Date], ROW() - 37), "")</f>
        <v/>
      </c>
      <c r="H2559" s="6"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6" t="str" cm="1">
        <f t="array" ref="G2560">IFERROR(INDEX(EmployeeData[Join Date], ROW() - 37), "")</f>
        <v/>
      </c>
      <c r="H2560" s="6"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6" t="str" cm="1">
        <f t="array" ref="G2561">IFERROR(INDEX(EmployeeData[Join Date], ROW() - 37), "")</f>
        <v/>
      </c>
      <c r="H2561" s="6"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6" t="str" cm="1">
        <f t="array" ref="G2562">IFERROR(INDEX(EmployeeData[Join Date], ROW() - 37), "")</f>
        <v/>
      </c>
      <c r="H2562" s="6"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6" t="str" cm="1">
        <f t="array" ref="G2563">IFERROR(INDEX(EmployeeData[Join Date], ROW() - 37), "")</f>
        <v/>
      </c>
      <c r="H2563" s="6"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6" t="str" cm="1">
        <f t="array" ref="G2564">IFERROR(INDEX(EmployeeData[Join Date], ROW() - 37), "")</f>
        <v/>
      </c>
      <c r="H2564" s="6"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6" t="str" cm="1">
        <f t="array" ref="G2565">IFERROR(INDEX(EmployeeData[Join Date], ROW() - 37), "")</f>
        <v/>
      </c>
      <c r="H2565" s="6"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6" t="str" cm="1">
        <f t="array" ref="G2566">IFERROR(INDEX(EmployeeData[Join Date], ROW() - 37), "")</f>
        <v/>
      </c>
      <c r="H2566" s="6"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6" t="str" cm="1">
        <f t="array" ref="G2567">IFERROR(INDEX(EmployeeData[Join Date], ROW() - 37), "")</f>
        <v/>
      </c>
      <c r="H2567" s="6"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6" t="str" cm="1">
        <f t="array" ref="G2568">IFERROR(INDEX(EmployeeData[Join Date], ROW() - 37), "")</f>
        <v/>
      </c>
      <c r="H2568" s="6"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6" t="str" cm="1">
        <f t="array" ref="G2569">IFERROR(INDEX(EmployeeData[Join Date], ROW() - 37), "")</f>
        <v/>
      </c>
      <c r="H2569" s="6"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6" t="str" cm="1">
        <f t="array" ref="G2570">IFERROR(INDEX(EmployeeData[Join Date], ROW() - 37), "")</f>
        <v/>
      </c>
      <c r="H2570" s="6"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6" t="str" cm="1">
        <f t="array" ref="G2571">IFERROR(INDEX(EmployeeData[Join Date], ROW() - 37), "")</f>
        <v/>
      </c>
      <c r="H2571" s="6"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6" t="str" cm="1">
        <f t="array" ref="G2572">IFERROR(INDEX(EmployeeData[Join Date], ROW() - 37), "")</f>
        <v/>
      </c>
      <c r="H2572" s="6"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6" t="str" cm="1">
        <f t="array" ref="G2573">IFERROR(INDEX(EmployeeData[Join Date], ROW() - 37), "")</f>
        <v/>
      </c>
      <c r="H2573" s="6"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6" t="str" cm="1">
        <f t="array" ref="G2574">IFERROR(INDEX(EmployeeData[Join Date], ROW() - 37), "")</f>
        <v/>
      </c>
      <c r="H2574" s="6"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6" t="str" cm="1">
        <f t="array" ref="G2575">IFERROR(INDEX(EmployeeData[Join Date], ROW() - 37), "")</f>
        <v/>
      </c>
      <c r="H2575" s="6"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6" t="str" cm="1">
        <f t="array" ref="G2576">IFERROR(INDEX(EmployeeData[Join Date], ROW() - 37), "")</f>
        <v/>
      </c>
      <c r="H2576" s="6"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6" t="str" cm="1">
        <f t="array" ref="G2577">IFERROR(INDEX(EmployeeData[Join Date], ROW() - 37), "")</f>
        <v/>
      </c>
      <c r="H2577" s="6"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6" t="str" cm="1">
        <f t="array" ref="G2578">IFERROR(INDEX(EmployeeData[Join Date], ROW() - 37), "")</f>
        <v/>
      </c>
      <c r="H2578" s="6"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6" t="str" cm="1">
        <f t="array" ref="G2579">IFERROR(INDEX(EmployeeData[Join Date], ROW() - 37), "")</f>
        <v/>
      </c>
      <c r="H2579" s="6"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6" t="str" cm="1">
        <f t="array" ref="G2580">IFERROR(INDEX(EmployeeData[Join Date], ROW() - 37), "")</f>
        <v/>
      </c>
      <c r="H2580" s="6"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6" t="str" cm="1">
        <f t="array" ref="G2581">IFERROR(INDEX(EmployeeData[Join Date], ROW() - 37), "")</f>
        <v/>
      </c>
      <c r="H2581" s="6"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6" t="str" cm="1">
        <f t="array" ref="G2582">IFERROR(INDEX(EmployeeData[Join Date], ROW() - 37), "")</f>
        <v/>
      </c>
      <c r="H2582" s="6"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6" t="str" cm="1">
        <f t="array" ref="G2583">IFERROR(INDEX(EmployeeData[Join Date], ROW() - 37), "")</f>
        <v/>
      </c>
      <c r="H2583" s="6"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6" t="str" cm="1">
        <f t="array" ref="G2584">IFERROR(INDEX(EmployeeData[Join Date], ROW() - 37), "")</f>
        <v/>
      </c>
      <c r="H2584" s="6"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6" t="str" cm="1">
        <f t="array" ref="G2585">IFERROR(INDEX(EmployeeData[Join Date], ROW() - 37), "")</f>
        <v/>
      </c>
      <c r="H2585" s="6"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6" t="str" cm="1">
        <f t="array" ref="G2586">IFERROR(INDEX(EmployeeData[Join Date], ROW() - 37), "")</f>
        <v/>
      </c>
      <c r="H2586" s="6"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6" t="str" cm="1">
        <f t="array" ref="G2587">IFERROR(INDEX(EmployeeData[Join Date], ROW() - 37), "")</f>
        <v/>
      </c>
      <c r="H2587" s="6"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6" t="str" cm="1">
        <f t="array" ref="G2588">IFERROR(INDEX(EmployeeData[Join Date], ROW() - 37), "")</f>
        <v/>
      </c>
      <c r="H2588" s="6"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6" t="str" cm="1">
        <f t="array" ref="G2589">IFERROR(INDEX(EmployeeData[Join Date], ROW() - 37), "")</f>
        <v/>
      </c>
      <c r="H2589" s="6"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6" t="str" cm="1">
        <f t="array" ref="G2590">IFERROR(INDEX(EmployeeData[Join Date], ROW() - 37), "")</f>
        <v/>
      </c>
      <c r="H2590" s="6"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6" t="str" cm="1">
        <f t="array" ref="G2591">IFERROR(INDEX(EmployeeData[Join Date], ROW() - 37), "")</f>
        <v/>
      </c>
      <c r="H2591" s="6"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6" t="str" cm="1">
        <f t="array" ref="G2592">IFERROR(INDEX(EmployeeData[Join Date], ROW() - 37), "")</f>
        <v/>
      </c>
      <c r="H2592" s="6"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6" t="str" cm="1">
        <f t="array" ref="G2593">IFERROR(INDEX(EmployeeData[Join Date], ROW() - 37), "")</f>
        <v/>
      </c>
      <c r="H2593" s="6"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6" t="str" cm="1">
        <f t="array" ref="G2594">IFERROR(INDEX(EmployeeData[Join Date], ROW() - 37), "")</f>
        <v/>
      </c>
      <c r="H2594" s="6"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6" t="str" cm="1">
        <f t="array" ref="G2595">IFERROR(INDEX(EmployeeData[Join Date], ROW() - 37), "")</f>
        <v/>
      </c>
      <c r="H2595" s="6"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6" t="str" cm="1">
        <f t="array" ref="G2596">IFERROR(INDEX(EmployeeData[Join Date], ROW() - 37), "")</f>
        <v/>
      </c>
      <c r="H2596" s="6"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6" t="str" cm="1">
        <f t="array" ref="G2597">IFERROR(INDEX(EmployeeData[Join Date], ROW() - 37), "")</f>
        <v/>
      </c>
      <c r="H2597" s="6"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6" t="str" cm="1">
        <f t="array" ref="G2598">IFERROR(INDEX(EmployeeData[Join Date], ROW() - 37), "")</f>
        <v/>
      </c>
      <c r="H2598" s="6"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6" t="str" cm="1">
        <f t="array" ref="G2599">IFERROR(INDEX(EmployeeData[Join Date], ROW() - 37), "")</f>
        <v/>
      </c>
      <c r="H2599" s="6"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6" t="str" cm="1">
        <f t="array" ref="G2600">IFERROR(INDEX(EmployeeData[Join Date], ROW() - 37), "")</f>
        <v/>
      </c>
      <c r="H2600" s="6"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6" t="str" cm="1">
        <f t="array" ref="G2601">IFERROR(INDEX(EmployeeData[Join Date], ROW() - 37), "")</f>
        <v/>
      </c>
      <c r="H2601" s="6"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6" t="str" cm="1">
        <f t="array" ref="G2602">IFERROR(INDEX(EmployeeData[Join Date], ROW() - 37), "")</f>
        <v/>
      </c>
      <c r="H2602" s="6"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6" t="str" cm="1">
        <f t="array" ref="G2603">IFERROR(INDEX(EmployeeData[Join Date], ROW() - 37), "")</f>
        <v/>
      </c>
      <c r="H2603" s="6"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6" t="str" cm="1">
        <f t="array" ref="G2604">IFERROR(INDEX(EmployeeData[Join Date], ROW() - 37), "")</f>
        <v/>
      </c>
      <c r="H2604" s="6"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6" t="str" cm="1">
        <f t="array" ref="G2605">IFERROR(INDEX(EmployeeData[Join Date], ROW() - 37), "")</f>
        <v/>
      </c>
      <c r="H2605" s="6"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6" t="str" cm="1">
        <f t="array" ref="G2606">IFERROR(INDEX(EmployeeData[Join Date], ROW() - 37), "")</f>
        <v/>
      </c>
      <c r="H2606" s="6"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6" t="str" cm="1">
        <f t="array" ref="G2607">IFERROR(INDEX(EmployeeData[Join Date], ROW() - 37), "")</f>
        <v/>
      </c>
      <c r="H2607" s="6"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6" t="str" cm="1">
        <f t="array" ref="G2608">IFERROR(INDEX(EmployeeData[Join Date], ROW() - 37), "")</f>
        <v/>
      </c>
      <c r="H2608" s="6"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6" t="str" cm="1">
        <f t="array" ref="G2609">IFERROR(INDEX(EmployeeData[Join Date], ROW() - 37), "")</f>
        <v/>
      </c>
      <c r="H2609" s="6"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6" t="str" cm="1">
        <f t="array" ref="G2610">IFERROR(INDEX(EmployeeData[Join Date], ROW() - 37), "")</f>
        <v/>
      </c>
      <c r="H2610" s="6"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6" t="str" cm="1">
        <f t="array" ref="G2611">IFERROR(INDEX(EmployeeData[Join Date], ROW() - 37), "")</f>
        <v/>
      </c>
      <c r="H2611" s="6"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6" t="str" cm="1">
        <f t="array" ref="G2612">IFERROR(INDEX(EmployeeData[Join Date], ROW() - 37), "")</f>
        <v/>
      </c>
      <c r="H2612" s="6"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6" t="str" cm="1">
        <f t="array" ref="G2613">IFERROR(INDEX(EmployeeData[Join Date], ROW() - 37), "")</f>
        <v/>
      </c>
      <c r="H2613" s="6"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6" t="str" cm="1">
        <f t="array" ref="G2614">IFERROR(INDEX(EmployeeData[Join Date], ROW() - 37), "")</f>
        <v/>
      </c>
      <c r="H2614" s="6"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6" t="str" cm="1">
        <f t="array" ref="G2615">IFERROR(INDEX(EmployeeData[Join Date], ROW() - 37), "")</f>
        <v/>
      </c>
      <c r="H2615" s="6"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6" t="str" cm="1">
        <f t="array" ref="G2616">IFERROR(INDEX(EmployeeData[Join Date], ROW() - 37), "")</f>
        <v/>
      </c>
      <c r="H2616" s="6"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6" t="str" cm="1">
        <f t="array" ref="G2617">IFERROR(INDEX(EmployeeData[Join Date], ROW() - 37), "")</f>
        <v/>
      </c>
      <c r="H2617" s="6"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6" t="str" cm="1">
        <f t="array" ref="G2618">IFERROR(INDEX(EmployeeData[Join Date], ROW() - 37), "")</f>
        <v/>
      </c>
      <c r="H2618" s="6"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6" t="str" cm="1">
        <f t="array" ref="G2619">IFERROR(INDEX(EmployeeData[Join Date], ROW() - 37), "")</f>
        <v/>
      </c>
      <c r="H2619" s="6"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6" t="str" cm="1">
        <f t="array" ref="G2620">IFERROR(INDEX(EmployeeData[Join Date], ROW() - 37), "")</f>
        <v/>
      </c>
      <c r="H2620" s="6"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6" t="str" cm="1">
        <f t="array" ref="G2621">IFERROR(INDEX(EmployeeData[Join Date], ROW() - 37), "")</f>
        <v/>
      </c>
      <c r="H2621" s="6"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6" t="str" cm="1">
        <f t="array" ref="G2622">IFERROR(INDEX(EmployeeData[Join Date], ROW() - 37), "")</f>
        <v/>
      </c>
      <c r="H2622" s="6"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6" t="str" cm="1">
        <f t="array" ref="G2623">IFERROR(INDEX(EmployeeData[Join Date], ROW() - 37), "")</f>
        <v/>
      </c>
      <c r="H2623" s="6"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6" t="str" cm="1">
        <f t="array" ref="G2624">IFERROR(INDEX(EmployeeData[Join Date], ROW() - 37), "")</f>
        <v/>
      </c>
      <c r="H2624" s="6"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6" t="str" cm="1">
        <f t="array" ref="G2625">IFERROR(INDEX(EmployeeData[Join Date], ROW() - 37), "")</f>
        <v/>
      </c>
      <c r="H2625" s="6"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6" t="str" cm="1">
        <f t="array" ref="G2626">IFERROR(INDEX(EmployeeData[Join Date], ROW() - 37), "")</f>
        <v/>
      </c>
      <c r="H2626" s="6"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6" t="str" cm="1">
        <f t="array" ref="G2627">IFERROR(INDEX(EmployeeData[Join Date], ROW() - 37), "")</f>
        <v/>
      </c>
      <c r="H2627" s="6"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6" t="str" cm="1">
        <f t="array" ref="G2628">IFERROR(INDEX(EmployeeData[Join Date], ROW() - 37), "")</f>
        <v/>
      </c>
      <c r="H2628" s="6"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6" t="str" cm="1">
        <f t="array" ref="G2629">IFERROR(INDEX(EmployeeData[Join Date], ROW() - 37), "")</f>
        <v/>
      </c>
      <c r="H2629" s="6"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6" t="str" cm="1">
        <f t="array" ref="G2630">IFERROR(INDEX(EmployeeData[Join Date], ROW() - 37), "")</f>
        <v/>
      </c>
      <c r="H2630" s="6"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6" t="str" cm="1">
        <f t="array" ref="G2631">IFERROR(INDEX(EmployeeData[Join Date], ROW() - 37), "")</f>
        <v/>
      </c>
      <c r="H2631" s="6"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6" t="str" cm="1">
        <f t="array" ref="G2632">IFERROR(INDEX(EmployeeData[Join Date], ROW() - 37), "")</f>
        <v/>
      </c>
      <c r="H2632" s="6"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6" t="str" cm="1">
        <f t="array" ref="G2633">IFERROR(INDEX(EmployeeData[Join Date], ROW() - 37), "")</f>
        <v/>
      </c>
      <c r="H2633" s="6"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6" t="str" cm="1">
        <f t="array" ref="G2634">IFERROR(INDEX(EmployeeData[Join Date], ROW() - 37), "")</f>
        <v/>
      </c>
      <c r="H2634" s="6"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6" t="str" cm="1">
        <f t="array" ref="G2635">IFERROR(INDEX(EmployeeData[Join Date], ROW() - 37), "")</f>
        <v/>
      </c>
      <c r="H2635" s="6"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6" t="str" cm="1">
        <f t="array" ref="G2636">IFERROR(INDEX(EmployeeData[Join Date], ROW() - 37), "")</f>
        <v/>
      </c>
      <c r="H2636" s="6"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6" t="str" cm="1">
        <f t="array" ref="G2637">IFERROR(INDEX(EmployeeData[Join Date], ROW() - 37), "")</f>
        <v/>
      </c>
      <c r="H2637" s="6"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6" t="str" cm="1">
        <f t="array" ref="G2638">IFERROR(INDEX(EmployeeData[Join Date], ROW() - 37), "")</f>
        <v/>
      </c>
      <c r="H2638" s="6"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6" t="str" cm="1">
        <f t="array" ref="G2639">IFERROR(INDEX(EmployeeData[Join Date], ROW() - 37), "")</f>
        <v/>
      </c>
      <c r="H2639" s="6"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6" t="str" cm="1">
        <f t="array" ref="G2640">IFERROR(INDEX(EmployeeData[Join Date], ROW() - 37), "")</f>
        <v/>
      </c>
      <c r="H2640" s="6"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6" t="str" cm="1">
        <f t="array" ref="G2641">IFERROR(INDEX(EmployeeData[Join Date], ROW() - 37), "")</f>
        <v/>
      </c>
      <c r="H2641" s="6"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6" t="str" cm="1">
        <f t="array" ref="G2642">IFERROR(INDEX(EmployeeData[Join Date], ROW() - 37), "")</f>
        <v/>
      </c>
      <c r="H2642" s="6"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6" t="str" cm="1">
        <f t="array" ref="G2643">IFERROR(INDEX(EmployeeData[Join Date], ROW() - 37), "")</f>
        <v/>
      </c>
      <c r="H2643" s="6"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6" t="str" cm="1">
        <f t="array" ref="G2644">IFERROR(INDEX(EmployeeData[Join Date], ROW() - 37), "")</f>
        <v/>
      </c>
      <c r="H2644" s="6"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6" t="str" cm="1">
        <f t="array" ref="G2645">IFERROR(INDEX(EmployeeData[Join Date], ROW() - 37), "")</f>
        <v/>
      </c>
      <c r="H2645" s="6"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6" t="str" cm="1">
        <f t="array" ref="G2646">IFERROR(INDEX(EmployeeData[Join Date], ROW() - 37), "")</f>
        <v/>
      </c>
      <c r="H2646" s="6"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6" t="str" cm="1">
        <f t="array" ref="G2647">IFERROR(INDEX(EmployeeData[Join Date], ROW() - 37), "")</f>
        <v/>
      </c>
      <c r="H2647" s="6"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6" t="str" cm="1">
        <f t="array" ref="G2648">IFERROR(INDEX(EmployeeData[Join Date], ROW() - 37), "")</f>
        <v/>
      </c>
      <c r="H2648" s="6"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6" t="str" cm="1">
        <f t="array" ref="G2649">IFERROR(INDEX(EmployeeData[Join Date], ROW() - 37), "")</f>
        <v/>
      </c>
      <c r="H2649" s="6"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6" t="str" cm="1">
        <f t="array" ref="G2650">IFERROR(INDEX(EmployeeData[Join Date], ROW() - 37), "")</f>
        <v/>
      </c>
      <c r="H2650" s="6"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6" t="str" cm="1">
        <f t="array" ref="G2651">IFERROR(INDEX(EmployeeData[Join Date], ROW() - 37), "")</f>
        <v/>
      </c>
      <c r="H2651" s="6"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6" t="str" cm="1">
        <f t="array" ref="G2652">IFERROR(INDEX(EmployeeData[Join Date], ROW() - 37), "")</f>
        <v/>
      </c>
      <c r="H2652" s="6"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6" t="str" cm="1">
        <f t="array" ref="G2653">IFERROR(INDEX(EmployeeData[Join Date], ROW() - 37), "")</f>
        <v/>
      </c>
      <c r="H2653" s="6"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6" t="str" cm="1">
        <f t="array" ref="G2654">IFERROR(INDEX(EmployeeData[Join Date], ROW() - 37), "")</f>
        <v/>
      </c>
      <c r="H2654" s="6"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6" t="str" cm="1">
        <f t="array" ref="G2655">IFERROR(INDEX(EmployeeData[Join Date], ROW() - 37), "")</f>
        <v/>
      </c>
      <c r="H2655" s="6"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6" t="str" cm="1">
        <f t="array" ref="G2656">IFERROR(INDEX(EmployeeData[Join Date], ROW() - 37), "")</f>
        <v/>
      </c>
      <c r="H2656" s="6"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6" t="str" cm="1">
        <f t="array" ref="G2657">IFERROR(INDEX(EmployeeData[Join Date], ROW() - 37), "")</f>
        <v/>
      </c>
      <c r="H2657" s="6"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6" t="str" cm="1">
        <f t="array" ref="G2658">IFERROR(INDEX(EmployeeData[Join Date], ROW() - 37), "")</f>
        <v/>
      </c>
      <c r="H2658" s="6"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6" t="str" cm="1">
        <f t="array" ref="G2659">IFERROR(INDEX(EmployeeData[Join Date], ROW() - 37), "")</f>
        <v/>
      </c>
      <c r="H2659" s="6"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6" t="str" cm="1">
        <f t="array" ref="G2660">IFERROR(INDEX(EmployeeData[Join Date], ROW() - 37), "")</f>
        <v/>
      </c>
      <c r="H2660" s="6"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6" t="str" cm="1">
        <f t="array" ref="G2661">IFERROR(INDEX(EmployeeData[Join Date], ROW() - 37), "")</f>
        <v/>
      </c>
      <c r="H2661" s="6"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6" t="str" cm="1">
        <f t="array" ref="G2662">IFERROR(INDEX(EmployeeData[Join Date], ROW() - 37), "")</f>
        <v/>
      </c>
      <c r="H2662" s="6"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6" t="str" cm="1">
        <f t="array" ref="G2663">IFERROR(INDEX(EmployeeData[Join Date], ROW() - 37), "")</f>
        <v/>
      </c>
      <c r="H2663" s="6"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6" t="str" cm="1">
        <f t="array" ref="G2664">IFERROR(INDEX(EmployeeData[Join Date], ROW() - 37), "")</f>
        <v/>
      </c>
      <c r="H2664" s="6"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6" t="str" cm="1">
        <f t="array" ref="G2665">IFERROR(INDEX(EmployeeData[Join Date], ROW() - 37), "")</f>
        <v/>
      </c>
      <c r="H2665" s="6"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6" t="str" cm="1">
        <f t="array" ref="G2666">IFERROR(INDEX(EmployeeData[Join Date], ROW() - 37), "")</f>
        <v/>
      </c>
      <c r="H2666" s="6"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6" t="str" cm="1">
        <f t="array" ref="G2667">IFERROR(INDEX(EmployeeData[Join Date], ROW() - 37), "")</f>
        <v/>
      </c>
      <c r="H2667" s="6"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6" t="str" cm="1">
        <f t="array" ref="G2668">IFERROR(INDEX(EmployeeData[Join Date], ROW() - 37), "")</f>
        <v/>
      </c>
      <c r="H2668" s="6"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6" t="str" cm="1">
        <f t="array" ref="G2669">IFERROR(INDEX(EmployeeData[Join Date], ROW() - 37), "")</f>
        <v/>
      </c>
      <c r="H2669" s="6"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6" t="str" cm="1">
        <f t="array" ref="G2670">IFERROR(INDEX(EmployeeData[Join Date], ROW() - 37), "")</f>
        <v/>
      </c>
      <c r="H2670" s="6"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6" t="str" cm="1">
        <f t="array" ref="G2671">IFERROR(INDEX(EmployeeData[Join Date], ROW() - 37), "")</f>
        <v/>
      </c>
      <c r="H2671" s="6"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6" t="str" cm="1">
        <f t="array" ref="G2672">IFERROR(INDEX(EmployeeData[Join Date], ROW() - 37), "")</f>
        <v/>
      </c>
      <c r="H2672" s="6"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6" t="str" cm="1">
        <f t="array" ref="G2673">IFERROR(INDEX(EmployeeData[Join Date], ROW() - 37), "")</f>
        <v/>
      </c>
      <c r="H2673" s="6"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6" t="str" cm="1">
        <f t="array" ref="G2674">IFERROR(INDEX(EmployeeData[Join Date], ROW() - 37), "")</f>
        <v/>
      </c>
      <c r="H2674" s="6"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6" t="str" cm="1">
        <f t="array" ref="G2675">IFERROR(INDEX(EmployeeData[Join Date], ROW() - 37), "")</f>
        <v/>
      </c>
      <c r="H2675" s="6"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6" t="str" cm="1">
        <f t="array" ref="G2676">IFERROR(INDEX(EmployeeData[Join Date], ROW() - 37), "")</f>
        <v/>
      </c>
      <c r="H2676" s="6"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6" t="str" cm="1">
        <f t="array" ref="G2677">IFERROR(INDEX(EmployeeData[Join Date], ROW() - 37), "")</f>
        <v/>
      </c>
      <c r="H2677" s="6"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6" t="str" cm="1">
        <f t="array" ref="G2678">IFERROR(INDEX(EmployeeData[Join Date], ROW() - 37), "")</f>
        <v/>
      </c>
      <c r="H2678" s="6"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6" t="str" cm="1">
        <f t="array" ref="G2679">IFERROR(INDEX(EmployeeData[Join Date], ROW() - 37), "")</f>
        <v/>
      </c>
      <c r="H2679" s="6"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6" t="str" cm="1">
        <f t="array" ref="G2680">IFERROR(INDEX(EmployeeData[Join Date], ROW() - 37), "")</f>
        <v/>
      </c>
      <c r="H2680" s="6"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6" t="str" cm="1">
        <f t="array" ref="G2681">IFERROR(INDEX(EmployeeData[Join Date], ROW() - 37), "")</f>
        <v/>
      </c>
      <c r="H2681" s="6"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6" t="str" cm="1">
        <f t="array" ref="G2682">IFERROR(INDEX(EmployeeData[Join Date], ROW() - 37), "")</f>
        <v/>
      </c>
      <c r="H2682" s="6"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6" t="str" cm="1">
        <f t="array" ref="G2683">IFERROR(INDEX(EmployeeData[Join Date], ROW() - 37), "")</f>
        <v/>
      </c>
      <c r="H2683" s="6"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6" t="str" cm="1">
        <f t="array" ref="G2684">IFERROR(INDEX(EmployeeData[Join Date], ROW() - 37), "")</f>
        <v/>
      </c>
      <c r="H2684" s="6"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6" t="str" cm="1">
        <f t="array" ref="G2685">IFERROR(INDEX(EmployeeData[Join Date], ROW() - 37), "")</f>
        <v/>
      </c>
      <c r="H2685" s="6"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6" t="str" cm="1">
        <f t="array" ref="G2686">IFERROR(INDEX(EmployeeData[Join Date], ROW() - 37), "")</f>
        <v/>
      </c>
      <c r="H2686" s="6"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6" t="str" cm="1">
        <f t="array" ref="G2687">IFERROR(INDEX(EmployeeData[Join Date], ROW() - 37), "")</f>
        <v/>
      </c>
      <c r="H2687" s="6"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6" t="str" cm="1">
        <f t="array" ref="G2688">IFERROR(INDEX(EmployeeData[Join Date], ROW() - 37), "")</f>
        <v/>
      </c>
      <c r="H2688" s="6"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6" t="str" cm="1">
        <f t="array" ref="G2689">IFERROR(INDEX(EmployeeData[Join Date], ROW() - 37), "")</f>
        <v/>
      </c>
      <c r="H2689" s="6"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6" t="str" cm="1">
        <f t="array" ref="G2690">IFERROR(INDEX(EmployeeData[Join Date], ROW() - 37), "")</f>
        <v/>
      </c>
      <c r="H2690" s="6"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6" t="str" cm="1">
        <f t="array" ref="G2691">IFERROR(INDEX(EmployeeData[Join Date], ROW() - 37), "")</f>
        <v/>
      </c>
      <c r="H2691" s="6"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6" t="str" cm="1">
        <f t="array" ref="G2692">IFERROR(INDEX(EmployeeData[Join Date], ROW() - 37), "")</f>
        <v/>
      </c>
      <c r="H2692" s="6"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6" t="str" cm="1">
        <f t="array" ref="G2693">IFERROR(INDEX(EmployeeData[Join Date], ROW() - 37), "")</f>
        <v/>
      </c>
      <c r="H2693" s="6"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6" t="str" cm="1">
        <f t="array" ref="G2694">IFERROR(INDEX(EmployeeData[Join Date], ROW() - 37), "")</f>
        <v/>
      </c>
      <c r="H2694" s="6"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6" t="str" cm="1">
        <f t="array" ref="G2695">IFERROR(INDEX(EmployeeData[Join Date], ROW() - 37), "")</f>
        <v/>
      </c>
      <c r="H2695" s="6"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6" t="str" cm="1">
        <f t="array" ref="G2696">IFERROR(INDEX(EmployeeData[Join Date], ROW() - 37), "")</f>
        <v/>
      </c>
      <c r="H2696" s="6"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6" t="str" cm="1">
        <f t="array" ref="G2697">IFERROR(INDEX(EmployeeData[Join Date], ROW() - 37), "")</f>
        <v/>
      </c>
      <c r="H2697" s="6"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6" t="str" cm="1">
        <f t="array" ref="G2698">IFERROR(INDEX(EmployeeData[Join Date], ROW() - 37), "")</f>
        <v/>
      </c>
      <c r="H2698" s="6"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6" t="str" cm="1">
        <f t="array" ref="G2699">IFERROR(INDEX(EmployeeData[Join Date], ROW() - 37), "")</f>
        <v/>
      </c>
      <c r="H2699" s="6"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6" t="str" cm="1">
        <f t="array" ref="G2700">IFERROR(INDEX(EmployeeData[Join Date], ROW() - 37), "")</f>
        <v/>
      </c>
      <c r="H2700" s="6"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6" t="str" cm="1">
        <f t="array" ref="G2701">IFERROR(INDEX(EmployeeData[Join Date], ROW() - 37), "")</f>
        <v/>
      </c>
      <c r="H2701" s="6"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6" t="str" cm="1">
        <f t="array" ref="G2702">IFERROR(INDEX(EmployeeData[Join Date], ROW() - 37), "")</f>
        <v/>
      </c>
      <c r="H2702" s="6"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6" t="str" cm="1">
        <f t="array" ref="G2703">IFERROR(INDEX(EmployeeData[Join Date], ROW() - 37), "")</f>
        <v/>
      </c>
      <c r="H2703" s="6"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6" t="str" cm="1">
        <f t="array" ref="G2704">IFERROR(INDEX(EmployeeData[Join Date], ROW() - 37), "")</f>
        <v/>
      </c>
      <c r="H2704" s="6"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6" t="str" cm="1">
        <f t="array" ref="G2705">IFERROR(INDEX(EmployeeData[Join Date], ROW() - 37), "")</f>
        <v/>
      </c>
      <c r="H2705" s="6"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6" t="str" cm="1">
        <f t="array" ref="G2706">IFERROR(INDEX(EmployeeData[Join Date], ROW() - 37), "")</f>
        <v/>
      </c>
      <c r="H2706" s="6"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6" t="str" cm="1">
        <f t="array" ref="G2707">IFERROR(INDEX(EmployeeData[Join Date], ROW() - 37), "")</f>
        <v/>
      </c>
      <c r="H2707" s="6"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6" t="str" cm="1">
        <f t="array" ref="G2708">IFERROR(INDEX(EmployeeData[Join Date], ROW() - 37), "")</f>
        <v/>
      </c>
      <c r="H2708" s="6"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6" t="str" cm="1">
        <f t="array" ref="G2709">IFERROR(INDEX(EmployeeData[Join Date], ROW() - 37), "")</f>
        <v/>
      </c>
      <c r="H2709" s="6"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6" t="str" cm="1">
        <f t="array" ref="G2710">IFERROR(INDEX(EmployeeData[Join Date], ROW() - 37), "")</f>
        <v/>
      </c>
      <c r="H2710" s="6"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6" t="str" cm="1">
        <f t="array" ref="G2711">IFERROR(INDEX(EmployeeData[Join Date], ROW() - 37), "")</f>
        <v/>
      </c>
      <c r="H2711" s="6"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6" t="str" cm="1">
        <f t="array" ref="G2712">IFERROR(INDEX(EmployeeData[Join Date], ROW() - 37), "")</f>
        <v/>
      </c>
      <c r="H2712" s="6"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6" t="str" cm="1">
        <f t="array" ref="G2713">IFERROR(INDEX(EmployeeData[Join Date], ROW() - 37), "")</f>
        <v/>
      </c>
      <c r="H2713" s="6"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6" t="str" cm="1">
        <f t="array" ref="G2714">IFERROR(INDEX(EmployeeData[Join Date], ROW() - 37), "")</f>
        <v/>
      </c>
      <c r="H2714" s="6"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6" t="str" cm="1">
        <f t="array" ref="G2715">IFERROR(INDEX(EmployeeData[Join Date], ROW() - 37), "")</f>
        <v/>
      </c>
      <c r="H2715" s="6"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6" t="str" cm="1">
        <f t="array" ref="G2716">IFERROR(INDEX(EmployeeData[Join Date], ROW() - 37), "")</f>
        <v/>
      </c>
      <c r="H2716" s="6"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6" t="str" cm="1">
        <f t="array" ref="G2717">IFERROR(INDEX(EmployeeData[Join Date], ROW() - 37), "")</f>
        <v/>
      </c>
      <c r="H2717" s="6"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6" t="str" cm="1">
        <f t="array" ref="G2718">IFERROR(INDEX(EmployeeData[Join Date], ROW() - 37), "")</f>
        <v/>
      </c>
      <c r="H2718" s="6"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6" t="str" cm="1">
        <f t="array" ref="G2719">IFERROR(INDEX(EmployeeData[Join Date], ROW() - 37), "")</f>
        <v/>
      </c>
      <c r="H2719" s="6"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6" t="str" cm="1">
        <f t="array" ref="G2720">IFERROR(INDEX(EmployeeData[Join Date], ROW() - 37), "")</f>
        <v/>
      </c>
      <c r="H2720" s="6"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6" t="str" cm="1">
        <f t="array" ref="G2721">IFERROR(INDEX(EmployeeData[Join Date], ROW() - 37), "")</f>
        <v/>
      </c>
      <c r="H2721" s="6"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6" t="str" cm="1">
        <f t="array" ref="G2722">IFERROR(INDEX(EmployeeData[Join Date], ROW() - 37), "")</f>
        <v/>
      </c>
      <c r="H2722" s="6"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6" t="str" cm="1">
        <f t="array" ref="G2723">IFERROR(INDEX(EmployeeData[Join Date], ROW() - 37), "")</f>
        <v/>
      </c>
      <c r="H2723" s="6"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6" t="str" cm="1">
        <f t="array" ref="G2724">IFERROR(INDEX(EmployeeData[Join Date], ROW() - 37), "")</f>
        <v/>
      </c>
      <c r="H2724" s="6"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6" t="str" cm="1">
        <f t="array" ref="G2725">IFERROR(INDEX(EmployeeData[Join Date], ROW() - 37), "")</f>
        <v/>
      </c>
      <c r="H2725" s="6"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6" t="str" cm="1">
        <f t="array" ref="G2726">IFERROR(INDEX(EmployeeData[Join Date], ROW() - 37), "")</f>
        <v/>
      </c>
      <c r="H2726" s="6"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6" t="str" cm="1">
        <f t="array" ref="G2727">IFERROR(INDEX(EmployeeData[Join Date], ROW() - 37), "")</f>
        <v/>
      </c>
      <c r="H2727" s="6"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6" t="str" cm="1">
        <f t="array" ref="G2728">IFERROR(INDEX(EmployeeData[Join Date], ROW() - 37), "")</f>
        <v/>
      </c>
      <c r="H2728" s="6"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6" t="str" cm="1">
        <f t="array" ref="G2729">IFERROR(INDEX(EmployeeData[Join Date], ROW() - 37), "")</f>
        <v/>
      </c>
      <c r="H2729" s="6"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6" t="str" cm="1">
        <f t="array" ref="G2730">IFERROR(INDEX(EmployeeData[Join Date], ROW() - 37), "")</f>
        <v/>
      </c>
      <c r="H2730" s="6"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6" t="str" cm="1">
        <f t="array" ref="G2731">IFERROR(INDEX(EmployeeData[Join Date], ROW() - 37), "")</f>
        <v/>
      </c>
      <c r="H2731" s="6"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6" t="str" cm="1">
        <f t="array" ref="G2732">IFERROR(INDEX(EmployeeData[Join Date], ROW() - 37), "")</f>
        <v/>
      </c>
      <c r="H2732" s="6"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6" t="str" cm="1">
        <f t="array" ref="G2733">IFERROR(INDEX(EmployeeData[Join Date], ROW() - 37), "")</f>
        <v/>
      </c>
      <c r="H2733" s="6"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6" t="str" cm="1">
        <f t="array" ref="G2734">IFERROR(INDEX(EmployeeData[Join Date], ROW() - 37), "")</f>
        <v/>
      </c>
      <c r="H2734" s="6"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6" t="str" cm="1">
        <f t="array" ref="G2735">IFERROR(INDEX(EmployeeData[Join Date], ROW() - 37), "")</f>
        <v/>
      </c>
      <c r="H2735" s="6"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6" t="str" cm="1">
        <f t="array" ref="G2736">IFERROR(INDEX(EmployeeData[Join Date], ROW() - 37), "")</f>
        <v/>
      </c>
      <c r="H2736" s="6"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6" t="str" cm="1">
        <f t="array" ref="G2737">IFERROR(INDEX(EmployeeData[Join Date], ROW() - 37), "")</f>
        <v/>
      </c>
      <c r="H2737" s="6"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6" t="str" cm="1">
        <f t="array" ref="G2738">IFERROR(INDEX(EmployeeData[Join Date], ROW() - 37), "")</f>
        <v/>
      </c>
      <c r="H2738" s="6"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6" t="str" cm="1">
        <f t="array" ref="G2739">IFERROR(INDEX(EmployeeData[Join Date], ROW() - 37), "")</f>
        <v/>
      </c>
      <c r="H2739" s="6"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6" t="str" cm="1">
        <f t="array" ref="G2740">IFERROR(INDEX(EmployeeData[Join Date], ROW() - 37), "")</f>
        <v/>
      </c>
      <c r="H2740" s="6"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6" t="str" cm="1">
        <f t="array" ref="G2741">IFERROR(INDEX(EmployeeData[Join Date], ROW() - 37), "")</f>
        <v/>
      </c>
      <c r="H2741" s="6"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6" t="str" cm="1">
        <f t="array" ref="G2742">IFERROR(INDEX(EmployeeData[Join Date], ROW() - 37), "")</f>
        <v/>
      </c>
      <c r="H2742" s="6"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6" t="str" cm="1">
        <f t="array" ref="G2743">IFERROR(INDEX(EmployeeData[Join Date], ROW() - 37), "")</f>
        <v/>
      </c>
      <c r="H2743" s="6"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6" t="str" cm="1">
        <f t="array" ref="G2744">IFERROR(INDEX(EmployeeData[Join Date], ROW() - 37), "")</f>
        <v/>
      </c>
      <c r="H2744" s="6"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6" t="str" cm="1">
        <f t="array" ref="G2745">IFERROR(INDEX(EmployeeData[Join Date], ROW() - 37), "")</f>
        <v/>
      </c>
      <c r="H2745" s="6"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6" t="str" cm="1">
        <f t="array" ref="G2746">IFERROR(INDEX(EmployeeData[Join Date], ROW() - 37), "")</f>
        <v/>
      </c>
      <c r="H2746" s="6"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6" t="str" cm="1">
        <f t="array" ref="G2747">IFERROR(INDEX(EmployeeData[Join Date], ROW() - 37), "")</f>
        <v/>
      </c>
      <c r="H2747" s="6"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6" t="str" cm="1">
        <f t="array" ref="G2748">IFERROR(INDEX(EmployeeData[Join Date], ROW() - 37), "")</f>
        <v/>
      </c>
      <c r="H2748" s="6"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6" t="str" cm="1">
        <f t="array" ref="G2749">IFERROR(INDEX(EmployeeData[Join Date], ROW() - 37), "")</f>
        <v/>
      </c>
      <c r="H2749" s="6"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6" t="str" cm="1">
        <f t="array" ref="G2750">IFERROR(INDEX(EmployeeData[Join Date], ROW() - 37), "")</f>
        <v/>
      </c>
      <c r="H2750" s="6"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6" t="str" cm="1">
        <f t="array" ref="G2751">IFERROR(INDEX(EmployeeData[Join Date], ROW() - 37), "")</f>
        <v/>
      </c>
      <c r="H2751" s="6"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6" t="str" cm="1">
        <f t="array" ref="G2752">IFERROR(INDEX(EmployeeData[Join Date], ROW() - 37), "")</f>
        <v/>
      </c>
      <c r="H2752" s="6"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6" t="str" cm="1">
        <f t="array" ref="G2753">IFERROR(INDEX(EmployeeData[Join Date], ROW() - 37), "")</f>
        <v/>
      </c>
      <c r="H2753" s="6"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6" t="str" cm="1">
        <f t="array" ref="G2754">IFERROR(INDEX(EmployeeData[Join Date], ROW() - 37), "")</f>
        <v/>
      </c>
      <c r="H2754" s="6"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6" t="str" cm="1">
        <f t="array" ref="G2755">IFERROR(INDEX(EmployeeData[Join Date], ROW() - 37), "")</f>
        <v/>
      </c>
      <c r="H2755" s="6"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6" t="str" cm="1">
        <f t="array" ref="G2756">IFERROR(INDEX(EmployeeData[Join Date], ROW() - 37), "")</f>
        <v/>
      </c>
      <c r="H2756" s="6"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6" t="str" cm="1">
        <f t="array" ref="G2757">IFERROR(INDEX(EmployeeData[Join Date], ROW() - 37), "")</f>
        <v/>
      </c>
      <c r="H2757" s="6"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6" t="str" cm="1">
        <f t="array" ref="G2758">IFERROR(INDEX(EmployeeData[Join Date], ROW() - 37), "")</f>
        <v/>
      </c>
      <c r="H2758" s="6"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6" t="str" cm="1">
        <f t="array" ref="G2759">IFERROR(INDEX(EmployeeData[Join Date], ROW() - 37), "")</f>
        <v/>
      </c>
      <c r="H2759" s="6"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6" t="str" cm="1">
        <f t="array" ref="G2760">IFERROR(INDEX(EmployeeData[Join Date], ROW() - 37), "")</f>
        <v/>
      </c>
      <c r="H2760" s="6"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6" t="str" cm="1">
        <f t="array" ref="G2761">IFERROR(INDEX(EmployeeData[Join Date], ROW() - 37), "")</f>
        <v/>
      </c>
      <c r="H2761" s="6"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6" t="str" cm="1">
        <f t="array" ref="G2762">IFERROR(INDEX(EmployeeData[Join Date], ROW() - 37), "")</f>
        <v/>
      </c>
      <c r="H2762" s="6"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6" t="str" cm="1">
        <f t="array" ref="G2763">IFERROR(INDEX(EmployeeData[Join Date], ROW() - 37), "")</f>
        <v/>
      </c>
      <c r="H2763" s="6"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6" t="str" cm="1">
        <f t="array" ref="G2764">IFERROR(INDEX(EmployeeData[Join Date], ROW() - 37), "")</f>
        <v/>
      </c>
      <c r="H2764" s="6"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6" t="str" cm="1">
        <f t="array" ref="G2765">IFERROR(INDEX(EmployeeData[Join Date], ROW() - 37), "")</f>
        <v/>
      </c>
      <c r="H2765" s="6"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6" t="str" cm="1">
        <f t="array" ref="G2766">IFERROR(INDEX(EmployeeData[Join Date], ROW() - 37), "")</f>
        <v/>
      </c>
      <c r="H2766" s="6"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6" t="str" cm="1">
        <f t="array" ref="G2767">IFERROR(INDEX(EmployeeData[Join Date], ROW() - 37), "")</f>
        <v/>
      </c>
      <c r="H2767" s="6"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6" t="str" cm="1">
        <f t="array" ref="G2768">IFERROR(INDEX(EmployeeData[Join Date], ROW() - 37), "")</f>
        <v/>
      </c>
      <c r="H2768" s="6"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6" t="str" cm="1">
        <f t="array" ref="G2769">IFERROR(INDEX(EmployeeData[Join Date], ROW() - 37), "")</f>
        <v/>
      </c>
      <c r="H2769" s="6"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6" t="str" cm="1">
        <f t="array" ref="G2770">IFERROR(INDEX(EmployeeData[Join Date], ROW() - 37), "")</f>
        <v/>
      </c>
      <c r="H2770" s="6"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6" t="str" cm="1">
        <f t="array" ref="G2771">IFERROR(INDEX(EmployeeData[Join Date], ROW() - 37), "")</f>
        <v/>
      </c>
      <c r="H2771" s="6"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6" t="str" cm="1">
        <f t="array" ref="G2772">IFERROR(INDEX(EmployeeData[Join Date], ROW() - 37), "")</f>
        <v/>
      </c>
      <c r="H2772" s="6"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6" t="str" cm="1">
        <f t="array" ref="G2773">IFERROR(INDEX(EmployeeData[Join Date], ROW() - 37), "")</f>
        <v/>
      </c>
      <c r="H2773" s="6"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6" t="str" cm="1">
        <f t="array" ref="G2774">IFERROR(INDEX(EmployeeData[Join Date], ROW() - 37), "")</f>
        <v/>
      </c>
      <c r="H2774" s="6"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6" t="str" cm="1">
        <f t="array" ref="G2775">IFERROR(INDEX(EmployeeData[Join Date], ROW() - 37), "")</f>
        <v/>
      </c>
      <c r="H2775" s="6"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6" t="str" cm="1">
        <f t="array" ref="G2776">IFERROR(INDEX(EmployeeData[Join Date], ROW() - 37), "")</f>
        <v/>
      </c>
      <c r="H2776" s="6"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6" t="str" cm="1">
        <f t="array" ref="G2777">IFERROR(INDEX(EmployeeData[Join Date], ROW() - 37), "")</f>
        <v/>
      </c>
      <c r="H2777" s="6"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6" t="str" cm="1">
        <f t="array" ref="G2778">IFERROR(INDEX(EmployeeData[Join Date], ROW() - 37), "")</f>
        <v/>
      </c>
      <c r="H2778" s="6"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6" t="str" cm="1">
        <f t="array" ref="G2779">IFERROR(INDEX(EmployeeData[Join Date], ROW() - 37), "")</f>
        <v/>
      </c>
      <c r="H2779" s="6"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6" t="str" cm="1">
        <f t="array" ref="G2780">IFERROR(INDEX(EmployeeData[Join Date], ROW() - 37), "")</f>
        <v/>
      </c>
      <c r="H2780" s="6"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6" t="str" cm="1">
        <f t="array" ref="G2781">IFERROR(INDEX(EmployeeData[Join Date], ROW() - 37), "")</f>
        <v/>
      </c>
      <c r="H2781" s="6"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6" t="str" cm="1">
        <f t="array" ref="G2782">IFERROR(INDEX(EmployeeData[Join Date], ROW() - 37), "")</f>
        <v/>
      </c>
      <c r="H2782" s="6"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6" t="str" cm="1">
        <f t="array" ref="G2783">IFERROR(INDEX(EmployeeData[Join Date], ROW() - 37), "")</f>
        <v/>
      </c>
      <c r="H2783" s="6"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6" t="str" cm="1">
        <f t="array" ref="G2784">IFERROR(INDEX(EmployeeData[Join Date], ROW() - 37), "")</f>
        <v/>
      </c>
      <c r="H2784" s="6"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6" t="str" cm="1">
        <f t="array" ref="G2785">IFERROR(INDEX(EmployeeData[Join Date], ROW() - 37), "")</f>
        <v/>
      </c>
      <c r="H2785" s="6"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6" t="str" cm="1">
        <f t="array" ref="G2786">IFERROR(INDEX(EmployeeData[Join Date], ROW() - 37), "")</f>
        <v/>
      </c>
      <c r="H2786" s="6"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6" t="str" cm="1">
        <f t="array" ref="G2787">IFERROR(INDEX(EmployeeData[Join Date], ROW() - 37), "")</f>
        <v/>
      </c>
      <c r="H2787" s="6"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6" t="str" cm="1">
        <f t="array" ref="G2788">IFERROR(INDEX(EmployeeData[Join Date], ROW() - 37), "")</f>
        <v/>
      </c>
      <c r="H2788" s="6"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6" t="str" cm="1">
        <f t="array" ref="G2789">IFERROR(INDEX(EmployeeData[Join Date], ROW() - 37), "")</f>
        <v/>
      </c>
      <c r="H2789" s="6"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6" t="str" cm="1">
        <f t="array" ref="G2790">IFERROR(INDEX(EmployeeData[Join Date], ROW() - 37), "")</f>
        <v/>
      </c>
      <c r="H2790" s="6"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6" t="str" cm="1">
        <f t="array" ref="G2791">IFERROR(INDEX(EmployeeData[Join Date], ROW() - 37), "")</f>
        <v/>
      </c>
      <c r="H2791" s="6"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6" t="str" cm="1">
        <f t="array" ref="G2792">IFERROR(INDEX(EmployeeData[Join Date], ROW() - 37), "")</f>
        <v/>
      </c>
      <c r="H2792" s="6"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6" t="str" cm="1">
        <f t="array" ref="G2793">IFERROR(INDEX(EmployeeData[Join Date], ROW() - 37), "")</f>
        <v/>
      </c>
      <c r="H2793" s="6"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6" t="str" cm="1">
        <f t="array" ref="G2794">IFERROR(INDEX(EmployeeData[Join Date], ROW() - 37), "")</f>
        <v/>
      </c>
      <c r="H2794" s="6"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6" t="str" cm="1">
        <f t="array" ref="G2795">IFERROR(INDEX(EmployeeData[Join Date], ROW() - 37), "")</f>
        <v/>
      </c>
      <c r="H2795" s="6"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6" t="str" cm="1">
        <f t="array" ref="G2796">IFERROR(INDEX(EmployeeData[Join Date], ROW() - 37), "")</f>
        <v/>
      </c>
      <c r="H2796" s="6"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6" t="str" cm="1">
        <f t="array" ref="G2797">IFERROR(INDEX(EmployeeData[Join Date], ROW() - 37), "")</f>
        <v/>
      </c>
      <c r="H2797" s="6"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6" t="str" cm="1">
        <f t="array" ref="G2798">IFERROR(INDEX(EmployeeData[Join Date], ROW() - 37), "")</f>
        <v/>
      </c>
      <c r="H2798" s="6"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6" t="str" cm="1">
        <f t="array" ref="G2799">IFERROR(INDEX(EmployeeData[Join Date], ROW() - 37), "")</f>
        <v/>
      </c>
      <c r="H2799" s="6"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6" t="str" cm="1">
        <f t="array" ref="G2800">IFERROR(INDEX(EmployeeData[Join Date], ROW() - 37), "")</f>
        <v/>
      </c>
      <c r="H2800" s="6"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6" t="str" cm="1">
        <f t="array" ref="G2801">IFERROR(INDEX(EmployeeData[Join Date], ROW() - 37), "")</f>
        <v/>
      </c>
      <c r="H2801" s="6"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6" t="str" cm="1">
        <f t="array" ref="G2802">IFERROR(INDEX(EmployeeData[Join Date], ROW() - 37), "")</f>
        <v/>
      </c>
      <c r="H2802" s="6"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6" t="str" cm="1">
        <f t="array" ref="G2803">IFERROR(INDEX(EmployeeData[Join Date], ROW() - 37), "")</f>
        <v/>
      </c>
      <c r="H2803" s="6"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6" t="str" cm="1">
        <f t="array" ref="G2804">IFERROR(INDEX(EmployeeData[Join Date], ROW() - 37), "")</f>
        <v/>
      </c>
      <c r="H2804" s="6"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6" t="str" cm="1">
        <f t="array" ref="G2805">IFERROR(INDEX(EmployeeData[Join Date], ROW() - 37), "")</f>
        <v/>
      </c>
      <c r="H2805" s="6"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6" t="str" cm="1">
        <f t="array" ref="G2806">IFERROR(INDEX(EmployeeData[Join Date], ROW() - 37), "")</f>
        <v/>
      </c>
      <c r="H2806" s="6"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6" t="str" cm="1">
        <f t="array" ref="G2807">IFERROR(INDEX(EmployeeData[Join Date], ROW() - 37), "")</f>
        <v/>
      </c>
      <c r="H2807" s="6"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6" t="str" cm="1">
        <f t="array" ref="G2808">IFERROR(INDEX(EmployeeData[Join Date], ROW() - 37), "")</f>
        <v/>
      </c>
      <c r="H2808" s="6"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6" t="str" cm="1">
        <f t="array" ref="G2809">IFERROR(INDEX(EmployeeData[Join Date], ROW() - 37), "")</f>
        <v/>
      </c>
      <c r="H2809" s="6"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6" t="str" cm="1">
        <f t="array" ref="G2810">IFERROR(INDEX(EmployeeData[Join Date], ROW() - 37), "")</f>
        <v/>
      </c>
      <c r="H2810" s="6"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6" t="str" cm="1">
        <f t="array" ref="G2811">IFERROR(INDEX(EmployeeData[Join Date], ROW() - 37), "")</f>
        <v/>
      </c>
      <c r="H2811" s="6"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6" t="str" cm="1">
        <f t="array" ref="G2812">IFERROR(INDEX(EmployeeData[Join Date], ROW() - 37), "")</f>
        <v/>
      </c>
      <c r="H2812" s="6"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6" t="str" cm="1">
        <f t="array" ref="G2813">IFERROR(INDEX(EmployeeData[Join Date], ROW() - 37), "")</f>
        <v/>
      </c>
      <c r="H2813" s="6"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6" t="str" cm="1">
        <f t="array" ref="G2814">IFERROR(INDEX(EmployeeData[Join Date], ROW() - 37), "")</f>
        <v/>
      </c>
      <c r="H2814" s="6"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6" t="str" cm="1">
        <f t="array" ref="G2815">IFERROR(INDEX(EmployeeData[Join Date], ROW() - 37), "")</f>
        <v/>
      </c>
      <c r="H2815" s="6"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6" t="str" cm="1">
        <f t="array" ref="G2816">IFERROR(INDEX(EmployeeData[Join Date], ROW() - 37), "")</f>
        <v/>
      </c>
      <c r="H2816" s="6"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6" t="str" cm="1">
        <f t="array" ref="G2817">IFERROR(INDEX(EmployeeData[Join Date], ROW() - 37), "")</f>
        <v/>
      </c>
      <c r="H2817" s="6"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6" t="str" cm="1">
        <f t="array" ref="G2818">IFERROR(INDEX(EmployeeData[Join Date], ROW() - 37), "")</f>
        <v/>
      </c>
      <c r="H2818" s="6"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6" t="str" cm="1">
        <f t="array" ref="G2819">IFERROR(INDEX(EmployeeData[Join Date], ROW() - 37), "")</f>
        <v/>
      </c>
      <c r="H2819" s="6"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6" t="str" cm="1">
        <f t="array" ref="G2820">IFERROR(INDEX(EmployeeData[Join Date], ROW() - 37), "")</f>
        <v/>
      </c>
      <c r="H2820" s="6"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6" t="str" cm="1">
        <f t="array" ref="G2821">IFERROR(INDEX(EmployeeData[Join Date], ROW() - 37), "")</f>
        <v/>
      </c>
      <c r="H2821" s="6"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6" t="str" cm="1">
        <f t="array" ref="G2822">IFERROR(INDEX(EmployeeData[Join Date], ROW() - 37), "")</f>
        <v/>
      </c>
      <c r="H2822" s="6"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6" t="str" cm="1">
        <f t="array" ref="G2823">IFERROR(INDEX(EmployeeData[Join Date], ROW() - 37), "")</f>
        <v/>
      </c>
      <c r="H2823" s="6"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6" t="str" cm="1">
        <f t="array" ref="G2824">IFERROR(INDEX(EmployeeData[Join Date], ROW() - 37), "")</f>
        <v/>
      </c>
      <c r="H2824" s="6"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6" t="str" cm="1">
        <f t="array" ref="G2825">IFERROR(INDEX(EmployeeData[Join Date], ROW() - 37), "")</f>
        <v/>
      </c>
      <c r="H2825" s="6"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6" t="str" cm="1">
        <f t="array" ref="G2826">IFERROR(INDEX(EmployeeData[Join Date], ROW() - 37), "")</f>
        <v/>
      </c>
      <c r="H2826" s="6"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6" t="str" cm="1">
        <f t="array" ref="G2827">IFERROR(INDEX(EmployeeData[Join Date], ROW() - 37), "")</f>
        <v/>
      </c>
      <c r="H2827" s="6"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6" t="str" cm="1">
        <f t="array" ref="G2828">IFERROR(INDEX(EmployeeData[Join Date], ROW() - 37), "")</f>
        <v/>
      </c>
      <c r="H2828" s="6"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6" t="str" cm="1">
        <f t="array" ref="G2829">IFERROR(INDEX(EmployeeData[Join Date], ROW() - 37), "")</f>
        <v/>
      </c>
      <c r="H2829" s="6"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6" t="str" cm="1">
        <f t="array" ref="G2830">IFERROR(INDEX(EmployeeData[Join Date], ROW() - 37), "")</f>
        <v/>
      </c>
      <c r="H2830" s="6"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6" t="str" cm="1">
        <f t="array" ref="G2831">IFERROR(INDEX(EmployeeData[Join Date], ROW() - 37), "")</f>
        <v/>
      </c>
      <c r="H2831" s="6"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6" t="str" cm="1">
        <f t="array" ref="G2832">IFERROR(INDEX(EmployeeData[Join Date], ROW() - 37), "")</f>
        <v/>
      </c>
      <c r="H2832" s="6"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6" t="str" cm="1">
        <f t="array" ref="G2833">IFERROR(INDEX(EmployeeData[Join Date], ROW() - 37), "")</f>
        <v/>
      </c>
      <c r="H2833" s="6"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6" t="str" cm="1">
        <f t="array" ref="G2834">IFERROR(INDEX(EmployeeData[Join Date], ROW() - 37), "")</f>
        <v/>
      </c>
      <c r="H2834" s="6"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6" t="str" cm="1">
        <f t="array" ref="G2835">IFERROR(INDEX(EmployeeData[Join Date], ROW() - 37), "")</f>
        <v/>
      </c>
      <c r="H2835" s="6"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6" t="str" cm="1">
        <f t="array" ref="G2836">IFERROR(INDEX(EmployeeData[Join Date], ROW() - 37), "")</f>
        <v/>
      </c>
      <c r="H2836" s="6"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6" t="str" cm="1">
        <f t="array" ref="G2837">IFERROR(INDEX(EmployeeData[Join Date], ROW() - 37), "")</f>
        <v/>
      </c>
      <c r="H2837" s="6"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6" t="str" cm="1">
        <f t="array" ref="G2838">IFERROR(INDEX(EmployeeData[Join Date], ROW() - 37), "")</f>
        <v/>
      </c>
      <c r="H2838" s="6"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6" t="str" cm="1">
        <f t="array" ref="G2839">IFERROR(INDEX(EmployeeData[Join Date], ROW() - 37), "")</f>
        <v/>
      </c>
      <c r="H2839" s="6"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6" t="str" cm="1">
        <f t="array" ref="G2840">IFERROR(INDEX(EmployeeData[Join Date], ROW() - 37), "")</f>
        <v/>
      </c>
      <c r="H2840" s="6"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6" t="str" cm="1">
        <f t="array" ref="G2841">IFERROR(INDEX(EmployeeData[Join Date], ROW() - 37), "")</f>
        <v/>
      </c>
      <c r="H2841" s="6"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6" t="str" cm="1">
        <f t="array" ref="G2842">IFERROR(INDEX(EmployeeData[Join Date], ROW() - 37), "")</f>
        <v/>
      </c>
      <c r="H2842" s="6"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6" t="str" cm="1">
        <f t="array" ref="G2843">IFERROR(INDEX(EmployeeData[Join Date], ROW() - 37), "")</f>
        <v/>
      </c>
      <c r="H2843" s="6"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6" t="str" cm="1">
        <f t="array" ref="G2844">IFERROR(INDEX(EmployeeData[Join Date], ROW() - 37), "")</f>
        <v/>
      </c>
      <c r="H2844" s="6"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6" t="str" cm="1">
        <f t="array" ref="G2845">IFERROR(INDEX(EmployeeData[Join Date], ROW() - 37), "")</f>
        <v/>
      </c>
      <c r="H2845" s="6"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6" t="str" cm="1">
        <f t="array" ref="G2846">IFERROR(INDEX(EmployeeData[Join Date], ROW() - 37), "")</f>
        <v/>
      </c>
      <c r="H2846" s="6"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6" t="str" cm="1">
        <f t="array" ref="G2847">IFERROR(INDEX(EmployeeData[Join Date], ROW() - 37), "")</f>
        <v/>
      </c>
      <c r="H2847" s="6"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6" t="str" cm="1">
        <f t="array" ref="G2848">IFERROR(INDEX(EmployeeData[Join Date], ROW() - 37), "")</f>
        <v/>
      </c>
      <c r="H2848" s="6"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6" t="str" cm="1">
        <f t="array" ref="G2849">IFERROR(INDEX(EmployeeData[Join Date], ROW() - 37), "")</f>
        <v/>
      </c>
      <c r="H2849" s="6"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6" t="str" cm="1">
        <f t="array" ref="G2850">IFERROR(INDEX(EmployeeData[Join Date], ROW() - 37), "")</f>
        <v/>
      </c>
      <c r="H2850" s="6"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6" t="str" cm="1">
        <f t="array" ref="G2851">IFERROR(INDEX(EmployeeData[Join Date], ROW() - 37), "")</f>
        <v/>
      </c>
      <c r="H2851" s="6"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6" t="str" cm="1">
        <f t="array" ref="G2852">IFERROR(INDEX(EmployeeData[Join Date], ROW() - 37), "")</f>
        <v/>
      </c>
      <c r="H2852" s="6"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6" t="str" cm="1">
        <f t="array" ref="G2853">IFERROR(INDEX(EmployeeData[Join Date], ROW() - 37), "")</f>
        <v/>
      </c>
      <c r="H2853" s="6"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6" t="str" cm="1">
        <f t="array" ref="G2854">IFERROR(INDEX(EmployeeData[Join Date], ROW() - 37), "")</f>
        <v/>
      </c>
      <c r="H2854" s="6"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6" t="str" cm="1">
        <f t="array" ref="G2855">IFERROR(INDEX(EmployeeData[Join Date], ROW() - 37), "")</f>
        <v/>
      </c>
      <c r="H2855" s="6"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6" t="str" cm="1">
        <f t="array" ref="G2856">IFERROR(INDEX(EmployeeData[Join Date], ROW() - 37), "")</f>
        <v/>
      </c>
      <c r="H2856" s="6"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6" t="str" cm="1">
        <f t="array" ref="G2857">IFERROR(INDEX(EmployeeData[Join Date], ROW() - 37), "")</f>
        <v/>
      </c>
      <c r="H2857" s="6"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6" t="str" cm="1">
        <f t="array" ref="G2858">IFERROR(INDEX(EmployeeData[Join Date], ROW() - 37), "")</f>
        <v/>
      </c>
      <c r="H2858" s="6"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6" t="str" cm="1">
        <f t="array" ref="G2859">IFERROR(INDEX(EmployeeData[Join Date], ROW() - 37), "")</f>
        <v/>
      </c>
      <c r="H2859" s="6"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6" t="str" cm="1">
        <f t="array" ref="G2860">IFERROR(INDEX(EmployeeData[Join Date], ROW() - 37), "")</f>
        <v/>
      </c>
      <c r="H2860" s="6"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6" t="str" cm="1">
        <f t="array" ref="G2861">IFERROR(INDEX(EmployeeData[Join Date], ROW() - 37), "")</f>
        <v/>
      </c>
      <c r="H2861" s="6"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6" t="str" cm="1">
        <f t="array" ref="G2862">IFERROR(INDEX(EmployeeData[Join Date], ROW() - 37), "")</f>
        <v/>
      </c>
      <c r="H2862" s="6"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6" t="str" cm="1">
        <f t="array" ref="G2863">IFERROR(INDEX(EmployeeData[Join Date], ROW() - 37), "")</f>
        <v/>
      </c>
      <c r="H2863" s="6"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6" t="str" cm="1">
        <f t="array" ref="G2864">IFERROR(INDEX(EmployeeData[Join Date], ROW() - 37), "")</f>
        <v/>
      </c>
      <c r="H2864" s="6"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6" t="str" cm="1">
        <f t="array" ref="G2865">IFERROR(INDEX(EmployeeData[Join Date], ROW() - 37), "")</f>
        <v/>
      </c>
      <c r="H2865" s="6"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6" t="str" cm="1">
        <f t="array" ref="G2866">IFERROR(INDEX(EmployeeData[Join Date], ROW() - 37), "")</f>
        <v/>
      </c>
      <c r="H2866" s="6"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6" t="str" cm="1">
        <f t="array" ref="G2867">IFERROR(INDEX(EmployeeData[Join Date], ROW() - 37), "")</f>
        <v/>
      </c>
      <c r="H2867" s="6"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6" t="str" cm="1">
        <f t="array" ref="G2868">IFERROR(INDEX(EmployeeData[Join Date], ROW() - 37), "")</f>
        <v/>
      </c>
      <c r="H2868" s="6"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6" t="str" cm="1">
        <f t="array" ref="G2869">IFERROR(INDEX(EmployeeData[Join Date], ROW() - 37), "")</f>
        <v/>
      </c>
      <c r="H2869" s="6"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6" t="str" cm="1">
        <f t="array" ref="G2870">IFERROR(INDEX(EmployeeData[Join Date], ROW() - 37), "")</f>
        <v/>
      </c>
      <c r="H2870" s="6"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6" t="str" cm="1">
        <f t="array" ref="G2871">IFERROR(INDEX(EmployeeData[Join Date], ROW() - 37), "")</f>
        <v/>
      </c>
      <c r="H2871" s="6"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6" t="str" cm="1">
        <f t="array" ref="G2872">IFERROR(INDEX(EmployeeData[Join Date], ROW() - 37), "")</f>
        <v/>
      </c>
      <c r="H2872" s="6"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6" t="str" cm="1">
        <f t="array" ref="G2873">IFERROR(INDEX(EmployeeData[Join Date], ROW() - 37), "")</f>
        <v/>
      </c>
      <c r="H2873" s="6"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6" t="str" cm="1">
        <f t="array" ref="G2874">IFERROR(INDEX(EmployeeData[Join Date], ROW() - 37), "")</f>
        <v/>
      </c>
      <c r="H2874" s="6"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6" t="str" cm="1">
        <f t="array" ref="G2875">IFERROR(INDEX(EmployeeData[Join Date], ROW() - 37), "")</f>
        <v/>
      </c>
      <c r="H2875" s="6"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6" t="str" cm="1">
        <f t="array" ref="G2876">IFERROR(INDEX(EmployeeData[Join Date], ROW() - 37), "")</f>
        <v/>
      </c>
      <c r="H2876" s="6"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6" t="str" cm="1">
        <f t="array" ref="G2877">IFERROR(INDEX(EmployeeData[Join Date], ROW() - 37), "")</f>
        <v/>
      </c>
      <c r="H2877" s="6"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6" t="str" cm="1">
        <f t="array" ref="G2878">IFERROR(INDEX(EmployeeData[Join Date], ROW() - 37), "")</f>
        <v/>
      </c>
      <c r="H2878" s="6"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6" t="str" cm="1">
        <f t="array" ref="G2879">IFERROR(INDEX(EmployeeData[Join Date], ROW() - 37), "")</f>
        <v/>
      </c>
      <c r="H2879" s="6"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6" t="str" cm="1">
        <f t="array" ref="G2880">IFERROR(INDEX(EmployeeData[Join Date], ROW() - 37), "")</f>
        <v/>
      </c>
      <c r="H2880" s="6"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6" t="str" cm="1">
        <f t="array" ref="G2881">IFERROR(INDEX(EmployeeData[Join Date], ROW() - 37), "")</f>
        <v/>
      </c>
      <c r="H2881" s="6"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6" t="str" cm="1">
        <f t="array" ref="G2882">IFERROR(INDEX(EmployeeData[Join Date], ROW() - 37), "")</f>
        <v/>
      </c>
      <c r="H2882" s="6"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6" t="str" cm="1">
        <f t="array" ref="G2883">IFERROR(INDEX(EmployeeData[Join Date], ROW() - 37), "")</f>
        <v/>
      </c>
      <c r="H2883" s="6"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6" t="str" cm="1">
        <f t="array" ref="G2884">IFERROR(INDEX(EmployeeData[Join Date], ROW() - 37), "")</f>
        <v/>
      </c>
      <c r="H2884" s="6"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6" t="str" cm="1">
        <f t="array" ref="G2885">IFERROR(INDEX(EmployeeData[Join Date], ROW() - 37), "")</f>
        <v/>
      </c>
      <c r="H2885" s="6"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6" t="str" cm="1">
        <f t="array" ref="G2886">IFERROR(INDEX(EmployeeData[Join Date], ROW() - 37), "")</f>
        <v/>
      </c>
      <c r="H2886" s="6"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6" t="str" cm="1">
        <f t="array" ref="G2887">IFERROR(INDEX(EmployeeData[Join Date], ROW() - 37), "")</f>
        <v/>
      </c>
      <c r="H2887" s="6"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6" t="str" cm="1">
        <f t="array" ref="G2888">IFERROR(INDEX(EmployeeData[Join Date], ROW() - 37), "")</f>
        <v/>
      </c>
      <c r="H2888" s="6"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6" t="str" cm="1">
        <f t="array" ref="G2889">IFERROR(INDEX(EmployeeData[Join Date], ROW() - 37), "")</f>
        <v/>
      </c>
      <c r="H2889" s="6"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6" t="str" cm="1">
        <f t="array" ref="G2890">IFERROR(INDEX(EmployeeData[Join Date], ROW() - 37), "")</f>
        <v/>
      </c>
      <c r="H2890" s="6"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6" t="str" cm="1">
        <f t="array" ref="G2891">IFERROR(INDEX(EmployeeData[Join Date], ROW() - 37), "")</f>
        <v/>
      </c>
      <c r="H2891" s="6"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6" t="str" cm="1">
        <f t="array" ref="G2892">IFERROR(INDEX(EmployeeData[Join Date], ROW() - 37), "")</f>
        <v/>
      </c>
      <c r="H2892" s="6"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6" t="str" cm="1">
        <f t="array" ref="G2893">IFERROR(INDEX(EmployeeData[Join Date], ROW() - 37), "")</f>
        <v/>
      </c>
      <c r="H2893" s="6"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6" t="str" cm="1">
        <f t="array" ref="G2894">IFERROR(INDEX(EmployeeData[Join Date], ROW() - 37), "")</f>
        <v/>
      </c>
      <c r="H2894" s="6"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6" t="str" cm="1">
        <f t="array" ref="G2895">IFERROR(INDEX(EmployeeData[Join Date], ROW() - 37), "")</f>
        <v/>
      </c>
      <c r="H2895" s="6"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6" t="str" cm="1">
        <f t="array" ref="G2896">IFERROR(INDEX(EmployeeData[Join Date], ROW() - 37), "")</f>
        <v/>
      </c>
      <c r="H2896" s="6"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6" t="str" cm="1">
        <f t="array" ref="G2897">IFERROR(INDEX(EmployeeData[Join Date], ROW() - 37), "")</f>
        <v/>
      </c>
      <c r="H2897" s="6"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6" t="str" cm="1">
        <f t="array" ref="G2898">IFERROR(INDEX(EmployeeData[Join Date], ROW() - 37), "")</f>
        <v/>
      </c>
      <c r="H2898" s="6"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6" t="str" cm="1">
        <f t="array" ref="G2899">IFERROR(INDEX(EmployeeData[Join Date], ROW() - 37), "")</f>
        <v/>
      </c>
      <c r="H2899" s="6"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6" t="str" cm="1">
        <f t="array" ref="G2900">IFERROR(INDEX(EmployeeData[Join Date], ROW() - 37), "")</f>
        <v/>
      </c>
      <c r="H2900" s="6"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6" t="str" cm="1">
        <f t="array" ref="G2901">IFERROR(INDEX(EmployeeData[Join Date], ROW() - 37), "")</f>
        <v/>
      </c>
      <c r="H2901" s="6"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6" t="str" cm="1">
        <f t="array" ref="G2902">IFERROR(INDEX(EmployeeData[Join Date], ROW() - 37), "")</f>
        <v/>
      </c>
      <c r="H2902" s="6"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6" t="str" cm="1">
        <f t="array" ref="G2903">IFERROR(INDEX(EmployeeData[Join Date], ROW() - 37), "")</f>
        <v/>
      </c>
      <c r="H2903" s="6"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6" t="str" cm="1">
        <f t="array" ref="G2904">IFERROR(INDEX(EmployeeData[Join Date], ROW() - 37), "")</f>
        <v/>
      </c>
      <c r="H2904" s="6"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6" t="str" cm="1">
        <f t="array" ref="G2905">IFERROR(INDEX(EmployeeData[Join Date], ROW() - 37), "")</f>
        <v/>
      </c>
      <c r="H2905" s="6"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6" t="str" cm="1">
        <f t="array" ref="G2906">IFERROR(INDEX(EmployeeData[Join Date], ROW() - 37), "")</f>
        <v/>
      </c>
      <c r="H2906" s="6"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6" t="str" cm="1">
        <f t="array" ref="G2907">IFERROR(INDEX(EmployeeData[Join Date], ROW() - 37), "")</f>
        <v/>
      </c>
      <c r="H2907" s="6"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6" t="str" cm="1">
        <f t="array" ref="G2908">IFERROR(INDEX(EmployeeData[Join Date], ROW() - 37), "")</f>
        <v/>
      </c>
      <c r="H2908" s="6"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6" t="str" cm="1">
        <f t="array" ref="G2909">IFERROR(INDEX(EmployeeData[Join Date], ROW() - 37), "")</f>
        <v/>
      </c>
      <c r="H2909" s="6"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6" t="str" cm="1">
        <f t="array" ref="G2910">IFERROR(INDEX(EmployeeData[Join Date], ROW() - 37), "")</f>
        <v/>
      </c>
      <c r="H2910" s="6"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6" t="str" cm="1">
        <f t="array" ref="G2911">IFERROR(INDEX(EmployeeData[Join Date], ROW() - 37), "")</f>
        <v/>
      </c>
      <c r="H2911" s="6"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6" t="str" cm="1">
        <f t="array" ref="G2912">IFERROR(INDEX(EmployeeData[Join Date], ROW() - 37), "")</f>
        <v/>
      </c>
      <c r="H2912" s="6"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6" t="str" cm="1">
        <f t="array" ref="G2913">IFERROR(INDEX(EmployeeData[Join Date], ROW() - 37), "")</f>
        <v/>
      </c>
      <c r="H2913" s="6"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6" t="str" cm="1">
        <f t="array" ref="G2914">IFERROR(INDEX(EmployeeData[Join Date], ROW() - 37), "")</f>
        <v/>
      </c>
      <c r="H2914" s="6"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6" t="str" cm="1">
        <f t="array" ref="G2915">IFERROR(INDEX(EmployeeData[Join Date], ROW() - 37), "")</f>
        <v/>
      </c>
      <c r="H2915" s="6"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6" t="str" cm="1">
        <f t="array" ref="G2916">IFERROR(INDEX(EmployeeData[Join Date], ROW() - 37), "")</f>
        <v/>
      </c>
      <c r="H2916" s="6"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6" t="str" cm="1">
        <f t="array" ref="G2917">IFERROR(INDEX(EmployeeData[Join Date], ROW() - 37), "")</f>
        <v/>
      </c>
      <c r="H2917" s="6"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6" t="str" cm="1">
        <f t="array" ref="G2918">IFERROR(INDEX(EmployeeData[Join Date], ROW() - 37), "")</f>
        <v/>
      </c>
      <c r="H2918" s="6"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6" t="str" cm="1">
        <f t="array" ref="G2919">IFERROR(INDEX(EmployeeData[Join Date], ROW() - 37), "")</f>
        <v/>
      </c>
      <c r="H2919" s="6"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6" t="str" cm="1">
        <f t="array" ref="G2920">IFERROR(INDEX(EmployeeData[Join Date], ROW() - 37), "")</f>
        <v/>
      </c>
      <c r="H2920" s="6"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6" t="str" cm="1">
        <f t="array" ref="G2921">IFERROR(INDEX(EmployeeData[Join Date], ROW() - 37), "")</f>
        <v/>
      </c>
      <c r="H2921" s="6"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6" t="str" cm="1">
        <f t="array" ref="G2922">IFERROR(INDEX(EmployeeData[Join Date], ROW() - 37), "")</f>
        <v/>
      </c>
      <c r="H2922" s="6"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6" t="str" cm="1">
        <f t="array" ref="G2923">IFERROR(INDEX(EmployeeData[Join Date], ROW() - 37), "")</f>
        <v/>
      </c>
      <c r="H2923" s="6"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6" t="str" cm="1">
        <f t="array" ref="G2924">IFERROR(INDEX(EmployeeData[Join Date], ROW() - 37), "")</f>
        <v/>
      </c>
      <c r="H2924" s="6"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6" t="str" cm="1">
        <f t="array" ref="G2925">IFERROR(INDEX(EmployeeData[Join Date], ROW() - 37), "")</f>
        <v/>
      </c>
      <c r="H2925" s="6"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6" t="str" cm="1">
        <f t="array" ref="G2926">IFERROR(INDEX(EmployeeData[Join Date], ROW() - 37), "")</f>
        <v/>
      </c>
      <c r="H2926" s="6"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6" t="str" cm="1">
        <f t="array" ref="G2927">IFERROR(INDEX(EmployeeData[Join Date], ROW() - 37), "")</f>
        <v/>
      </c>
      <c r="H2927" s="6"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6" t="str" cm="1">
        <f t="array" ref="G2928">IFERROR(INDEX(EmployeeData[Join Date], ROW() - 37), "")</f>
        <v/>
      </c>
      <c r="H2928" s="6"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6" t="str" cm="1">
        <f t="array" ref="G2929">IFERROR(INDEX(EmployeeData[Join Date], ROW() - 37), "")</f>
        <v/>
      </c>
      <c r="H2929" s="6"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6" t="str" cm="1">
        <f t="array" ref="G2930">IFERROR(INDEX(EmployeeData[Join Date], ROW() - 37), "")</f>
        <v/>
      </c>
      <c r="H2930" s="6"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6" t="str" cm="1">
        <f t="array" ref="G2931">IFERROR(INDEX(EmployeeData[Join Date], ROW() - 37), "")</f>
        <v/>
      </c>
      <c r="H2931" s="6"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6" t="str" cm="1">
        <f t="array" ref="G2932">IFERROR(INDEX(EmployeeData[Join Date], ROW() - 37), "")</f>
        <v/>
      </c>
      <c r="H2932" s="6"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6" t="str" cm="1">
        <f t="array" ref="G2933">IFERROR(INDEX(EmployeeData[Join Date], ROW() - 37), "")</f>
        <v/>
      </c>
      <c r="H2933" s="6"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6" t="str" cm="1">
        <f t="array" ref="G2934">IFERROR(INDEX(EmployeeData[Join Date], ROW() - 37), "")</f>
        <v/>
      </c>
      <c r="H2934" s="6"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6" t="str" cm="1">
        <f t="array" ref="G2935">IFERROR(INDEX(EmployeeData[Join Date], ROW() - 37), "")</f>
        <v/>
      </c>
      <c r="H2935" s="6"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6" t="str" cm="1">
        <f t="array" ref="G2936">IFERROR(INDEX(EmployeeData[Join Date], ROW() - 37), "")</f>
        <v/>
      </c>
      <c r="H2936" s="6"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6" t="str" cm="1">
        <f t="array" ref="G2937">IFERROR(INDEX(EmployeeData[Join Date], ROW() - 37), "")</f>
        <v/>
      </c>
      <c r="H2937" s="6"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6" t="str" cm="1">
        <f t="array" ref="G2938">IFERROR(INDEX(EmployeeData[Join Date], ROW() - 37), "")</f>
        <v/>
      </c>
      <c r="H2938" s="6"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6" t="str" cm="1">
        <f t="array" ref="G2939">IFERROR(INDEX(EmployeeData[Join Date], ROW() - 37), "")</f>
        <v/>
      </c>
      <c r="H2939" s="6"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6" t="str" cm="1">
        <f t="array" ref="G2940">IFERROR(INDEX(EmployeeData[Join Date], ROW() - 37), "")</f>
        <v/>
      </c>
      <c r="H2940" s="6"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6" t="str" cm="1">
        <f t="array" ref="G2941">IFERROR(INDEX(EmployeeData[Join Date], ROW() - 37), "")</f>
        <v/>
      </c>
      <c r="H2941" s="6"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6" t="str" cm="1">
        <f t="array" ref="G2942">IFERROR(INDEX(EmployeeData[Join Date], ROW() - 37), "")</f>
        <v/>
      </c>
      <c r="H2942" s="6"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6" t="str" cm="1">
        <f t="array" ref="G2943">IFERROR(INDEX(EmployeeData[Join Date], ROW() - 37), "")</f>
        <v/>
      </c>
      <c r="H2943" s="6"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6" t="str" cm="1">
        <f t="array" ref="G2944">IFERROR(INDEX(EmployeeData[Join Date], ROW() - 37), "")</f>
        <v/>
      </c>
      <c r="H2944" s="6"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6" t="str" cm="1">
        <f t="array" ref="G2945">IFERROR(INDEX(EmployeeData[Join Date], ROW() - 37), "")</f>
        <v/>
      </c>
      <c r="H2945" s="6"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6" t="str" cm="1">
        <f t="array" ref="G2946">IFERROR(INDEX(EmployeeData[Join Date], ROW() - 37), "")</f>
        <v/>
      </c>
      <c r="H2946" s="6"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6" t="str" cm="1">
        <f t="array" ref="G2947">IFERROR(INDEX(EmployeeData[Join Date], ROW() - 37), "")</f>
        <v/>
      </c>
      <c r="H2947" s="6"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6" t="str" cm="1">
        <f t="array" ref="G2948">IFERROR(INDEX(EmployeeData[Join Date], ROW() - 37), "")</f>
        <v/>
      </c>
      <c r="H2948" s="6"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6" t="str" cm="1">
        <f t="array" ref="G2949">IFERROR(INDEX(EmployeeData[Join Date], ROW() - 37), "")</f>
        <v/>
      </c>
      <c r="H2949" s="6"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6" t="str" cm="1">
        <f t="array" ref="G2950">IFERROR(INDEX(EmployeeData[Join Date], ROW() - 37), "")</f>
        <v/>
      </c>
      <c r="H2950" s="6"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6" t="str" cm="1">
        <f t="array" ref="G2951">IFERROR(INDEX(EmployeeData[Join Date], ROW() - 37), "")</f>
        <v/>
      </c>
      <c r="H2951" s="6"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6" t="str" cm="1">
        <f t="array" ref="G2952">IFERROR(INDEX(EmployeeData[Join Date], ROW() - 37), "")</f>
        <v/>
      </c>
      <c r="H2952" s="6"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6" t="str" cm="1">
        <f t="array" ref="G2953">IFERROR(INDEX(EmployeeData[Join Date], ROW() - 37), "")</f>
        <v/>
      </c>
      <c r="H2953" s="6"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6" t="str" cm="1">
        <f t="array" ref="G2954">IFERROR(INDEX(EmployeeData[Join Date], ROW() - 37), "")</f>
        <v/>
      </c>
      <c r="H2954" s="6"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6" t="str" cm="1">
        <f t="array" ref="G2955">IFERROR(INDEX(EmployeeData[Join Date], ROW() - 37), "")</f>
        <v/>
      </c>
      <c r="H2955" s="6"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6" t="str" cm="1">
        <f t="array" ref="G2956">IFERROR(INDEX(EmployeeData[Join Date], ROW() - 37), "")</f>
        <v/>
      </c>
      <c r="H2956" s="6"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6" t="str" cm="1">
        <f t="array" ref="G2957">IFERROR(INDEX(EmployeeData[Join Date], ROW() - 37), "")</f>
        <v/>
      </c>
      <c r="H2957" s="6"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6" t="str" cm="1">
        <f t="array" ref="G2958">IFERROR(INDEX(EmployeeData[Join Date], ROW() - 37), "")</f>
        <v/>
      </c>
      <c r="H2958" s="6"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6" t="str" cm="1">
        <f t="array" ref="G2959">IFERROR(INDEX(EmployeeData[Join Date], ROW() - 37), "")</f>
        <v/>
      </c>
      <c r="H2959" s="6"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6" t="str" cm="1">
        <f t="array" ref="G2960">IFERROR(INDEX(EmployeeData[Join Date], ROW() - 37), "")</f>
        <v/>
      </c>
      <c r="H2960" s="6"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6" t="str" cm="1">
        <f t="array" ref="G2961">IFERROR(INDEX(EmployeeData[Join Date], ROW() - 37), "")</f>
        <v/>
      </c>
      <c r="H2961" s="6"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6" t="str" cm="1">
        <f t="array" ref="G2962">IFERROR(INDEX(EmployeeData[Join Date], ROW() - 37), "")</f>
        <v/>
      </c>
      <c r="H2962" s="6"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6" t="str" cm="1">
        <f t="array" ref="G2963">IFERROR(INDEX(EmployeeData[Join Date], ROW() - 37), "")</f>
        <v/>
      </c>
      <c r="H2963" s="6"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6" t="str" cm="1">
        <f t="array" ref="G2964">IFERROR(INDEX(EmployeeData[Join Date], ROW() - 37), "")</f>
        <v/>
      </c>
      <c r="H2964" s="6"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6" t="str" cm="1">
        <f t="array" ref="G2965">IFERROR(INDEX(EmployeeData[Join Date], ROW() - 37), "")</f>
        <v/>
      </c>
      <c r="H2965" s="6"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6" t="str" cm="1">
        <f t="array" ref="G2966">IFERROR(INDEX(EmployeeData[Join Date], ROW() - 37), "")</f>
        <v/>
      </c>
      <c r="H2966" s="6"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6" t="str" cm="1">
        <f t="array" ref="G2967">IFERROR(INDEX(EmployeeData[Join Date], ROW() - 37), "")</f>
        <v/>
      </c>
      <c r="H2967" s="6"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6" t="str" cm="1">
        <f t="array" ref="G2968">IFERROR(INDEX(EmployeeData[Join Date], ROW() - 37), "")</f>
        <v/>
      </c>
      <c r="H2968" s="6"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6" t="str" cm="1">
        <f t="array" ref="G2969">IFERROR(INDEX(EmployeeData[Join Date], ROW() - 37), "")</f>
        <v/>
      </c>
      <c r="H2969" s="6"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6" t="str" cm="1">
        <f t="array" ref="G2970">IFERROR(INDEX(EmployeeData[Join Date], ROW() - 37), "")</f>
        <v/>
      </c>
      <c r="H2970" s="6"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6" t="str" cm="1">
        <f t="array" ref="G2971">IFERROR(INDEX(EmployeeData[Join Date], ROW() - 37), "")</f>
        <v/>
      </c>
      <c r="H2971" s="6"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6" t="str" cm="1">
        <f t="array" ref="G2972">IFERROR(INDEX(EmployeeData[Join Date], ROW() - 37), "")</f>
        <v/>
      </c>
      <c r="H2972" s="6"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6" t="str" cm="1">
        <f t="array" ref="G2973">IFERROR(INDEX(EmployeeData[Join Date], ROW() - 37), "")</f>
        <v/>
      </c>
      <c r="H2973" s="6"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6" t="str" cm="1">
        <f t="array" ref="G2974">IFERROR(INDEX(EmployeeData[Join Date], ROW() - 37), "")</f>
        <v/>
      </c>
      <c r="H2974" s="6"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6" t="str" cm="1">
        <f t="array" ref="G2975">IFERROR(INDEX(EmployeeData[Join Date], ROW() - 37), "")</f>
        <v/>
      </c>
      <c r="H2975" s="6"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6" t="str" cm="1">
        <f t="array" ref="G2976">IFERROR(INDEX(EmployeeData[Join Date], ROW() - 37), "")</f>
        <v/>
      </c>
      <c r="H2976" s="6"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6" t="str" cm="1">
        <f t="array" ref="G2977">IFERROR(INDEX(EmployeeData[Join Date], ROW() - 37), "")</f>
        <v/>
      </c>
      <c r="H2977" s="6"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6" t="str" cm="1">
        <f t="array" ref="G2978">IFERROR(INDEX(EmployeeData[Join Date], ROW() - 37), "")</f>
        <v/>
      </c>
      <c r="H2978" s="6"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6" t="str" cm="1">
        <f t="array" ref="G2979">IFERROR(INDEX(EmployeeData[Join Date], ROW() - 37), "")</f>
        <v/>
      </c>
      <c r="H2979" s="6"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6" t="str" cm="1">
        <f t="array" ref="G2980">IFERROR(INDEX(EmployeeData[Join Date], ROW() - 37), "")</f>
        <v/>
      </c>
      <c r="H2980" s="6"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6" t="str" cm="1">
        <f t="array" ref="G2981">IFERROR(INDEX(EmployeeData[Join Date], ROW() - 37), "")</f>
        <v/>
      </c>
      <c r="H2981" s="6"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6" t="str" cm="1">
        <f t="array" ref="G2982">IFERROR(INDEX(EmployeeData[Join Date], ROW() - 37), "")</f>
        <v/>
      </c>
      <c r="H2982" s="6"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6" t="str" cm="1">
        <f t="array" ref="G2983">IFERROR(INDEX(EmployeeData[Join Date], ROW() - 37), "")</f>
        <v/>
      </c>
      <c r="H2983" s="6"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6" t="str" cm="1">
        <f t="array" ref="G2984">IFERROR(INDEX(EmployeeData[Join Date], ROW() - 37), "")</f>
        <v/>
      </c>
      <c r="H2984" s="6"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6" t="str" cm="1">
        <f t="array" ref="G2985">IFERROR(INDEX(EmployeeData[Join Date], ROW() - 37), "")</f>
        <v/>
      </c>
      <c r="H2985" s="6"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6" t="str" cm="1">
        <f t="array" ref="G2986">IFERROR(INDEX(EmployeeData[Join Date], ROW() - 37), "")</f>
        <v/>
      </c>
      <c r="H2986" s="6"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6" t="str" cm="1">
        <f t="array" ref="G2987">IFERROR(INDEX(EmployeeData[Join Date], ROW() - 37), "")</f>
        <v/>
      </c>
      <c r="H2987" s="6"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6" t="str" cm="1">
        <f t="array" ref="G2988">IFERROR(INDEX(EmployeeData[Join Date], ROW() - 37), "")</f>
        <v/>
      </c>
      <c r="H2988" s="6"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6" t="str" cm="1">
        <f t="array" ref="G2989">IFERROR(INDEX(EmployeeData[Join Date], ROW() - 37), "")</f>
        <v/>
      </c>
      <c r="H2989" s="6"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6" t="str" cm="1">
        <f t="array" ref="G2990">IFERROR(INDEX(EmployeeData[Join Date], ROW() - 37), "")</f>
        <v/>
      </c>
      <c r="H2990" s="6"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6" t="str" cm="1">
        <f t="array" ref="G2991">IFERROR(INDEX(EmployeeData[Join Date], ROW() - 37), "")</f>
        <v/>
      </c>
      <c r="H2991" s="6"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6" t="str" cm="1">
        <f t="array" ref="G2992">IFERROR(INDEX(EmployeeData[Join Date], ROW() - 37), "")</f>
        <v/>
      </c>
      <c r="H2992" s="6"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6" t="str" cm="1">
        <f t="array" ref="G2993">IFERROR(INDEX(EmployeeData[Join Date], ROW() - 37), "")</f>
        <v/>
      </c>
      <c r="H2993" s="6"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6" t="str" cm="1">
        <f t="array" ref="G2994">IFERROR(INDEX(EmployeeData[Join Date], ROW() - 37), "")</f>
        <v/>
      </c>
      <c r="H2994" s="6"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6" t="str" cm="1">
        <f t="array" ref="G2995">IFERROR(INDEX(EmployeeData[Join Date], ROW() - 37), "")</f>
        <v/>
      </c>
      <c r="H2995" s="6"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6" t="str" cm="1">
        <f t="array" ref="G2996">IFERROR(INDEX(EmployeeData[Join Date], ROW() - 37), "")</f>
        <v/>
      </c>
      <c r="H2996" s="6"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6" t="str" cm="1">
        <f t="array" ref="G2997">IFERROR(INDEX(EmployeeData[Join Date], ROW() - 37), "")</f>
        <v/>
      </c>
      <c r="H2997" s="6"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6" t="str" cm="1">
        <f t="array" ref="G2998">IFERROR(INDEX(EmployeeData[Join Date], ROW() - 37), "")</f>
        <v/>
      </c>
      <c r="H2998" s="6"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6" t="str" cm="1">
        <f t="array" ref="G2999">IFERROR(INDEX(EmployeeData[Join Date], ROW() - 37), "")</f>
        <v/>
      </c>
      <c r="H2999" s="6"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6" t="str" cm="1">
        <f t="array" ref="G3000">IFERROR(INDEX(EmployeeData[Join Date], ROW() - 37), "")</f>
        <v/>
      </c>
      <c r="H3000" s="6"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6" t="str" cm="1">
        <f t="array" ref="G3001">IFERROR(INDEX(EmployeeData[Join Date], ROW() - 37), "")</f>
        <v/>
      </c>
      <c r="H3001" s="6"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6" t="str" cm="1">
        <f t="array" ref="G3002">IFERROR(INDEX(EmployeeData[Join Date], ROW() - 37), "")</f>
        <v/>
      </c>
      <c r="H3002" s="6"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6" t="str" cm="1">
        <f t="array" ref="G3003">IFERROR(INDEX(EmployeeData[Join Date], ROW() - 37), "")</f>
        <v/>
      </c>
      <c r="H3003" s="6"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6" t="str" cm="1">
        <f t="array" ref="G3004">IFERROR(INDEX(EmployeeData[Join Date], ROW() - 37), "")</f>
        <v/>
      </c>
      <c r="H3004" s="6"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6" t="str" cm="1">
        <f t="array" ref="G3005">IFERROR(INDEX(EmployeeData[Join Date], ROW() - 37), "")</f>
        <v/>
      </c>
      <c r="H3005" s="6"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6" t="str" cm="1">
        <f t="array" ref="G3006">IFERROR(INDEX(EmployeeData[Join Date], ROW() - 37), "")</f>
        <v/>
      </c>
      <c r="H3006" s="6"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6" t="str" cm="1">
        <f t="array" ref="G3007">IFERROR(INDEX(EmployeeData[Join Date], ROW() - 37), "")</f>
        <v/>
      </c>
      <c r="H3007" s="6"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6" t="str" cm="1">
        <f t="array" ref="G3008">IFERROR(INDEX(EmployeeData[Join Date], ROW() - 37), "")</f>
        <v/>
      </c>
      <c r="H3008" s="6"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6" t="str" cm="1">
        <f t="array" ref="G3009">IFERROR(INDEX(EmployeeData[Join Date], ROW() - 37), "")</f>
        <v/>
      </c>
      <c r="H3009" s="6"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6" t="str" cm="1">
        <f t="array" ref="G3010">IFERROR(INDEX(EmployeeData[Join Date], ROW() - 37), "")</f>
        <v/>
      </c>
      <c r="H3010" s="6"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6" t="str" cm="1">
        <f t="array" ref="G3011">IFERROR(INDEX(EmployeeData[Join Date], ROW() - 37), "")</f>
        <v/>
      </c>
      <c r="H3011" s="6"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6" t="str" cm="1">
        <f t="array" ref="G3012">IFERROR(INDEX(EmployeeData[Join Date], ROW() - 37), "")</f>
        <v/>
      </c>
      <c r="H3012" s="6"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6" t="str" cm="1">
        <f t="array" ref="G3013">IFERROR(INDEX(EmployeeData[Join Date], ROW() - 37), "")</f>
        <v/>
      </c>
      <c r="H3013" s="6"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6" t="str" cm="1">
        <f t="array" ref="G3014">IFERROR(INDEX(EmployeeData[Join Date], ROW() - 37), "")</f>
        <v/>
      </c>
      <c r="H3014" s="6"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6" t="str" cm="1">
        <f t="array" ref="G3015">IFERROR(INDEX(EmployeeData[Join Date], ROW() - 37), "")</f>
        <v/>
      </c>
      <c r="H3015" s="6"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6" t="str" cm="1">
        <f t="array" ref="G3016">IFERROR(INDEX(EmployeeData[Join Date], ROW() - 37), "")</f>
        <v/>
      </c>
      <c r="H3016" s="6"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6" t="str" cm="1">
        <f t="array" ref="G3017">IFERROR(INDEX(EmployeeData[Join Date], ROW() - 37), "")</f>
        <v/>
      </c>
      <c r="H3017" s="6"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6" t="str" cm="1">
        <f t="array" ref="G3018">IFERROR(INDEX(EmployeeData[Join Date], ROW() - 37), "")</f>
        <v/>
      </c>
      <c r="H3018" s="6"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6" t="str" cm="1">
        <f t="array" ref="G3019">IFERROR(INDEX(EmployeeData[Join Date], ROW() - 37), "")</f>
        <v/>
      </c>
      <c r="H3019" s="6"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6" t="str" cm="1">
        <f t="array" ref="G3020">IFERROR(INDEX(EmployeeData[Join Date], ROW() - 37), "")</f>
        <v/>
      </c>
      <c r="H3020" s="6"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6" t="str" cm="1">
        <f t="array" ref="G3021">IFERROR(INDEX(EmployeeData[Join Date], ROW() - 37), "")</f>
        <v/>
      </c>
      <c r="H3021" s="6"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6" t="str" cm="1">
        <f t="array" ref="G3022">IFERROR(INDEX(EmployeeData[Join Date], ROW() - 37), "")</f>
        <v/>
      </c>
      <c r="H3022" s="6"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6" t="str" cm="1">
        <f t="array" ref="G3023">IFERROR(INDEX(EmployeeData[Join Date], ROW() - 37), "")</f>
        <v/>
      </c>
      <c r="H3023" s="6"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6" t="str" cm="1">
        <f t="array" ref="G3024">IFERROR(INDEX(EmployeeData[Join Date], ROW() - 37), "")</f>
        <v/>
      </c>
      <c r="H3024" s="6"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6" t="str" cm="1">
        <f t="array" ref="G3025">IFERROR(INDEX(EmployeeData[Join Date], ROW() - 37), "")</f>
        <v/>
      </c>
      <c r="H3025" s="6"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6" t="str" cm="1">
        <f t="array" ref="G3026">IFERROR(INDEX(EmployeeData[Join Date], ROW() - 37), "")</f>
        <v/>
      </c>
      <c r="H3026" s="6"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6" t="str" cm="1">
        <f t="array" ref="G3027">IFERROR(INDEX(EmployeeData[Join Date], ROW() - 37), "")</f>
        <v/>
      </c>
      <c r="H3027" s="6"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6" t="str" cm="1">
        <f t="array" ref="G3028">IFERROR(INDEX(EmployeeData[Join Date], ROW() - 37), "")</f>
        <v/>
      </c>
      <c r="H3028" s="6"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6" t="str" cm="1">
        <f t="array" ref="G3029">IFERROR(INDEX(EmployeeData[Join Date], ROW() - 37), "")</f>
        <v/>
      </c>
      <c r="H3029" s="6"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6" t="str" cm="1">
        <f t="array" ref="G3030">IFERROR(INDEX(EmployeeData[Join Date], ROW() - 37), "")</f>
        <v/>
      </c>
      <c r="H3030" s="6"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6" t="str" cm="1">
        <f t="array" ref="G3031">IFERROR(INDEX(EmployeeData[Join Date], ROW() - 37), "")</f>
        <v/>
      </c>
      <c r="H3031" s="6"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6" t="str" cm="1">
        <f t="array" ref="G3032">IFERROR(INDEX(EmployeeData[Join Date], ROW() - 37), "")</f>
        <v/>
      </c>
      <c r="H3032" s="6"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6" t="str" cm="1">
        <f t="array" ref="G3033">IFERROR(INDEX(EmployeeData[Join Date], ROW() - 37), "")</f>
        <v/>
      </c>
      <c r="H3033" s="6"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6" t="str" cm="1">
        <f t="array" ref="G3034">IFERROR(INDEX(EmployeeData[Join Date], ROW() - 37), "")</f>
        <v/>
      </c>
      <c r="H3034" s="6"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6" t="str" cm="1">
        <f t="array" ref="G3035">IFERROR(INDEX(EmployeeData[Join Date], ROW() - 37), "")</f>
        <v/>
      </c>
      <c r="H3035" s="6"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6" t="str" cm="1">
        <f t="array" ref="G3036">IFERROR(INDEX(EmployeeData[Join Date], ROW() - 37), "")</f>
        <v/>
      </c>
      <c r="H3036" s="6"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6" t="str" cm="1">
        <f t="array" ref="G3037">IFERROR(INDEX(EmployeeData[Join Date], ROW() - 37), "")</f>
        <v/>
      </c>
      <c r="H3037" s="6"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6" t="str" cm="1">
        <f t="array" ref="G3038">IFERROR(INDEX(EmployeeData[Join Date], ROW() - 37), "")</f>
        <v/>
      </c>
      <c r="H3038" s="6"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6" t="str" cm="1">
        <f t="array" ref="G3039">IFERROR(INDEX(EmployeeData[Join Date], ROW() - 37), "")</f>
        <v/>
      </c>
      <c r="H3039" s="6"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6" t="str" cm="1">
        <f t="array" ref="G3040">IFERROR(INDEX(EmployeeData[Join Date], ROW() - 37), "")</f>
        <v/>
      </c>
      <c r="H3040" s="6"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6" t="str" cm="1">
        <f t="array" ref="G3041">IFERROR(INDEX(EmployeeData[Join Date], ROW() - 37), "")</f>
        <v/>
      </c>
      <c r="H3041" s="6"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6" t="str" cm="1">
        <f t="array" ref="G3042">IFERROR(INDEX(EmployeeData[Join Date], ROW() - 37), "")</f>
        <v/>
      </c>
      <c r="H3042" s="6"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6" t="str" cm="1">
        <f t="array" ref="G3043">IFERROR(INDEX(EmployeeData[Join Date], ROW() - 37), "")</f>
        <v/>
      </c>
      <c r="H3043" s="6"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6" t="str" cm="1">
        <f t="array" ref="G3044">IFERROR(INDEX(EmployeeData[Join Date], ROW() - 37), "")</f>
        <v/>
      </c>
      <c r="H3044" s="6"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6" t="str" cm="1">
        <f t="array" ref="G3045">IFERROR(INDEX(EmployeeData[Join Date], ROW() - 37), "")</f>
        <v/>
      </c>
      <c r="H3045" s="6"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6" t="str" cm="1">
        <f t="array" ref="G3046">IFERROR(INDEX(EmployeeData[Join Date], ROW() - 37), "")</f>
        <v/>
      </c>
      <c r="H3046" s="6"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6" t="str" cm="1">
        <f t="array" ref="G3047">IFERROR(INDEX(EmployeeData[Join Date], ROW() - 37), "")</f>
        <v/>
      </c>
      <c r="H3047" s="6"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6" t="str" cm="1">
        <f t="array" ref="G3048">IFERROR(INDEX(EmployeeData[Join Date], ROW() - 37), "")</f>
        <v/>
      </c>
      <c r="H3048" s="6"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6" t="str" cm="1">
        <f t="array" ref="G3049">IFERROR(INDEX(EmployeeData[Join Date], ROW() - 37), "")</f>
        <v/>
      </c>
      <c r="H3049" s="6"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6" t="str" cm="1">
        <f t="array" ref="G3050">IFERROR(INDEX(EmployeeData[Join Date], ROW() - 37), "")</f>
        <v/>
      </c>
      <c r="H3050" s="6"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6" t="str" cm="1">
        <f t="array" ref="G3051">IFERROR(INDEX(EmployeeData[Join Date], ROW() - 37), "")</f>
        <v/>
      </c>
      <c r="H3051" s="6"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6" t="str" cm="1">
        <f t="array" ref="G3052">IFERROR(INDEX(EmployeeData[Join Date], ROW() - 37), "")</f>
        <v/>
      </c>
      <c r="H3052" s="6"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6" t="str" cm="1">
        <f t="array" ref="G3053">IFERROR(INDEX(EmployeeData[Join Date], ROW() - 37), "")</f>
        <v/>
      </c>
      <c r="H3053" s="6"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6" t="str" cm="1">
        <f t="array" ref="G3054">IFERROR(INDEX(EmployeeData[Join Date], ROW() - 37), "")</f>
        <v/>
      </c>
      <c r="H3054" s="6"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6" t="str" cm="1">
        <f t="array" ref="G3055">IFERROR(INDEX(EmployeeData[Join Date], ROW() - 37), "")</f>
        <v/>
      </c>
      <c r="H3055" s="6"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6" t="str" cm="1">
        <f t="array" ref="G3056">IFERROR(INDEX(EmployeeData[Join Date], ROW() - 37), "")</f>
        <v/>
      </c>
      <c r="H3056" s="6"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6" t="str" cm="1">
        <f t="array" ref="G3057">IFERROR(INDEX(EmployeeData[Join Date], ROW() - 37), "")</f>
        <v/>
      </c>
      <c r="H3057" s="6"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6" t="str" cm="1">
        <f t="array" ref="G3058">IFERROR(INDEX(EmployeeData[Join Date], ROW() - 37), "")</f>
        <v/>
      </c>
      <c r="H3058" s="6"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6" t="str" cm="1">
        <f t="array" ref="G3059">IFERROR(INDEX(EmployeeData[Join Date], ROW() - 37), "")</f>
        <v/>
      </c>
      <c r="H3059" s="6"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6" t="str" cm="1">
        <f t="array" ref="G3060">IFERROR(INDEX(EmployeeData[Join Date], ROW() - 37), "")</f>
        <v/>
      </c>
      <c r="H3060" s="6"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6" t="str" cm="1">
        <f t="array" ref="G3061">IFERROR(INDEX(EmployeeData[Join Date], ROW() - 37), "")</f>
        <v/>
      </c>
      <c r="H3061" s="6"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6" t="str" cm="1">
        <f t="array" ref="G3062">IFERROR(INDEX(EmployeeData[Join Date], ROW() - 37), "")</f>
        <v/>
      </c>
      <c r="H3062" s="6"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6" t="str" cm="1">
        <f t="array" ref="G3063">IFERROR(INDEX(EmployeeData[Join Date], ROW() - 37), "")</f>
        <v/>
      </c>
      <c r="H3063" s="6"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6" t="str" cm="1">
        <f t="array" ref="G3064">IFERROR(INDEX(EmployeeData[Join Date], ROW() - 37), "")</f>
        <v/>
      </c>
      <c r="H3064" s="6"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6" t="str" cm="1">
        <f t="array" ref="G3065">IFERROR(INDEX(EmployeeData[Join Date], ROW() - 37), "")</f>
        <v/>
      </c>
      <c r="H3065" s="6"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6" t="str" cm="1">
        <f t="array" ref="G3066">IFERROR(INDEX(EmployeeData[Join Date], ROW() - 37), "")</f>
        <v/>
      </c>
      <c r="H3066" s="6"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6" t="str" cm="1">
        <f t="array" ref="G3067">IFERROR(INDEX(EmployeeData[Join Date], ROW() - 37), "")</f>
        <v/>
      </c>
      <c r="H3067" s="6"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6" t="str" cm="1">
        <f t="array" ref="G3068">IFERROR(INDEX(EmployeeData[Join Date], ROW() - 37), "")</f>
        <v/>
      </c>
      <c r="H3068" s="6"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6" t="str" cm="1">
        <f t="array" ref="G3069">IFERROR(INDEX(EmployeeData[Join Date], ROW() - 37), "")</f>
        <v/>
      </c>
      <c r="H3069" s="6"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6" t="str" cm="1">
        <f t="array" ref="G3070">IFERROR(INDEX(EmployeeData[Join Date], ROW() - 37), "")</f>
        <v/>
      </c>
      <c r="H3070" s="6"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6" t="str" cm="1">
        <f t="array" ref="G3071">IFERROR(INDEX(EmployeeData[Join Date], ROW() - 37), "")</f>
        <v/>
      </c>
      <c r="H3071" s="6"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6" t="str" cm="1">
        <f t="array" ref="G3072">IFERROR(INDEX(EmployeeData[Join Date], ROW() - 37), "")</f>
        <v/>
      </c>
      <c r="H3072" s="6"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6" t="str" cm="1">
        <f t="array" ref="G3073">IFERROR(INDEX(EmployeeData[Join Date], ROW() - 37), "")</f>
        <v/>
      </c>
      <c r="H3073" s="6"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6" t="str" cm="1">
        <f t="array" ref="G3074">IFERROR(INDEX(EmployeeData[Join Date], ROW() - 37), "")</f>
        <v/>
      </c>
      <c r="H3074" s="6"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6" t="str" cm="1">
        <f t="array" ref="G3075">IFERROR(INDEX(EmployeeData[Join Date], ROW() - 37), "")</f>
        <v/>
      </c>
      <c r="H3075" s="6"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6" t="str" cm="1">
        <f t="array" ref="G3076">IFERROR(INDEX(EmployeeData[Join Date], ROW() - 37), "")</f>
        <v/>
      </c>
      <c r="H3076" s="6"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6" t="str" cm="1">
        <f t="array" ref="G3077">IFERROR(INDEX(EmployeeData[Join Date], ROW() - 37), "")</f>
        <v/>
      </c>
      <c r="H3077" s="6"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6" t="str" cm="1">
        <f t="array" ref="G3078">IFERROR(INDEX(EmployeeData[Join Date], ROW() - 37), "")</f>
        <v/>
      </c>
      <c r="H3078" s="6"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6" t="str" cm="1">
        <f t="array" ref="G3079">IFERROR(INDEX(EmployeeData[Join Date], ROW() - 37), "")</f>
        <v/>
      </c>
      <c r="H3079" s="6"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6" t="str" cm="1">
        <f t="array" ref="G3080">IFERROR(INDEX(EmployeeData[Join Date], ROW() - 37), "")</f>
        <v/>
      </c>
      <c r="H3080" s="6"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6" t="str" cm="1">
        <f t="array" ref="G3081">IFERROR(INDEX(EmployeeData[Join Date], ROW() - 37), "")</f>
        <v/>
      </c>
      <c r="H3081" s="6"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6" t="str" cm="1">
        <f t="array" ref="G3082">IFERROR(INDEX(EmployeeData[Join Date], ROW() - 37), "")</f>
        <v/>
      </c>
      <c r="H3082" s="6"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6" t="str" cm="1">
        <f t="array" ref="G3083">IFERROR(INDEX(EmployeeData[Join Date], ROW() - 37), "")</f>
        <v/>
      </c>
      <c r="H3083" s="6"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6" t="str" cm="1">
        <f t="array" ref="G3084">IFERROR(INDEX(EmployeeData[Join Date], ROW() - 37), "")</f>
        <v/>
      </c>
      <c r="H3084" s="6"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6" t="str" cm="1">
        <f t="array" ref="G3085">IFERROR(INDEX(EmployeeData[Join Date], ROW() - 37), "")</f>
        <v/>
      </c>
      <c r="H3085" s="6"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6" t="str" cm="1">
        <f t="array" ref="G3086">IFERROR(INDEX(EmployeeData[Join Date], ROW() - 37), "")</f>
        <v/>
      </c>
      <c r="H3086" s="6"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6" t="str" cm="1">
        <f t="array" ref="G3087">IFERROR(INDEX(EmployeeData[Join Date], ROW() - 37), "")</f>
        <v/>
      </c>
      <c r="H3087" s="6"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6" t="str" cm="1">
        <f t="array" ref="G3088">IFERROR(INDEX(EmployeeData[Join Date], ROW() - 37), "")</f>
        <v/>
      </c>
      <c r="H3088" s="6"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6" t="str" cm="1">
        <f t="array" ref="G3089">IFERROR(INDEX(EmployeeData[Join Date], ROW() - 37), "")</f>
        <v/>
      </c>
      <c r="H3089" s="6"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6" t="str" cm="1">
        <f t="array" ref="G3090">IFERROR(INDEX(EmployeeData[Join Date], ROW() - 37), "")</f>
        <v/>
      </c>
      <c r="H3090" s="6"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6" t="str" cm="1">
        <f t="array" ref="G3091">IFERROR(INDEX(EmployeeData[Join Date], ROW() - 37), "")</f>
        <v/>
      </c>
      <c r="H3091" s="6"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6" t="str" cm="1">
        <f t="array" ref="G3092">IFERROR(INDEX(EmployeeData[Join Date], ROW() - 37), "")</f>
        <v/>
      </c>
      <c r="H3092" s="6"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6" t="str" cm="1">
        <f t="array" ref="G3093">IFERROR(INDEX(EmployeeData[Join Date], ROW() - 37), "")</f>
        <v/>
      </c>
      <c r="H3093" s="6"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6" t="str" cm="1">
        <f t="array" ref="G3094">IFERROR(INDEX(EmployeeData[Join Date], ROW() - 37), "")</f>
        <v/>
      </c>
      <c r="H3094" s="6"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6" t="str" cm="1">
        <f t="array" ref="G3095">IFERROR(INDEX(EmployeeData[Join Date], ROW() - 37), "")</f>
        <v/>
      </c>
      <c r="H3095" s="6"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6" t="str" cm="1">
        <f t="array" ref="G3096">IFERROR(INDEX(EmployeeData[Join Date], ROW() - 37), "")</f>
        <v/>
      </c>
      <c r="H3096" s="6"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6" t="str" cm="1">
        <f t="array" ref="G3097">IFERROR(INDEX(EmployeeData[Join Date], ROW() - 37), "")</f>
        <v/>
      </c>
      <c r="H3097" s="6"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6" t="str" cm="1">
        <f t="array" ref="G3098">IFERROR(INDEX(EmployeeData[Join Date], ROW() - 37), "")</f>
        <v/>
      </c>
      <c r="H3098" s="6"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6" t="str" cm="1">
        <f t="array" ref="G3099">IFERROR(INDEX(EmployeeData[Join Date], ROW() - 37), "")</f>
        <v/>
      </c>
      <c r="H3099" s="6"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6" t="str" cm="1">
        <f t="array" ref="G3100">IFERROR(INDEX(EmployeeData[Join Date], ROW() - 37), "")</f>
        <v/>
      </c>
      <c r="H3100" s="6"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6" t="str" cm="1">
        <f t="array" ref="G3101">IFERROR(INDEX(EmployeeData[Join Date], ROW() - 37), "")</f>
        <v/>
      </c>
      <c r="H3101" s="6"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6" t="str" cm="1">
        <f t="array" ref="G3102">IFERROR(INDEX(EmployeeData[Join Date], ROW() - 37), "")</f>
        <v/>
      </c>
      <c r="H3102" s="6"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6" t="str" cm="1">
        <f t="array" ref="G3103">IFERROR(INDEX(EmployeeData[Join Date], ROW() - 37), "")</f>
        <v/>
      </c>
      <c r="H3103" s="6"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6" t="str" cm="1">
        <f t="array" ref="G3104">IFERROR(INDEX(EmployeeData[Join Date], ROW() - 37), "")</f>
        <v/>
      </c>
      <c r="H3104" s="6"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6" t="str" cm="1">
        <f t="array" ref="G3105">IFERROR(INDEX(EmployeeData[Join Date], ROW() - 37), "")</f>
        <v/>
      </c>
      <c r="H3105" s="6"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6" t="str" cm="1">
        <f t="array" ref="G3106">IFERROR(INDEX(EmployeeData[Join Date], ROW() - 37), "")</f>
        <v/>
      </c>
      <c r="H3106" s="6"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6" t="str" cm="1">
        <f t="array" ref="G3107">IFERROR(INDEX(EmployeeData[Join Date], ROW() - 37), "")</f>
        <v/>
      </c>
      <c r="H3107" s="6"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6" t="str" cm="1">
        <f t="array" ref="G3108">IFERROR(INDEX(EmployeeData[Join Date], ROW() - 37), "")</f>
        <v/>
      </c>
      <c r="H3108" s="6"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6" t="str" cm="1">
        <f t="array" ref="G3109">IFERROR(INDEX(EmployeeData[Join Date], ROW() - 37), "")</f>
        <v/>
      </c>
      <c r="H3109" s="6"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6" t="str" cm="1">
        <f t="array" ref="G3110">IFERROR(INDEX(EmployeeData[Join Date], ROW() - 37), "")</f>
        <v/>
      </c>
      <c r="H3110" s="6"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6" t="str" cm="1">
        <f t="array" ref="G3111">IFERROR(INDEX(EmployeeData[Join Date], ROW() - 37), "")</f>
        <v/>
      </c>
      <c r="H3111" s="6"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6" t="str" cm="1">
        <f t="array" ref="G3112">IFERROR(INDEX(EmployeeData[Join Date], ROW() - 37), "")</f>
        <v/>
      </c>
      <c r="H3112" s="6"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6" t="str" cm="1">
        <f t="array" ref="G3113">IFERROR(INDEX(EmployeeData[Join Date], ROW() - 37), "")</f>
        <v/>
      </c>
      <c r="H3113" s="6"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6" t="str" cm="1">
        <f t="array" ref="G3114">IFERROR(INDEX(EmployeeData[Join Date], ROW() - 37), "")</f>
        <v/>
      </c>
      <c r="H3114" s="6"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6" t="str" cm="1">
        <f t="array" ref="G3115">IFERROR(INDEX(EmployeeData[Join Date], ROW() - 37), "")</f>
        <v/>
      </c>
      <c r="H3115" s="6"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6" t="str" cm="1">
        <f t="array" ref="G3116">IFERROR(INDEX(EmployeeData[Join Date], ROW() - 37), "")</f>
        <v/>
      </c>
      <c r="H3116" s="6"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6" t="str" cm="1">
        <f t="array" ref="G3117">IFERROR(INDEX(EmployeeData[Join Date], ROW() - 37), "")</f>
        <v/>
      </c>
      <c r="H3117" s="6"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6" t="str" cm="1">
        <f t="array" ref="G3118">IFERROR(INDEX(EmployeeData[Join Date], ROW() - 37), "")</f>
        <v/>
      </c>
      <c r="H3118" s="6"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6" t="str" cm="1">
        <f t="array" ref="G3119">IFERROR(INDEX(EmployeeData[Join Date], ROW() - 37), "")</f>
        <v/>
      </c>
      <c r="H3119" s="6"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6" t="str" cm="1">
        <f t="array" ref="G3120">IFERROR(INDEX(EmployeeData[Join Date], ROW() - 37), "")</f>
        <v/>
      </c>
      <c r="H3120" s="6"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6" t="str" cm="1">
        <f t="array" ref="G3121">IFERROR(INDEX(EmployeeData[Join Date], ROW() - 37), "")</f>
        <v/>
      </c>
      <c r="H3121" s="6"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6" t="str" cm="1">
        <f t="array" ref="G3122">IFERROR(INDEX(EmployeeData[Join Date], ROW() - 37), "")</f>
        <v/>
      </c>
      <c r="H3122" s="6"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6" t="str" cm="1">
        <f t="array" ref="G3123">IFERROR(INDEX(EmployeeData[Join Date], ROW() - 37), "")</f>
        <v/>
      </c>
      <c r="H3123" s="6"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6" t="str" cm="1">
        <f t="array" ref="G3124">IFERROR(INDEX(EmployeeData[Join Date], ROW() - 37), "")</f>
        <v/>
      </c>
      <c r="H3124" s="6"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6" t="str" cm="1">
        <f t="array" ref="G3125">IFERROR(INDEX(EmployeeData[Join Date], ROW() - 37), "")</f>
        <v/>
      </c>
      <c r="H3125" s="6"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6" t="str" cm="1">
        <f t="array" ref="G3126">IFERROR(INDEX(EmployeeData[Join Date], ROW() - 37), "")</f>
        <v/>
      </c>
      <c r="H3126" s="6"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6" t="str" cm="1">
        <f t="array" ref="G3127">IFERROR(INDEX(EmployeeData[Join Date], ROW() - 37), "")</f>
        <v/>
      </c>
      <c r="H3127" s="6"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6" t="str" cm="1">
        <f t="array" ref="G3128">IFERROR(INDEX(EmployeeData[Join Date], ROW() - 37), "")</f>
        <v/>
      </c>
      <c r="H3128" s="6"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6" t="str" cm="1">
        <f t="array" ref="G3129">IFERROR(INDEX(EmployeeData[Join Date], ROW() - 37), "")</f>
        <v/>
      </c>
      <c r="H3129" s="6"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6" t="str" cm="1">
        <f t="array" ref="G3130">IFERROR(INDEX(EmployeeData[Join Date], ROW() - 37), "")</f>
        <v/>
      </c>
      <c r="H3130" s="6"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6" t="str" cm="1">
        <f t="array" ref="G3131">IFERROR(INDEX(EmployeeData[Join Date], ROW() - 37), "")</f>
        <v/>
      </c>
      <c r="H3131" s="6"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6" t="str" cm="1">
        <f t="array" ref="G3132">IFERROR(INDEX(EmployeeData[Join Date], ROW() - 37), "")</f>
        <v/>
      </c>
      <c r="H3132" s="6"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6" t="str" cm="1">
        <f t="array" ref="G3133">IFERROR(INDEX(EmployeeData[Join Date], ROW() - 37), "")</f>
        <v/>
      </c>
      <c r="H3133" s="6"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6" t="str" cm="1">
        <f t="array" ref="G3134">IFERROR(INDEX(EmployeeData[Join Date], ROW() - 37), "")</f>
        <v/>
      </c>
      <c r="H3134" s="6"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6" t="str" cm="1">
        <f t="array" ref="G3135">IFERROR(INDEX(EmployeeData[Join Date], ROW() - 37), "")</f>
        <v/>
      </c>
      <c r="H3135" s="6"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6" t="str" cm="1">
        <f t="array" ref="G3136">IFERROR(INDEX(EmployeeData[Join Date], ROW() - 37), "")</f>
        <v/>
      </c>
      <c r="H3136" s="6"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6" t="str" cm="1">
        <f t="array" ref="G3137">IFERROR(INDEX(EmployeeData[Join Date], ROW() - 37), "")</f>
        <v/>
      </c>
      <c r="H3137" s="6"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6" t="str" cm="1">
        <f t="array" ref="G3138">IFERROR(INDEX(EmployeeData[Join Date], ROW() - 37), "")</f>
        <v/>
      </c>
      <c r="H3138" s="6"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6" t="str" cm="1">
        <f t="array" ref="G3139">IFERROR(INDEX(EmployeeData[Join Date], ROW() - 37), "")</f>
        <v/>
      </c>
      <c r="H3139" s="6"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6" t="str" cm="1">
        <f t="array" ref="G3140">IFERROR(INDEX(EmployeeData[Join Date], ROW() - 37), "")</f>
        <v/>
      </c>
      <c r="H3140" s="6"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6" t="str" cm="1">
        <f t="array" ref="G3141">IFERROR(INDEX(EmployeeData[Join Date], ROW() - 37), "")</f>
        <v/>
      </c>
      <c r="H3141" s="6"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6" t="str" cm="1">
        <f t="array" ref="G3142">IFERROR(INDEX(EmployeeData[Join Date], ROW() - 37), "")</f>
        <v/>
      </c>
      <c r="H3142" s="6"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6" t="str" cm="1">
        <f t="array" ref="G3143">IFERROR(INDEX(EmployeeData[Join Date], ROW() - 37), "")</f>
        <v/>
      </c>
      <c r="H3143" s="6"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6" t="str" cm="1">
        <f t="array" ref="G3144">IFERROR(INDEX(EmployeeData[Join Date], ROW() - 37), "")</f>
        <v/>
      </c>
      <c r="H3144" s="6"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6" t="str" cm="1">
        <f t="array" ref="G3145">IFERROR(INDEX(EmployeeData[Join Date], ROW() - 37), "")</f>
        <v/>
      </c>
      <c r="H3145" s="6"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6" t="str" cm="1">
        <f t="array" ref="G3146">IFERROR(INDEX(EmployeeData[Join Date], ROW() - 37), "")</f>
        <v/>
      </c>
      <c r="H3146" s="6"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6" t="str" cm="1">
        <f t="array" ref="G3147">IFERROR(INDEX(EmployeeData[Join Date], ROW() - 37), "")</f>
        <v/>
      </c>
      <c r="H3147" s="6"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6" t="str" cm="1">
        <f t="array" ref="G3148">IFERROR(INDEX(EmployeeData[Join Date], ROW() - 37), "")</f>
        <v/>
      </c>
      <c r="H3148" s="6"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6" t="str" cm="1">
        <f t="array" ref="G3149">IFERROR(INDEX(EmployeeData[Join Date], ROW() - 37), "")</f>
        <v/>
      </c>
      <c r="H3149" s="6"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6" t="str" cm="1">
        <f t="array" ref="G3150">IFERROR(INDEX(EmployeeData[Join Date], ROW() - 37), "")</f>
        <v/>
      </c>
      <c r="H3150" s="6"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6" t="str" cm="1">
        <f t="array" ref="G3151">IFERROR(INDEX(EmployeeData[Join Date], ROW() - 37), "")</f>
        <v/>
      </c>
      <c r="H3151" s="6"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6" t="str" cm="1">
        <f t="array" ref="G3152">IFERROR(INDEX(EmployeeData[Join Date], ROW() - 37), "")</f>
        <v/>
      </c>
      <c r="H3152" s="6"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6" t="str" cm="1">
        <f t="array" ref="G3153">IFERROR(INDEX(EmployeeData[Join Date], ROW() - 37), "")</f>
        <v/>
      </c>
      <c r="H3153" s="6"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6" t="str" cm="1">
        <f t="array" ref="G3154">IFERROR(INDEX(EmployeeData[Join Date], ROW() - 37), "")</f>
        <v/>
      </c>
      <c r="H3154" s="6"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6" t="str" cm="1">
        <f t="array" ref="G3155">IFERROR(INDEX(EmployeeData[Join Date], ROW() - 37), "")</f>
        <v/>
      </c>
      <c r="H3155" s="6"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6" t="str" cm="1">
        <f t="array" ref="G3156">IFERROR(INDEX(EmployeeData[Join Date], ROW() - 37), "")</f>
        <v/>
      </c>
      <c r="H3156" s="6"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6" t="str" cm="1">
        <f t="array" ref="G3157">IFERROR(INDEX(EmployeeData[Join Date], ROW() - 37), "")</f>
        <v/>
      </c>
      <c r="H3157" s="6"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6" t="str" cm="1">
        <f t="array" ref="G3158">IFERROR(INDEX(EmployeeData[Join Date], ROW() - 37), "")</f>
        <v/>
      </c>
      <c r="H3158" s="6"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6" t="str" cm="1">
        <f t="array" ref="G3159">IFERROR(INDEX(EmployeeData[Join Date], ROW() - 37), "")</f>
        <v/>
      </c>
      <c r="H3159" s="6"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6" t="str" cm="1">
        <f t="array" ref="G3160">IFERROR(INDEX(EmployeeData[Join Date], ROW() - 37), "")</f>
        <v/>
      </c>
      <c r="H3160" s="6"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6" t="str" cm="1">
        <f t="array" ref="G3161">IFERROR(INDEX(EmployeeData[Join Date], ROW() - 37), "")</f>
        <v/>
      </c>
      <c r="H3161" s="6"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6" t="str" cm="1">
        <f t="array" ref="G3162">IFERROR(INDEX(EmployeeData[Join Date], ROW() - 37), "")</f>
        <v/>
      </c>
      <c r="H3162" s="6"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6" t="str" cm="1">
        <f t="array" ref="G3163">IFERROR(INDEX(EmployeeData[Join Date], ROW() - 37), "")</f>
        <v/>
      </c>
      <c r="H3163" s="6"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6" t="str" cm="1">
        <f t="array" ref="G3164">IFERROR(INDEX(EmployeeData[Join Date], ROW() - 37), "")</f>
        <v/>
      </c>
      <c r="H3164" s="6"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6" t="str" cm="1">
        <f t="array" ref="G3165">IFERROR(INDEX(EmployeeData[Join Date], ROW() - 37), "")</f>
        <v/>
      </c>
      <c r="H3165" s="6"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6" t="str" cm="1">
        <f t="array" ref="G3166">IFERROR(INDEX(EmployeeData[Join Date], ROW() - 37), "")</f>
        <v/>
      </c>
      <c r="H3166" s="6"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6" t="str" cm="1">
        <f t="array" ref="G3167">IFERROR(INDEX(EmployeeData[Join Date], ROW() - 37), "")</f>
        <v/>
      </c>
      <c r="H3167" s="6"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6" t="str" cm="1">
        <f t="array" ref="G3168">IFERROR(INDEX(EmployeeData[Join Date], ROW() - 37), "")</f>
        <v/>
      </c>
      <c r="H3168" s="6"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6" t="str" cm="1">
        <f t="array" ref="G3169">IFERROR(INDEX(EmployeeData[Join Date], ROW() - 37), "")</f>
        <v/>
      </c>
      <c r="H3169" s="6"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6" t="str" cm="1">
        <f t="array" ref="G3170">IFERROR(INDEX(EmployeeData[Join Date], ROW() - 37), "")</f>
        <v/>
      </c>
      <c r="H3170" s="6"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6" t="str" cm="1">
        <f t="array" ref="G3171">IFERROR(INDEX(EmployeeData[Join Date], ROW() - 37), "")</f>
        <v/>
      </c>
      <c r="H3171" s="6"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6" t="str" cm="1">
        <f t="array" ref="G3172">IFERROR(INDEX(EmployeeData[Join Date], ROW() - 37), "")</f>
        <v/>
      </c>
      <c r="H3172" s="6"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6" t="str" cm="1">
        <f t="array" ref="G3173">IFERROR(INDEX(EmployeeData[Join Date], ROW() - 37), "")</f>
        <v/>
      </c>
      <c r="H3173" s="6"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6" t="str" cm="1">
        <f t="array" ref="G3174">IFERROR(INDEX(EmployeeData[Join Date], ROW() - 37), "")</f>
        <v/>
      </c>
      <c r="H3174" s="6"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6" t="str" cm="1">
        <f t="array" ref="G3175">IFERROR(INDEX(EmployeeData[Join Date], ROW() - 37), "")</f>
        <v/>
      </c>
      <c r="H3175" s="6"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6" t="str" cm="1">
        <f t="array" ref="G3176">IFERROR(INDEX(EmployeeData[Join Date], ROW() - 37), "")</f>
        <v/>
      </c>
      <c r="H3176" s="6"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6" t="str" cm="1">
        <f t="array" ref="G3177">IFERROR(INDEX(EmployeeData[Join Date], ROW() - 37), "")</f>
        <v/>
      </c>
      <c r="H3177" s="6"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6" t="str" cm="1">
        <f t="array" ref="G3178">IFERROR(INDEX(EmployeeData[Join Date], ROW() - 37), "")</f>
        <v/>
      </c>
      <c r="H3178" s="6"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6" t="str" cm="1">
        <f t="array" ref="G3179">IFERROR(INDEX(EmployeeData[Join Date], ROW() - 37), "")</f>
        <v/>
      </c>
      <c r="H3179" s="6"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6" t="str" cm="1">
        <f t="array" ref="G3180">IFERROR(INDEX(EmployeeData[Join Date], ROW() - 37), "")</f>
        <v/>
      </c>
      <c r="H3180" s="6"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6" t="str" cm="1">
        <f t="array" ref="G3181">IFERROR(INDEX(EmployeeData[Join Date], ROW() - 37), "")</f>
        <v/>
      </c>
      <c r="H3181" s="6"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6" t="str" cm="1">
        <f t="array" ref="G3182">IFERROR(INDEX(EmployeeData[Join Date], ROW() - 37), "")</f>
        <v/>
      </c>
      <c r="H3182" s="6"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6" t="str" cm="1">
        <f t="array" ref="G3183">IFERROR(INDEX(EmployeeData[Join Date], ROW() - 37), "")</f>
        <v/>
      </c>
      <c r="H3183" s="6"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6" t="str" cm="1">
        <f t="array" ref="G3184">IFERROR(INDEX(EmployeeData[Join Date], ROW() - 37), "")</f>
        <v/>
      </c>
      <c r="H3184" s="6"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6" t="str" cm="1">
        <f t="array" ref="G3185">IFERROR(INDEX(EmployeeData[Join Date], ROW() - 37), "")</f>
        <v/>
      </c>
      <c r="H3185" s="6"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6" t="str" cm="1">
        <f t="array" ref="G3186">IFERROR(INDEX(EmployeeData[Join Date], ROW() - 37), "")</f>
        <v/>
      </c>
      <c r="H3186" s="6"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6" t="str" cm="1">
        <f t="array" ref="G3187">IFERROR(INDEX(EmployeeData[Join Date], ROW() - 37), "")</f>
        <v/>
      </c>
      <c r="H3187" s="6"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6" t="str" cm="1">
        <f t="array" ref="G3188">IFERROR(INDEX(EmployeeData[Join Date], ROW() - 37), "")</f>
        <v/>
      </c>
      <c r="H3188" s="6"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6" t="str" cm="1">
        <f t="array" ref="G3189">IFERROR(INDEX(EmployeeData[Join Date], ROW() - 37), "")</f>
        <v/>
      </c>
      <c r="H3189" s="6"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6" t="str" cm="1">
        <f t="array" ref="G3190">IFERROR(INDEX(EmployeeData[Join Date], ROW() - 37), "")</f>
        <v/>
      </c>
      <c r="H3190" s="6"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6" t="str" cm="1">
        <f t="array" ref="G3191">IFERROR(INDEX(EmployeeData[Join Date], ROW() - 37), "")</f>
        <v/>
      </c>
      <c r="H3191" s="6"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6" t="str" cm="1">
        <f t="array" ref="G3192">IFERROR(INDEX(EmployeeData[Join Date], ROW() - 37), "")</f>
        <v/>
      </c>
      <c r="H3192" s="6"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6" t="str" cm="1">
        <f t="array" ref="G3193">IFERROR(INDEX(EmployeeData[Join Date], ROW() - 37), "")</f>
        <v/>
      </c>
      <c r="H3193" s="6"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6" t="str" cm="1">
        <f t="array" ref="G3194">IFERROR(INDEX(EmployeeData[Join Date], ROW() - 37), "")</f>
        <v/>
      </c>
      <c r="H3194" s="6"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6" t="str" cm="1">
        <f t="array" ref="G3195">IFERROR(INDEX(EmployeeData[Join Date], ROW() - 37), "")</f>
        <v/>
      </c>
      <c r="H3195" s="6"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6" t="str" cm="1">
        <f t="array" ref="G3196">IFERROR(INDEX(EmployeeData[Join Date], ROW() - 37), "")</f>
        <v/>
      </c>
      <c r="H3196" s="6"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6" t="str" cm="1">
        <f t="array" ref="G3197">IFERROR(INDEX(EmployeeData[Join Date], ROW() - 37), "")</f>
        <v/>
      </c>
      <c r="H3197" s="6"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6" t="str" cm="1">
        <f t="array" ref="G3198">IFERROR(INDEX(EmployeeData[Join Date], ROW() - 37), "")</f>
        <v/>
      </c>
      <c r="H3198" s="6"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6" t="str" cm="1">
        <f t="array" ref="G3199">IFERROR(INDEX(EmployeeData[Join Date], ROW() - 37), "")</f>
        <v/>
      </c>
      <c r="H3199" s="6"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6" t="str" cm="1">
        <f t="array" ref="G3200">IFERROR(INDEX(EmployeeData[Join Date], ROW() - 37), "")</f>
        <v/>
      </c>
      <c r="H3200" s="6"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6" t="str" cm="1">
        <f t="array" ref="G3201">IFERROR(INDEX(EmployeeData[Join Date], ROW() - 37), "")</f>
        <v/>
      </c>
      <c r="H3201" s="6"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6" t="str" cm="1">
        <f t="array" ref="G3202">IFERROR(INDEX(EmployeeData[Join Date], ROW() - 37), "")</f>
        <v/>
      </c>
      <c r="H3202" s="6"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6" t="str" cm="1">
        <f t="array" ref="G3203">IFERROR(INDEX(EmployeeData[Join Date], ROW() - 37), "")</f>
        <v/>
      </c>
      <c r="H3203" s="6"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6" t="str" cm="1">
        <f t="array" ref="G3204">IFERROR(INDEX(EmployeeData[Join Date], ROW() - 37), "")</f>
        <v/>
      </c>
      <c r="H3204" s="6"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6" t="str" cm="1">
        <f t="array" ref="G3205">IFERROR(INDEX(EmployeeData[Join Date], ROW() - 37), "")</f>
        <v/>
      </c>
      <c r="H3205" s="6"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6" t="str" cm="1">
        <f t="array" ref="G3206">IFERROR(INDEX(EmployeeData[Join Date], ROW() - 37), "")</f>
        <v/>
      </c>
      <c r="H3206" s="6"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6" t="str" cm="1">
        <f t="array" ref="G3207">IFERROR(INDEX(EmployeeData[Join Date], ROW() - 37), "")</f>
        <v/>
      </c>
      <c r="H3207" s="6"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6" t="str" cm="1">
        <f t="array" ref="G3208">IFERROR(INDEX(EmployeeData[Join Date], ROW() - 37), "")</f>
        <v/>
      </c>
      <c r="H3208" s="6"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6" t="str" cm="1">
        <f t="array" ref="G3209">IFERROR(INDEX(EmployeeData[Join Date], ROW() - 37), "")</f>
        <v/>
      </c>
      <c r="H3209" s="6"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6" t="str" cm="1">
        <f t="array" ref="G3210">IFERROR(INDEX(EmployeeData[Join Date], ROW() - 37), "")</f>
        <v/>
      </c>
      <c r="H3210" s="6"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6" t="str" cm="1">
        <f t="array" ref="G3211">IFERROR(INDEX(EmployeeData[Join Date], ROW() - 37), "")</f>
        <v/>
      </c>
      <c r="H3211" s="6"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6" t="str" cm="1">
        <f t="array" ref="G3212">IFERROR(INDEX(EmployeeData[Join Date], ROW() - 37), "")</f>
        <v/>
      </c>
      <c r="H3212" s="6"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6" t="str" cm="1">
        <f t="array" ref="G3213">IFERROR(INDEX(EmployeeData[Join Date], ROW() - 37), "")</f>
        <v/>
      </c>
      <c r="H3213" s="6"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6" t="str" cm="1">
        <f t="array" ref="G3214">IFERROR(INDEX(EmployeeData[Join Date], ROW() - 37), "")</f>
        <v/>
      </c>
      <c r="H3214" s="6"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6" t="str" cm="1">
        <f t="array" ref="G3215">IFERROR(INDEX(EmployeeData[Join Date], ROW() - 37), "")</f>
        <v/>
      </c>
      <c r="H3215" s="6"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6" t="str" cm="1">
        <f t="array" ref="G3216">IFERROR(INDEX(EmployeeData[Join Date], ROW() - 37), "")</f>
        <v/>
      </c>
      <c r="H3216" s="6"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6" t="str" cm="1">
        <f t="array" ref="G3217">IFERROR(INDEX(EmployeeData[Join Date], ROW() - 37), "")</f>
        <v/>
      </c>
      <c r="H3217" s="6"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6" t="str" cm="1">
        <f t="array" ref="G3218">IFERROR(INDEX(EmployeeData[Join Date], ROW() - 37), "")</f>
        <v/>
      </c>
      <c r="H3218" s="6"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6" t="str" cm="1">
        <f t="array" ref="G3219">IFERROR(INDEX(EmployeeData[Join Date], ROW() - 37), "")</f>
        <v/>
      </c>
      <c r="H3219" s="6"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6" t="str" cm="1">
        <f t="array" ref="G3220">IFERROR(INDEX(EmployeeData[Join Date], ROW() - 37), "")</f>
        <v/>
      </c>
      <c r="H3220" s="6"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6" t="str" cm="1">
        <f t="array" ref="G3221">IFERROR(INDEX(EmployeeData[Join Date], ROW() - 37), "")</f>
        <v/>
      </c>
      <c r="H3221" s="6"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6" t="str" cm="1">
        <f t="array" ref="G3222">IFERROR(INDEX(EmployeeData[Join Date], ROW() - 37), "")</f>
        <v/>
      </c>
      <c r="H3222" s="6"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6" t="str" cm="1">
        <f t="array" ref="G3223">IFERROR(INDEX(EmployeeData[Join Date], ROW() - 37), "")</f>
        <v/>
      </c>
      <c r="H3223" s="6"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6" t="str" cm="1">
        <f t="array" ref="G3224">IFERROR(INDEX(EmployeeData[Join Date], ROW() - 37), "")</f>
        <v/>
      </c>
      <c r="H3224" s="6"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6" t="str" cm="1">
        <f t="array" ref="G3225">IFERROR(INDEX(EmployeeData[Join Date], ROW() - 37), "")</f>
        <v/>
      </c>
      <c r="H3225" s="6"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6" t="str" cm="1">
        <f t="array" ref="G3226">IFERROR(INDEX(EmployeeData[Join Date], ROW() - 37), "")</f>
        <v/>
      </c>
      <c r="H3226" s="6"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6" t="str" cm="1">
        <f t="array" ref="G3227">IFERROR(INDEX(EmployeeData[Join Date], ROW() - 37), "")</f>
        <v/>
      </c>
      <c r="H3227" s="6"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6" t="str" cm="1">
        <f t="array" ref="G3228">IFERROR(INDEX(EmployeeData[Join Date], ROW() - 37), "")</f>
        <v/>
      </c>
      <c r="H3228" s="6"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6" t="str" cm="1">
        <f t="array" ref="G3229">IFERROR(INDEX(EmployeeData[Join Date], ROW() - 37), "")</f>
        <v/>
      </c>
      <c r="H3229" s="6"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6" t="str" cm="1">
        <f t="array" ref="G3230">IFERROR(INDEX(EmployeeData[Join Date], ROW() - 37), "")</f>
        <v/>
      </c>
      <c r="H3230" s="6"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6" t="str" cm="1">
        <f t="array" ref="G3231">IFERROR(INDEX(EmployeeData[Join Date], ROW() - 37), "")</f>
        <v/>
      </c>
      <c r="H3231" s="6"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6" t="str" cm="1">
        <f t="array" ref="G3232">IFERROR(INDEX(EmployeeData[Join Date], ROW() - 37), "")</f>
        <v/>
      </c>
      <c r="H3232" s="6"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6" t="str" cm="1">
        <f t="array" ref="G3233">IFERROR(INDEX(EmployeeData[Join Date], ROW() - 37), "")</f>
        <v/>
      </c>
      <c r="H3233" s="6"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6" t="str" cm="1">
        <f t="array" ref="G3234">IFERROR(INDEX(EmployeeData[Join Date], ROW() - 37), "")</f>
        <v/>
      </c>
      <c r="H3234" s="6"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6" t="str" cm="1">
        <f t="array" ref="G3235">IFERROR(INDEX(EmployeeData[Join Date], ROW() - 37), "")</f>
        <v/>
      </c>
      <c r="H3235" s="6"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6" t="str" cm="1">
        <f t="array" ref="G3236">IFERROR(INDEX(EmployeeData[Join Date], ROW() - 37), "")</f>
        <v/>
      </c>
      <c r="H3236" s="6"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6" t="str" cm="1">
        <f t="array" ref="G3237">IFERROR(INDEX(EmployeeData[Join Date], ROW() - 37), "")</f>
        <v/>
      </c>
      <c r="H3237" s="6"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6" t="str" cm="1">
        <f t="array" ref="G3238">IFERROR(INDEX(EmployeeData[Join Date], ROW() - 37), "")</f>
        <v/>
      </c>
      <c r="H3238" s="6"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6" t="str" cm="1">
        <f t="array" ref="G3239">IFERROR(INDEX(EmployeeData[Join Date], ROW() - 37), "")</f>
        <v/>
      </c>
      <c r="H3239" s="6"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6" t="str" cm="1">
        <f t="array" ref="G3240">IFERROR(INDEX(EmployeeData[Join Date], ROW() - 37), "")</f>
        <v/>
      </c>
      <c r="H3240" s="6"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6" t="str" cm="1">
        <f t="array" ref="G3241">IFERROR(INDEX(EmployeeData[Join Date], ROW() - 37), "")</f>
        <v/>
      </c>
      <c r="H3241" s="6"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6" t="str" cm="1">
        <f t="array" ref="G3242">IFERROR(INDEX(EmployeeData[Join Date], ROW() - 37), "")</f>
        <v/>
      </c>
      <c r="H3242" s="6"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6" t="str" cm="1">
        <f t="array" ref="G3243">IFERROR(INDEX(EmployeeData[Join Date], ROW() - 37), "")</f>
        <v/>
      </c>
      <c r="H3243" s="6"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6" t="str" cm="1">
        <f t="array" ref="G3244">IFERROR(INDEX(EmployeeData[Join Date], ROW() - 37), "")</f>
        <v/>
      </c>
      <c r="H3244" s="6"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6" t="str" cm="1">
        <f t="array" ref="G3245">IFERROR(INDEX(EmployeeData[Join Date], ROW() - 37), "")</f>
        <v/>
      </c>
      <c r="H3245" s="6"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6" t="str" cm="1">
        <f t="array" ref="G3246">IFERROR(INDEX(EmployeeData[Join Date], ROW() - 37), "")</f>
        <v/>
      </c>
      <c r="H3246" s="6"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6" t="str" cm="1">
        <f t="array" ref="G3247">IFERROR(INDEX(EmployeeData[Join Date], ROW() - 37), "")</f>
        <v/>
      </c>
      <c r="H3247" s="6"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6" t="str" cm="1">
        <f t="array" ref="G3248">IFERROR(INDEX(EmployeeData[Join Date], ROW() - 37), "")</f>
        <v/>
      </c>
      <c r="H3248" s="6"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6" t="str" cm="1">
        <f t="array" ref="G3249">IFERROR(INDEX(EmployeeData[Join Date], ROW() - 37), "")</f>
        <v/>
      </c>
      <c r="H3249" s="6"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6" t="str" cm="1">
        <f t="array" ref="G3250">IFERROR(INDEX(EmployeeData[Join Date], ROW() - 37), "")</f>
        <v/>
      </c>
      <c r="H3250" s="6"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6" t="str" cm="1">
        <f t="array" ref="G3251">IFERROR(INDEX(EmployeeData[Join Date], ROW() - 37), "")</f>
        <v/>
      </c>
      <c r="H3251" s="6"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6" t="str" cm="1">
        <f t="array" ref="G3252">IFERROR(INDEX(EmployeeData[Join Date], ROW() - 37), "")</f>
        <v/>
      </c>
      <c r="H3252" s="6"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6" t="str" cm="1">
        <f t="array" ref="G3253">IFERROR(INDEX(EmployeeData[Join Date], ROW() - 37), "")</f>
        <v/>
      </c>
      <c r="H3253" s="6"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6" t="str" cm="1">
        <f t="array" ref="G3254">IFERROR(INDEX(EmployeeData[Join Date], ROW() - 37), "")</f>
        <v/>
      </c>
      <c r="H3254" s="6"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6" t="str" cm="1">
        <f t="array" ref="G3255">IFERROR(INDEX(EmployeeData[Join Date], ROW() - 37), "")</f>
        <v/>
      </c>
      <c r="H3255" s="6"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6" t="str" cm="1">
        <f t="array" ref="G3256">IFERROR(INDEX(EmployeeData[Join Date], ROW() - 37), "")</f>
        <v/>
      </c>
      <c r="H3256" s="6"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6" t="str" cm="1">
        <f t="array" ref="G3257">IFERROR(INDEX(EmployeeData[Join Date], ROW() - 37), "")</f>
        <v/>
      </c>
      <c r="H3257" s="6"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6" t="str" cm="1">
        <f t="array" ref="G3258">IFERROR(INDEX(EmployeeData[Join Date], ROW() - 37), "")</f>
        <v/>
      </c>
      <c r="H3258" s="6"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6" t="str" cm="1">
        <f t="array" ref="G3259">IFERROR(INDEX(EmployeeData[Join Date], ROW() - 37), "")</f>
        <v/>
      </c>
      <c r="H3259" s="6"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6" t="str" cm="1">
        <f t="array" ref="G3260">IFERROR(INDEX(EmployeeData[Join Date], ROW() - 37), "")</f>
        <v/>
      </c>
      <c r="H3260" s="6"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6" t="str" cm="1">
        <f t="array" ref="G3261">IFERROR(INDEX(EmployeeData[Join Date], ROW() - 37), "")</f>
        <v/>
      </c>
      <c r="H3261" s="6"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6" t="str" cm="1">
        <f t="array" ref="G3262">IFERROR(INDEX(EmployeeData[Join Date], ROW() - 37), "")</f>
        <v/>
      </c>
      <c r="H3262" s="6"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6" t="str" cm="1">
        <f t="array" ref="G3263">IFERROR(INDEX(EmployeeData[Join Date], ROW() - 37), "")</f>
        <v/>
      </c>
      <c r="H3263" s="6"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6" t="str" cm="1">
        <f t="array" ref="G3264">IFERROR(INDEX(EmployeeData[Join Date], ROW() - 37), "")</f>
        <v/>
      </c>
      <c r="H3264" s="6"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6" t="str" cm="1">
        <f t="array" ref="G3265">IFERROR(INDEX(EmployeeData[Join Date], ROW() - 37), "")</f>
        <v/>
      </c>
      <c r="H3265" s="6"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6" t="str" cm="1">
        <f t="array" ref="G3266">IFERROR(INDEX(EmployeeData[Join Date], ROW() - 37), "")</f>
        <v/>
      </c>
      <c r="H3266" s="6"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6" t="str" cm="1">
        <f t="array" ref="G3267">IFERROR(INDEX(EmployeeData[Join Date], ROW() - 37), "")</f>
        <v/>
      </c>
      <c r="H3267" s="6"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6" t="str" cm="1">
        <f t="array" ref="G3268">IFERROR(INDEX(EmployeeData[Join Date], ROW() - 37), "")</f>
        <v/>
      </c>
      <c r="H3268" s="6"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6" t="str" cm="1">
        <f t="array" ref="G3269">IFERROR(INDEX(EmployeeData[Join Date], ROW() - 37), "")</f>
        <v/>
      </c>
      <c r="H3269" s="6"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6" t="str" cm="1">
        <f t="array" ref="G3270">IFERROR(INDEX(EmployeeData[Join Date], ROW() - 37), "")</f>
        <v/>
      </c>
      <c r="H3270" s="6"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6" t="str" cm="1">
        <f t="array" ref="G3271">IFERROR(INDEX(EmployeeData[Join Date], ROW() - 37), "")</f>
        <v/>
      </c>
      <c r="H3271" s="6"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6" t="str" cm="1">
        <f t="array" ref="G3272">IFERROR(INDEX(EmployeeData[Join Date], ROW() - 37), "")</f>
        <v/>
      </c>
      <c r="H3272" s="6"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6" t="str" cm="1">
        <f t="array" ref="G3273">IFERROR(INDEX(EmployeeData[Join Date], ROW() - 37), "")</f>
        <v/>
      </c>
      <c r="H3273" s="6"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6" t="str" cm="1">
        <f t="array" ref="G3274">IFERROR(INDEX(EmployeeData[Join Date], ROW() - 37), "")</f>
        <v/>
      </c>
      <c r="H3274" s="6"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6" t="str" cm="1">
        <f t="array" ref="G3275">IFERROR(INDEX(EmployeeData[Join Date], ROW() - 37), "")</f>
        <v/>
      </c>
      <c r="H3275" s="6"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6" t="str" cm="1">
        <f t="array" ref="G3276">IFERROR(INDEX(EmployeeData[Join Date], ROW() - 37), "")</f>
        <v/>
      </c>
      <c r="H3276" s="6"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6" t="str" cm="1">
        <f t="array" ref="G3277">IFERROR(INDEX(EmployeeData[Join Date], ROW() - 37), "")</f>
        <v/>
      </c>
      <c r="H3277" s="6"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6" t="str" cm="1">
        <f t="array" ref="G3278">IFERROR(INDEX(EmployeeData[Join Date], ROW() - 37), "")</f>
        <v/>
      </c>
      <c r="H3278" s="6"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6" t="str" cm="1">
        <f t="array" ref="G3279">IFERROR(INDEX(EmployeeData[Join Date], ROW() - 37), "")</f>
        <v/>
      </c>
      <c r="H3279" s="6"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6" t="str" cm="1">
        <f t="array" ref="G3280">IFERROR(INDEX(EmployeeData[Join Date], ROW() - 37), "")</f>
        <v/>
      </c>
      <c r="H3280" s="6"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6" t="str" cm="1">
        <f t="array" ref="G3281">IFERROR(INDEX(EmployeeData[Join Date], ROW() - 37), "")</f>
        <v/>
      </c>
      <c r="H3281" s="6"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6" t="str" cm="1">
        <f t="array" ref="G3282">IFERROR(INDEX(EmployeeData[Join Date], ROW() - 37), "")</f>
        <v/>
      </c>
      <c r="H3282" s="6"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6" t="str" cm="1">
        <f t="array" ref="G3283">IFERROR(INDEX(EmployeeData[Join Date], ROW() - 37), "")</f>
        <v/>
      </c>
      <c r="H3283" s="6"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6" t="str" cm="1">
        <f t="array" ref="G3284">IFERROR(INDEX(EmployeeData[Join Date], ROW() - 37), "")</f>
        <v/>
      </c>
      <c r="H3284" s="6"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6" t="str" cm="1">
        <f t="array" ref="G3285">IFERROR(INDEX(EmployeeData[Join Date], ROW() - 37), "")</f>
        <v/>
      </c>
      <c r="H3285" s="6"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6" t="str" cm="1">
        <f t="array" ref="G3286">IFERROR(INDEX(EmployeeData[Join Date], ROW() - 37), "")</f>
        <v/>
      </c>
      <c r="H3286" s="6"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6" t="str" cm="1">
        <f t="array" ref="G3287">IFERROR(INDEX(EmployeeData[Join Date], ROW() - 37), "")</f>
        <v/>
      </c>
      <c r="H3287" s="6"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6" t="str" cm="1">
        <f t="array" ref="G3288">IFERROR(INDEX(EmployeeData[Join Date], ROW() - 37), "")</f>
        <v/>
      </c>
      <c r="H3288" s="6"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6" t="str" cm="1">
        <f t="array" ref="G3289">IFERROR(INDEX(EmployeeData[Join Date], ROW() - 37), "")</f>
        <v/>
      </c>
      <c r="H3289" s="6"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6" t="str" cm="1">
        <f t="array" ref="G3290">IFERROR(INDEX(EmployeeData[Join Date], ROW() - 37), "")</f>
        <v/>
      </c>
      <c r="H3290" s="6"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6" t="str" cm="1">
        <f t="array" ref="G3291">IFERROR(INDEX(EmployeeData[Join Date], ROW() - 37), "")</f>
        <v/>
      </c>
      <c r="H3291" s="6"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6" t="str" cm="1">
        <f t="array" ref="G3292">IFERROR(INDEX(EmployeeData[Join Date], ROW() - 37), "")</f>
        <v/>
      </c>
      <c r="H3292" s="6"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6" t="str" cm="1">
        <f t="array" ref="G3293">IFERROR(INDEX(EmployeeData[Join Date], ROW() - 37), "")</f>
        <v/>
      </c>
      <c r="H3293" s="6"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6" t="str" cm="1">
        <f t="array" ref="G3294">IFERROR(INDEX(EmployeeData[Join Date], ROW() - 37), "")</f>
        <v/>
      </c>
      <c r="H3294" s="6"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6" t="str" cm="1">
        <f t="array" ref="G3295">IFERROR(INDEX(EmployeeData[Join Date], ROW() - 37), "")</f>
        <v/>
      </c>
      <c r="H3295" s="6"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6" t="str" cm="1">
        <f t="array" ref="G3296">IFERROR(INDEX(EmployeeData[Join Date], ROW() - 37), "")</f>
        <v/>
      </c>
      <c r="H3296" s="6"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6" t="str" cm="1">
        <f t="array" ref="G3297">IFERROR(INDEX(EmployeeData[Join Date], ROW() - 37), "")</f>
        <v/>
      </c>
      <c r="H3297" s="6"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6" t="str" cm="1">
        <f t="array" ref="G3298">IFERROR(INDEX(EmployeeData[Join Date], ROW() - 37), "")</f>
        <v/>
      </c>
      <c r="H3298" s="6"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6" t="str" cm="1">
        <f t="array" ref="G3299">IFERROR(INDEX(EmployeeData[Join Date], ROW() - 37), "")</f>
        <v/>
      </c>
      <c r="H3299" s="6"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6" t="str" cm="1">
        <f t="array" ref="G3300">IFERROR(INDEX(EmployeeData[Join Date], ROW() - 37), "")</f>
        <v/>
      </c>
      <c r="H3300" s="6"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6" t="str" cm="1">
        <f t="array" ref="G3301">IFERROR(INDEX(EmployeeData[Join Date], ROW() - 37), "")</f>
        <v/>
      </c>
      <c r="H3301" s="6"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6" t="str" cm="1">
        <f t="array" ref="G3302">IFERROR(INDEX(EmployeeData[Join Date], ROW() - 37), "")</f>
        <v/>
      </c>
      <c r="H3302" s="6"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6" t="str" cm="1">
        <f t="array" ref="G3303">IFERROR(INDEX(EmployeeData[Join Date], ROW() - 37), "")</f>
        <v/>
      </c>
      <c r="H3303" s="6"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6" t="str" cm="1">
        <f t="array" ref="G3304">IFERROR(INDEX(EmployeeData[Join Date], ROW() - 37), "")</f>
        <v/>
      </c>
      <c r="H3304" s="6"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6" t="str" cm="1">
        <f t="array" ref="G3305">IFERROR(INDEX(EmployeeData[Join Date], ROW() - 37), "")</f>
        <v/>
      </c>
      <c r="H3305" s="6"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6" t="str" cm="1">
        <f t="array" ref="G3306">IFERROR(INDEX(EmployeeData[Join Date], ROW() - 37), "")</f>
        <v/>
      </c>
      <c r="H3306" s="6"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6" t="str" cm="1">
        <f t="array" ref="G3307">IFERROR(INDEX(EmployeeData[Join Date], ROW() - 37), "")</f>
        <v/>
      </c>
      <c r="H3307" s="6"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6" t="str" cm="1">
        <f t="array" ref="G3308">IFERROR(INDEX(EmployeeData[Join Date], ROW() - 37), "")</f>
        <v/>
      </c>
      <c r="H3308" s="6"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6" t="str" cm="1">
        <f t="array" ref="G3309">IFERROR(INDEX(EmployeeData[Join Date], ROW() - 37), "")</f>
        <v/>
      </c>
      <c r="H3309" s="6"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6" t="str" cm="1">
        <f t="array" ref="G3310">IFERROR(INDEX(EmployeeData[Join Date], ROW() - 37), "")</f>
        <v/>
      </c>
      <c r="H3310" s="6"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6" t="str" cm="1">
        <f t="array" ref="G3311">IFERROR(INDEX(EmployeeData[Join Date], ROW() - 37), "")</f>
        <v/>
      </c>
      <c r="H3311" s="6"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6" t="str" cm="1">
        <f t="array" ref="G3312">IFERROR(INDEX(EmployeeData[Join Date], ROW() - 37), "")</f>
        <v/>
      </c>
      <c r="H3312" s="6"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6" t="str" cm="1">
        <f t="array" ref="G3313">IFERROR(INDEX(EmployeeData[Join Date], ROW() - 37), "")</f>
        <v/>
      </c>
      <c r="H3313" s="6"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6" t="str" cm="1">
        <f t="array" ref="G3314">IFERROR(INDEX(EmployeeData[Join Date], ROW() - 37), "")</f>
        <v/>
      </c>
      <c r="H3314" s="6"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6" t="str" cm="1">
        <f t="array" ref="G3315">IFERROR(INDEX(EmployeeData[Join Date], ROW() - 37), "")</f>
        <v/>
      </c>
      <c r="H3315" s="6"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6" t="str" cm="1">
        <f t="array" ref="G3316">IFERROR(INDEX(EmployeeData[Join Date], ROW() - 37), "")</f>
        <v/>
      </c>
      <c r="H3316" s="6"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6" t="str" cm="1">
        <f t="array" ref="G3317">IFERROR(INDEX(EmployeeData[Join Date], ROW() - 37), "")</f>
        <v/>
      </c>
      <c r="H3317" s="6"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6" t="str" cm="1">
        <f t="array" ref="G3318">IFERROR(INDEX(EmployeeData[Join Date], ROW() - 37), "")</f>
        <v/>
      </c>
      <c r="H3318" s="6"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6" t="str" cm="1">
        <f t="array" ref="G3319">IFERROR(INDEX(EmployeeData[Join Date], ROW() - 37), "")</f>
        <v/>
      </c>
      <c r="H3319" s="6"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6" t="str" cm="1">
        <f t="array" ref="G3320">IFERROR(INDEX(EmployeeData[Join Date], ROW() - 37), "")</f>
        <v/>
      </c>
      <c r="H3320" s="6"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6" t="str" cm="1">
        <f t="array" ref="G3321">IFERROR(INDEX(EmployeeData[Join Date], ROW() - 37), "")</f>
        <v/>
      </c>
      <c r="H3321" s="6"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6" t="str" cm="1">
        <f t="array" ref="G3322">IFERROR(INDEX(EmployeeData[Join Date], ROW() - 37), "")</f>
        <v/>
      </c>
      <c r="H3322" s="6"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6" t="str" cm="1">
        <f t="array" ref="G3323">IFERROR(INDEX(EmployeeData[Join Date], ROW() - 37), "")</f>
        <v/>
      </c>
      <c r="H3323" s="6"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6" t="str" cm="1">
        <f t="array" ref="G3324">IFERROR(INDEX(EmployeeData[Join Date], ROW() - 37), "")</f>
        <v/>
      </c>
      <c r="H3324" s="6"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6" t="str" cm="1">
        <f t="array" ref="G3325">IFERROR(INDEX(EmployeeData[Join Date], ROW() - 37), "")</f>
        <v/>
      </c>
      <c r="H3325" s="6"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6" t="str" cm="1">
        <f t="array" ref="G3326">IFERROR(INDEX(EmployeeData[Join Date], ROW() - 37), "")</f>
        <v/>
      </c>
      <c r="H3326" s="6"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6" t="str" cm="1">
        <f t="array" ref="G3327">IFERROR(INDEX(EmployeeData[Join Date], ROW() - 37), "")</f>
        <v/>
      </c>
      <c r="H3327" s="6"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6" t="str" cm="1">
        <f t="array" ref="G3328">IFERROR(INDEX(EmployeeData[Join Date], ROW() - 37), "")</f>
        <v/>
      </c>
      <c r="H3328" s="6"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6" t="str" cm="1">
        <f t="array" ref="G3329">IFERROR(INDEX(EmployeeData[Join Date], ROW() - 37), "")</f>
        <v/>
      </c>
      <c r="H3329" s="6"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6" t="str" cm="1">
        <f t="array" ref="G3330">IFERROR(INDEX(EmployeeData[Join Date], ROW() - 37), "")</f>
        <v/>
      </c>
      <c r="H3330" s="6"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6" t="str" cm="1">
        <f t="array" ref="G3331">IFERROR(INDEX(EmployeeData[Join Date], ROW() - 37), "")</f>
        <v/>
      </c>
      <c r="H3331" s="6"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6" t="str" cm="1">
        <f t="array" ref="G3332">IFERROR(INDEX(EmployeeData[Join Date], ROW() - 37), "")</f>
        <v/>
      </c>
      <c r="H3332" s="6"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6" t="str" cm="1">
        <f t="array" ref="G3333">IFERROR(INDEX(EmployeeData[Join Date], ROW() - 37), "")</f>
        <v/>
      </c>
      <c r="H3333" s="6"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6" t="str" cm="1">
        <f t="array" ref="G3334">IFERROR(INDEX(EmployeeData[Join Date], ROW() - 37), "")</f>
        <v/>
      </c>
      <c r="H3334" s="6"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6" t="str" cm="1">
        <f t="array" ref="G3335">IFERROR(INDEX(EmployeeData[Join Date], ROW() - 37), "")</f>
        <v/>
      </c>
      <c r="H3335" s="6"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6" t="str" cm="1">
        <f t="array" ref="G3336">IFERROR(INDEX(EmployeeData[Join Date], ROW() - 37), "")</f>
        <v/>
      </c>
      <c r="H3336" s="6"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6" t="str" cm="1">
        <f t="array" ref="G3337">IFERROR(INDEX(EmployeeData[Join Date], ROW() - 37), "")</f>
        <v/>
      </c>
      <c r="H3337" s="6"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6" t="str" cm="1">
        <f t="array" ref="G3338">IFERROR(INDEX(EmployeeData[Join Date], ROW() - 37), "")</f>
        <v/>
      </c>
      <c r="H3338" s="6"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6" t="str" cm="1">
        <f t="array" ref="G3339">IFERROR(INDEX(EmployeeData[Join Date], ROW() - 37), "")</f>
        <v/>
      </c>
      <c r="H3339" s="6"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6" t="str" cm="1">
        <f t="array" ref="G3340">IFERROR(INDEX(EmployeeData[Join Date], ROW() - 37), "")</f>
        <v/>
      </c>
      <c r="H3340" s="6"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6" t="str" cm="1">
        <f t="array" ref="G3341">IFERROR(INDEX(EmployeeData[Join Date], ROW() - 37), "")</f>
        <v/>
      </c>
      <c r="H3341" s="6"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6" t="str" cm="1">
        <f t="array" ref="G3342">IFERROR(INDEX(EmployeeData[Join Date], ROW() - 37), "")</f>
        <v/>
      </c>
      <c r="H3342" s="6"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6" t="str" cm="1">
        <f t="array" ref="G3343">IFERROR(INDEX(EmployeeData[Join Date], ROW() - 37), "")</f>
        <v/>
      </c>
      <c r="H3343" s="6"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6" t="str" cm="1">
        <f t="array" ref="G3344">IFERROR(INDEX(EmployeeData[Join Date], ROW() - 37), "")</f>
        <v/>
      </c>
      <c r="H3344" s="6"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6" t="str" cm="1">
        <f t="array" ref="G3345">IFERROR(INDEX(EmployeeData[Join Date], ROW() - 37), "")</f>
        <v/>
      </c>
      <c r="H3345" s="6"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6" t="str" cm="1">
        <f t="array" ref="G3346">IFERROR(INDEX(EmployeeData[Join Date], ROW() - 37), "")</f>
        <v/>
      </c>
      <c r="H3346" s="6"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6" t="str" cm="1">
        <f t="array" ref="G3347">IFERROR(INDEX(EmployeeData[Join Date], ROW() - 37), "")</f>
        <v/>
      </c>
      <c r="H3347" s="6"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6" t="str" cm="1">
        <f t="array" ref="G3348">IFERROR(INDEX(EmployeeData[Join Date], ROW() - 37), "")</f>
        <v/>
      </c>
      <c r="H3348" s="6"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6" t="str" cm="1">
        <f t="array" ref="G3349">IFERROR(INDEX(EmployeeData[Join Date], ROW() - 37), "")</f>
        <v/>
      </c>
      <c r="H3349" s="6"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6" t="str" cm="1">
        <f t="array" ref="G3350">IFERROR(INDEX(EmployeeData[Join Date], ROW() - 37), "")</f>
        <v/>
      </c>
      <c r="H3350" s="6"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6" t="str" cm="1">
        <f t="array" ref="G3351">IFERROR(INDEX(EmployeeData[Join Date], ROW() - 37), "")</f>
        <v/>
      </c>
      <c r="H3351" s="6"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6" t="str" cm="1">
        <f t="array" ref="G3352">IFERROR(INDEX(EmployeeData[Join Date], ROW() - 37), "")</f>
        <v/>
      </c>
      <c r="H3352" s="6"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6" t="str" cm="1">
        <f t="array" ref="G3353">IFERROR(INDEX(EmployeeData[Join Date], ROW() - 37), "")</f>
        <v/>
      </c>
      <c r="H3353" s="6"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6" t="str" cm="1">
        <f t="array" ref="G3354">IFERROR(INDEX(EmployeeData[Join Date], ROW() - 37), "")</f>
        <v/>
      </c>
      <c r="H3354" s="6"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6" t="str" cm="1">
        <f t="array" ref="G3355">IFERROR(INDEX(EmployeeData[Join Date], ROW() - 37), "")</f>
        <v/>
      </c>
      <c r="H3355" s="6"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6" t="str" cm="1">
        <f t="array" ref="G3356">IFERROR(INDEX(EmployeeData[Join Date], ROW() - 37), "")</f>
        <v/>
      </c>
      <c r="H3356" s="6"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6" t="str" cm="1">
        <f t="array" ref="G3357">IFERROR(INDEX(EmployeeData[Join Date], ROW() - 37), "")</f>
        <v/>
      </c>
      <c r="H3357" s="6"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6" t="str" cm="1">
        <f t="array" ref="G3358">IFERROR(INDEX(EmployeeData[Join Date], ROW() - 37), "")</f>
        <v/>
      </c>
      <c r="H3358" s="6"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6" t="str" cm="1">
        <f t="array" ref="G3359">IFERROR(INDEX(EmployeeData[Join Date], ROW() - 37), "")</f>
        <v/>
      </c>
      <c r="H3359" s="6"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6" t="str" cm="1">
        <f t="array" ref="G3360">IFERROR(INDEX(EmployeeData[Join Date], ROW() - 37), "")</f>
        <v/>
      </c>
      <c r="H3360" s="6"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6" t="str" cm="1">
        <f t="array" ref="G3361">IFERROR(INDEX(EmployeeData[Join Date], ROW() - 37), "")</f>
        <v/>
      </c>
      <c r="H3361" s="6"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6" t="str" cm="1">
        <f t="array" ref="G3362">IFERROR(INDEX(EmployeeData[Join Date], ROW() - 37), "")</f>
        <v/>
      </c>
      <c r="H3362" s="6"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6" t="str" cm="1">
        <f t="array" ref="G3363">IFERROR(INDEX(EmployeeData[Join Date], ROW() - 37), "")</f>
        <v/>
      </c>
      <c r="H3363" s="6"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6" t="str" cm="1">
        <f t="array" ref="G3364">IFERROR(INDEX(EmployeeData[Join Date], ROW() - 37), "")</f>
        <v/>
      </c>
      <c r="H3364" s="6"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6" t="str" cm="1">
        <f t="array" ref="G3365">IFERROR(INDEX(EmployeeData[Join Date], ROW() - 37), "")</f>
        <v/>
      </c>
      <c r="H3365" s="6"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6" t="str" cm="1">
        <f t="array" ref="G3366">IFERROR(INDEX(EmployeeData[Join Date], ROW() - 37), "")</f>
        <v/>
      </c>
      <c r="H3366" s="6"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6" t="str" cm="1">
        <f t="array" ref="G3367">IFERROR(INDEX(EmployeeData[Join Date], ROW() - 37), "")</f>
        <v/>
      </c>
      <c r="H3367" s="6"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6" t="str" cm="1">
        <f t="array" ref="G3368">IFERROR(INDEX(EmployeeData[Join Date], ROW() - 37), "")</f>
        <v/>
      </c>
      <c r="H3368" s="6"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6" t="str" cm="1">
        <f t="array" ref="G3369">IFERROR(INDEX(EmployeeData[Join Date], ROW() - 37), "")</f>
        <v/>
      </c>
      <c r="H3369" s="6"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6" t="str" cm="1">
        <f t="array" ref="G3370">IFERROR(INDEX(EmployeeData[Join Date], ROW() - 37), "")</f>
        <v/>
      </c>
      <c r="H3370" s="6"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6" t="str" cm="1">
        <f t="array" ref="G3371">IFERROR(INDEX(EmployeeData[Join Date], ROW() - 37), "")</f>
        <v/>
      </c>
      <c r="H3371" s="6"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6" t="str" cm="1">
        <f t="array" ref="G3372">IFERROR(INDEX(EmployeeData[Join Date], ROW() - 37), "")</f>
        <v/>
      </c>
      <c r="H3372" s="6"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6" t="str" cm="1">
        <f t="array" ref="G3373">IFERROR(INDEX(EmployeeData[Join Date], ROW() - 37), "")</f>
        <v/>
      </c>
      <c r="H3373" s="6"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6" t="str" cm="1">
        <f t="array" ref="G3374">IFERROR(INDEX(EmployeeData[Join Date], ROW() - 37), "")</f>
        <v/>
      </c>
      <c r="H3374" s="6"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6" t="str" cm="1">
        <f t="array" ref="G3375">IFERROR(INDEX(EmployeeData[Join Date], ROW() - 37), "")</f>
        <v/>
      </c>
      <c r="H3375" s="6"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6" t="str" cm="1">
        <f t="array" ref="G3376">IFERROR(INDEX(EmployeeData[Join Date], ROW() - 37), "")</f>
        <v/>
      </c>
      <c r="H3376" s="6"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6" t="str" cm="1">
        <f t="array" ref="G3377">IFERROR(INDEX(EmployeeData[Join Date], ROW() - 37), "")</f>
        <v/>
      </c>
      <c r="H3377" s="6"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6" t="str" cm="1">
        <f t="array" ref="G3378">IFERROR(INDEX(EmployeeData[Join Date], ROW() - 37), "")</f>
        <v/>
      </c>
      <c r="H3378" s="6"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6" t="str" cm="1">
        <f t="array" ref="G3379">IFERROR(INDEX(EmployeeData[Join Date], ROW() - 37), "")</f>
        <v/>
      </c>
      <c r="H3379" s="6"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6" t="str" cm="1">
        <f t="array" ref="G3380">IFERROR(INDEX(EmployeeData[Join Date], ROW() - 37), "")</f>
        <v/>
      </c>
      <c r="H3380" s="6"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6" t="str" cm="1">
        <f t="array" ref="G3381">IFERROR(INDEX(EmployeeData[Join Date], ROW() - 37), "")</f>
        <v/>
      </c>
      <c r="H3381" s="6"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6" t="str" cm="1">
        <f t="array" ref="G3382">IFERROR(INDEX(EmployeeData[Join Date], ROW() - 37), "")</f>
        <v/>
      </c>
      <c r="H3382" s="6"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6" t="str" cm="1">
        <f t="array" ref="G3383">IFERROR(INDEX(EmployeeData[Join Date], ROW() - 37), "")</f>
        <v/>
      </c>
      <c r="H3383" s="6"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6" t="str" cm="1">
        <f t="array" ref="G3384">IFERROR(INDEX(EmployeeData[Join Date], ROW() - 37), "")</f>
        <v/>
      </c>
      <c r="H3384" s="6"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6" t="str" cm="1">
        <f t="array" ref="G3385">IFERROR(INDEX(EmployeeData[Join Date], ROW() - 37), "")</f>
        <v/>
      </c>
      <c r="H3385" s="6"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6" t="str" cm="1">
        <f t="array" ref="G3386">IFERROR(INDEX(EmployeeData[Join Date], ROW() - 37), "")</f>
        <v/>
      </c>
      <c r="H3386" s="6"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6" t="str" cm="1">
        <f t="array" ref="G3387">IFERROR(INDEX(EmployeeData[Join Date], ROW() - 37), "")</f>
        <v/>
      </c>
      <c r="H3387" s="6"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6" t="str" cm="1">
        <f t="array" ref="G3388">IFERROR(INDEX(EmployeeData[Join Date], ROW() - 37), "")</f>
        <v/>
      </c>
      <c r="H3388" s="6"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6" t="str" cm="1">
        <f t="array" ref="G3389">IFERROR(INDEX(EmployeeData[Join Date], ROW() - 37), "")</f>
        <v/>
      </c>
      <c r="H3389" s="6"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6" t="str" cm="1">
        <f t="array" ref="G3390">IFERROR(INDEX(EmployeeData[Join Date], ROW() - 37), "")</f>
        <v/>
      </c>
      <c r="H3390" s="6"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6" t="str" cm="1">
        <f t="array" ref="G3391">IFERROR(INDEX(EmployeeData[Join Date], ROW() - 37), "")</f>
        <v/>
      </c>
      <c r="H3391" s="6"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6" t="str" cm="1">
        <f t="array" ref="G3392">IFERROR(INDEX(EmployeeData[Join Date], ROW() - 37), "")</f>
        <v/>
      </c>
      <c r="H3392" s="6"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6" t="str" cm="1">
        <f t="array" ref="G3393">IFERROR(INDEX(EmployeeData[Join Date], ROW() - 37), "")</f>
        <v/>
      </c>
      <c r="H3393" s="6"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6" t="str" cm="1">
        <f t="array" ref="G3394">IFERROR(INDEX(EmployeeData[Join Date], ROW() - 37), "")</f>
        <v/>
      </c>
      <c r="H3394" s="6"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6" t="str" cm="1">
        <f t="array" ref="G3395">IFERROR(INDEX(EmployeeData[Join Date], ROW() - 37), "")</f>
        <v/>
      </c>
      <c r="H3395" s="6"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6" t="str" cm="1">
        <f t="array" ref="G3396">IFERROR(INDEX(EmployeeData[Join Date], ROW() - 37), "")</f>
        <v/>
      </c>
      <c r="H3396" s="6"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6" t="str" cm="1">
        <f t="array" ref="G3397">IFERROR(INDEX(EmployeeData[Join Date], ROW() - 37), "")</f>
        <v/>
      </c>
      <c r="H3397" s="6"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6" t="str" cm="1">
        <f t="array" ref="G3398">IFERROR(INDEX(EmployeeData[Join Date], ROW() - 37), "")</f>
        <v/>
      </c>
      <c r="H3398" s="6"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6" t="str" cm="1">
        <f t="array" ref="G3399">IFERROR(INDEX(EmployeeData[Join Date], ROW() - 37), "")</f>
        <v/>
      </c>
      <c r="H3399" s="6"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6" t="str" cm="1">
        <f t="array" ref="G3400">IFERROR(INDEX(EmployeeData[Join Date], ROW() - 37), "")</f>
        <v/>
      </c>
      <c r="H3400" s="6"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6" t="str" cm="1">
        <f t="array" ref="G3401">IFERROR(INDEX(EmployeeData[Join Date], ROW() - 37), "")</f>
        <v/>
      </c>
      <c r="H3401" s="6"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6" t="str" cm="1">
        <f t="array" ref="G3402">IFERROR(INDEX(EmployeeData[Join Date], ROW() - 37), "")</f>
        <v/>
      </c>
      <c r="H3402" s="6"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6" t="str" cm="1">
        <f t="array" ref="G3403">IFERROR(INDEX(EmployeeData[Join Date], ROW() - 37), "")</f>
        <v/>
      </c>
      <c r="H3403" s="6"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6" t="str" cm="1">
        <f t="array" ref="G3404">IFERROR(INDEX(EmployeeData[Join Date], ROW() - 37), "")</f>
        <v/>
      </c>
      <c r="H3404" s="6"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6" t="str" cm="1">
        <f t="array" ref="G3405">IFERROR(INDEX(EmployeeData[Join Date], ROW() - 37), "")</f>
        <v/>
      </c>
      <c r="H3405" s="6"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6" t="str" cm="1">
        <f t="array" ref="G3406">IFERROR(INDEX(EmployeeData[Join Date], ROW() - 37), "")</f>
        <v/>
      </c>
      <c r="H3406" s="6"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6" t="str" cm="1">
        <f t="array" ref="G3407">IFERROR(INDEX(EmployeeData[Join Date], ROW() - 37), "")</f>
        <v/>
      </c>
      <c r="H3407" s="6"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6" t="str" cm="1">
        <f t="array" ref="G3408">IFERROR(INDEX(EmployeeData[Join Date], ROW() - 37), "")</f>
        <v/>
      </c>
      <c r="H3408" s="6"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6" t="str" cm="1">
        <f t="array" ref="G3409">IFERROR(INDEX(EmployeeData[Join Date], ROW() - 37), "")</f>
        <v/>
      </c>
      <c r="H3409" s="6"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6" t="str" cm="1">
        <f t="array" ref="G3410">IFERROR(INDEX(EmployeeData[Join Date], ROW() - 37), "")</f>
        <v/>
      </c>
      <c r="H3410" s="6"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6" t="str" cm="1">
        <f t="array" ref="G3411">IFERROR(INDEX(EmployeeData[Join Date], ROW() - 37), "")</f>
        <v/>
      </c>
      <c r="H3411" s="6"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6" t="str" cm="1">
        <f t="array" ref="G3412">IFERROR(INDEX(EmployeeData[Join Date], ROW() - 37), "")</f>
        <v/>
      </c>
      <c r="H3412" s="6"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6" t="str" cm="1">
        <f t="array" ref="G3413">IFERROR(INDEX(EmployeeData[Join Date], ROW() - 37), "")</f>
        <v/>
      </c>
      <c r="H3413" s="6"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6" t="str" cm="1">
        <f t="array" ref="G3414">IFERROR(INDEX(EmployeeData[Join Date], ROW() - 37), "")</f>
        <v/>
      </c>
      <c r="H3414" s="6"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6" t="str" cm="1">
        <f t="array" ref="G3415">IFERROR(INDEX(EmployeeData[Join Date], ROW() - 37), "")</f>
        <v/>
      </c>
      <c r="H3415" s="6"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6" t="str" cm="1">
        <f t="array" ref="G3416">IFERROR(INDEX(EmployeeData[Join Date], ROW() - 37), "")</f>
        <v/>
      </c>
      <c r="H3416" s="6"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6" t="str" cm="1">
        <f t="array" ref="G3417">IFERROR(INDEX(EmployeeData[Join Date], ROW() - 37), "")</f>
        <v/>
      </c>
      <c r="H3417" s="6"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6" t="str" cm="1">
        <f t="array" ref="G3418">IFERROR(INDEX(EmployeeData[Join Date], ROW() - 37), "")</f>
        <v/>
      </c>
      <c r="H3418" s="6"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6" t="str" cm="1">
        <f t="array" ref="G3419">IFERROR(INDEX(EmployeeData[Join Date], ROW() - 37), "")</f>
        <v/>
      </c>
      <c r="H3419" s="6"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6" t="str" cm="1">
        <f t="array" ref="G3420">IFERROR(INDEX(EmployeeData[Join Date], ROW() - 37), "")</f>
        <v/>
      </c>
      <c r="H3420" s="6"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6" t="str" cm="1">
        <f t="array" ref="G3421">IFERROR(INDEX(EmployeeData[Join Date], ROW() - 37), "")</f>
        <v/>
      </c>
      <c r="H3421" s="6"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6" t="str" cm="1">
        <f t="array" ref="G3422">IFERROR(INDEX(EmployeeData[Join Date], ROW() - 37), "")</f>
        <v/>
      </c>
      <c r="H3422" s="6"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6" t="str" cm="1">
        <f t="array" ref="G3423">IFERROR(INDEX(EmployeeData[Join Date], ROW() - 37), "")</f>
        <v/>
      </c>
      <c r="H3423" s="6"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6" t="str" cm="1">
        <f t="array" ref="G3424">IFERROR(INDEX(EmployeeData[Join Date], ROW() - 37), "")</f>
        <v/>
      </c>
      <c r="H3424" s="6"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6" t="str" cm="1">
        <f t="array" ref="G3425">IFERROR(INDEX(EmployeeData[Join Date], ROW() - 37), "")</f>
        <v/>
      </c>
      <c r="H3425" s="6"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6" t="str" cm="1">
        <f t="array" ref="G3426">IFERROR(INDEX(EmployeeData[Join Date], ROW() - 37), "")</f>
        <v/>
      </c>
      <c r="H3426" s="6"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6" t="str" cm="1">
        <f t="array" ref="G3427">IFERROR(INDEX(EmployeeData[Join Date], ROW() - 37), "")</f>
        <v/>
      </c>
      <c r="H3427" s="6"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6" t="str" cm="1">
        <f t="array" ref="G3428">IFERROR(INDEX(EmployeeData[Join Date], ROW() - 37), "")</f>
        <v/>
      </c>
      <c r="H3428" s="6"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6" t="str" cm="1">
        <f t="array" ref="G3429">IFERROR(INDEX(EmployeeData[Join Date], ROW() - 37), "")</f>
        <v/>
      </c>
      <c r="H3429" s="6"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6" t="str" cm="1">
        <f t="array" ref="G3430">IFERROR(INDEX(EmployeeData[Join Date], ROW() - 37), "")</f>
        <v/>
      </c>
      <c r="H3430" s="6"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6" t="str" cm="1">
        <f t="array" ref="G3431">IFERROR(INDEX(EmployeeData[Join Date], ROW() - 37), "")</f>
        <v/>
      </c>
      <c r="H3431" s="6"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6" t="str" cm="1">
        <f t="array" ref="G3432">IFERROR(INDEX(EmployeeData[Join Date], ROW() - 37), "")</f>
        <v/>
      </c>
      <c r="H3432" s="6"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6" t="str" cm="1">
        <f t="array" ref="G3433">IFERROR(INDEX(EmployeeData[Join Date], ROW() - 37), "")</f>
        <v/>
      </c>
      <c r="H3433" s="6"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6" t="str" cm="1">
        <f t="array" ref="G3434">IFERROR(INDEX(EmployeeData[Join Date], ROW() - 37), "")</f>
        <v/>
      </c>
      <c r="H3434" s="6"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6" t="str" cm="1">
        <f t="array" ref="G3435">IFERROR(INDEX(EmployeeData[Join Date], ROW() - 37), "")</f>
        <v/>
      </c>
      <c r="H3435" s="6"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6" t="str" cm="1">
        <f t="array" ref="G3436">IFERROR(INDEX(EmployeeData[Join Date], ROW() - 37), "")</f>
        <v/>
      </c>
      <c r="H3436" s="6"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6" t="str" cm="1">
        <f t="array" ref="G3437">IFERROR(INDEX(EmployeeData[Join Date], ROW() - 37), "")</f>
        <v/>
      </c>
      <c r="H3437" s="6"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6" t="str" cm="1">
        <f t="array" ref="G3438">IFERROR(INDEX(EmployeeData[Join Date], ROW() - 37), "")</f>
        <v/>
      </c>
      <c r="H3438" s="6"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6" t="str" cm="1">
        <f t="array" ref="G3439">IFERROR(INDEX(EmployeeData[Join Date], ROW() - 37), "")</f>
        <v/>
      </c>
      <c r="H3439" s="6"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6" t="str" cm="1">
        <f t="array" ref="G3440">IFERROR(INDEX(EmployeeData[Join Date], ROW() - 37), "")</f>
        <v/>
      </c>
      <c r="H3440" s="6"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6" t="str" cm="1">
        <f t="array" ref="G3441">IFERROR(INDEX(EmployeeData[Join Date], ROW() - 37), "")</f>
        <v/>
      </c>
      <c r="H3441" s="6"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6" t="str" cm="1">
        <f t="array" ref="G3442">IFERROR(INDEX(EmployeeData[Join Date], ROW() - 37), "")</f>
        <v/>
      </c>
      <c r="H3442" s="6"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6" t="str" cm="1">
        <f t="array" ref="G3443">IFERROR(INDEX(EmployeeData[Join Date], ROW() - 37), "")</f>
        <v/>
      </c>
      <c r="H3443" s="6"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6" t="str" cm="1">
        <f t="array" ref="G3444">IFERROR(INDEX(EmployeeData[Join Date], ROW() - 37), "")</f>
        <v/>
      </c>
      <c r="H3444" s="6"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6" t="str" cm="1">
        <f t="array" ref="G3445">IFERROR(INDEX(EmployeeData[Join Date], ROW() - 37), "")</f>
        <v/>
      </c>
      <c r="H3445" s="6"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6" t="str" cm="1">
        <f t="array" ref="G3446">IFERROR(INDEX(EmployeeData[Join Date], ROW() - 37), "")</f>
        <v/>
      </c>
      <c r="H3446" s="6"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6" t="str" cm="1">
        <f t="array" ref="G3447">IFERROR(INDEX(EmployeeData[Join Date], ROW() - 37), "")</f>
        <v/>
      </c>
      <c r="H3447" s="6"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6" t="str" cm="1">
        <f t="array" ref="G3448">IFERROR(INDEX(EmployeeData[Join Date], ROW() - 37), "")</f>
        <v/>
      </c>
      <c r="H3448" s="6"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6" t="str" cm="1">
        <f t="array" ref="G3449">IFERROR(INDEX(EmployeeData[Join Date], ROW() - 37), "")</f>
        <v/>
      </c>
      <c r="H3449" s="6"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6" t="str" cm="1">
        <f t="array" ref="G3450">IFERROR(INDEX(EmployeeData[Join Date], ROW() - 37), "")</f>
        <v/>
      </c>
      <c r="H3450" s="6"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6" t="str" cm="1">
        <f t="array" ref="G3451">IFERROR(INDEX(EmployeeData[Join Date], ROW() - 37), "")</f>
        <v/>
      </c>
      <c r="H3451" s="6"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6" t="str" cm="1">
        <f t="array" ref="G3452">IFERROR(INDEX(EmployeeData[Join Date], ROW() - 37), "")</f>
        <v/>
      </c>
      <c r="H3452" s="6"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6" t="str" cm="1">
        <f t="array" ref="G3453">IFERROR(INDEX(EmployeeData[Join Date], ROW() - 37), "")</f>
        <v/>
      </c>
      <c r="H3453" s="6"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6" t="str" cm="1">
        <f t="array" ref="G3454">IFERROR(INDEX(EmployeeData[Join Date], ROW() - 37), "")</f>
        <v/>
      </c>
      <c r="H3454" s="6"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6" t="str" cm="1">
        <f t="array" ref="G3455">IFERROR(INDEX(EmployeeData[Join Date], ROW() - 37), "")</f>
        <v/>
      </c>
      <c r="H3455" s="6"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6" t="str" cm="1">
        <f t="array" ref="G3456">IFERROR(INDEX(EmployeeData[Join Date], ROW() - 37), "")</f>
        <v/>
      </c>
      <c r="H3456" s="6"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6" t="str" cm="1">
        <f t="array" ref="G3457">IFERROR(INDEX(EmployeeData[Join Date], ROW() - 37), "")</f>
        <v/>
      </c>
      <c r="H3457" s="6"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6" t="str" cm="1">
        <f t="array" ref="G3458">IFERROR(INDEX(EmployeeData[Join Date], ROW() - 37), "")</f>
        <v/>
      </c>
      <c r="H3458" s="6"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6" t="str" cm="1">
        <f t="array" ref="G3459">IFERROR(INDEX(EmployeeData[Join Date], ROW() - 37), "")</f>
        <v/>
      </c>
      <c r="H3459" s="6"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6" t="str" cm="1">
        <f t="array" ref="G3460">IFERROR(INDEX(EmployeeData[Join Date], ROW() - 37), "")</f>
        <v/>
      </c>
      <c r="H3460" s="6"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6" t="str" cm="1">
        <f t="array" ref="G3461">IFERROR(INDEX(EmployeeData[Join Date], ROW() - 37), "")</f>
        <v/>
      </c>
      <c r="H3461" s="6"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6" t="str" cm="1">
        <f t="array" ref="G3462">IFERROR(INDEX(EmployeeData[Join Date], ROW() - 37), "")</f>
        <v/>
      </c>
      <c r="H3462" s="6"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6" t="str" cm="1">
        <f t="array" ref="G3463">IFERROR(INDEX(EmployeeData[Join Date], ROW() - 37), "")</f>
        <v/>
      </c>
      <c r="H3463" s="6"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6" t="str" cm="1">
        <f t="array" ref="G3464">IFERROR(INDEX(EmployeeData[Join Date], ROW() - 37), "")</f>
        <v/>
      </c>
      <c r="H3464" s="6"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6" t="str" cm="1">
        <f t="array" ref="G3465">IFERROR(INDEX(EmployeeData[Join Date], ROW() - 37), "")</f>
        <v/>
      </c>
      <c r="H3465" s="6"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6" t="str" cm="1">
        <f t="array" ref="G3466">IFERROR(INDEX(EmployeeData[Join Date], ROW() - 37), "")</f>
        <v/>
      </c>
      <c r="H3466" s="6"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6" t="str" cm="1">
        <f t="array" ref="G3467">IFERROR(INDEX(EmployeeData[Join Date], ROW() - 37), "")</f>
        <v/>
      </c>
      <c r="H3467" s="6"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6" t="str" cm="1">
        <f t="array" ref="G3468">IFERROR(INDEX(EmployeeData[Join Date], ROW() - 37), "")</f>
        <v/>
      </c>
      <c r="H3468" s="6"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6" t="str" cm="1">
        <f t="array" ref="G3469">IFERROR(INDEX(EmployeeData[Join Date], ROW() - 37), "")</f>
        <v/>
      </c>
      <c r="H3469" s="6"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6" t="str" cm="1">
        <f t="array" ref="G3470">IFERROR(INDEX(EmployeeData[Join Date], ROW() - 37), "")</f>
        <v/>
      </c>
      <c r="H3470" s="6"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6" t="str" cm="1">
        <f t="array" ref="G3471">IFERROR(INDEX(EmployeeData[Join Date], ROW() - 37), "")</f>
        <v/>
      </c>
      <c r="H3471" s="6"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6" t="str" cm="1">
        <f t="array" ref="G3472">IFERROR(INDEX(EmployeeData[Join Date], ROW() - 37), "")</f>
        <v/>
      </c>
      <c r="H3472" s="6"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6" t="str" cm="1">
        <f t="array" ref="G3473">IFERROR(INDEX(EmployeeData[Join Date], ROW() - 37), "")</f>
        <v/>
      </c>
      <c r="H3473" s="6"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6" t="str" cm="1">
        <f t="array" ref="G3474">IFERROR(INDEX(EmployeeData[Join Date], ROW() - 37), "")</f>
        <v/>
      </c>
      <c r="H3474" s="6"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6" t="str" cm="1">
        <f t="array" ref="G3475">IFERROR(INDEX(EmployeeData[Join Date], ROW() - 37), "")</f>
        <v/>
      </c>
      <c r="H3475" s="6"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6" t="str" cm="1">
        <f t="array" ref="G3476">IFERROR(INDEX(EmployeeData[Join Date], ROW() - 37), "")</f>
        <v/>
      </c>
      <c r="H3476" s="6"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6" t="str" cm="1">
        <f t="array" ref="G3477">IFERROR(INDEX(EmployeeData[Join Date], ROW() - 37), "")</f>
        <v/>
      </c>
      <c r="H3477" s="6"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6" t="str" cm="1">
        <f t="array" ref="G3478">IFERROR(INDEX(EmployeeData[Join Date], ROW() - 37), "")</f>
        <v/>
      </c>
      <c r="H3478" s="6"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6" t="str" cm="1">
        <f t="array" ref="G3479">IFERROR(INDEX(EmployeeData[Join Date], ROW() - 37), "")</f>
        <v/>
      </c>
      <c r="H3479" s="6"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6" t="str" cm="1">
        <f t="array" ref="G3480">IFERROR(INDEX(EmployeeData[Join Date], ROW() - 37), "")</f>
        <v/>
      </c>
      <c r="H3480" s="6"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6" t="str" cm="1">
        <f t="array" ref="G3481">IFERROR(INDEX(EmployeeData[Join Date], ROW() - 37), "")</f>
        <v/>
      </c>
      <c r="H3481" s="6"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6" t="str" cm="1">
        <f t="array" ref="G3482">IFERROR(INDEX(EmployeeData[Join Date], ROW() - 37), "")</f>
        <v/>
      </c>
      <c r="H3482" s="6"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6" t="str" cm="1">
        <f t="array" ref="G3483">IFERROR(INDEX(EmployeeData[Join Date], ROW() - 37), "")</f>
        <v/>
      </c>
      <c r="H3483" s="6"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6" t="str" cm="1">
        <f t="array" ref="G3484">IFERROR(INDEX(EmployeeData[Join Date], ROW() - 37), "")</f>
        <v/>
      </c>
      <c r="H3484" s="6"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6" t="str" cm="1">
        <f t="array" ref="G3485">IFERROR(INDEX(EmployeeData[Join Date], ROW() - 37), "")</f>
        <v/>
      </c>
      <c r="H3485" s="6"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6" t="str" cm="1">
        <f t="array" ref="G3486">IFERROR(INDEX(EmployeeData[Join Date], ROW() - 37), "")</f>
        <v/>
      </c>
      <c r="H3486" s="6"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6" t="str" cm="1">
        <f t="array" ref="G3487">IFERROR(INDEX(EmployeeData[Join Date], ROW() - 37), "")</f>
        <v/>
      </c>
      <c r="H3487" s="6"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6" t="str" cm="1">
        <f t="array" ref="G3488">IFERROR(INDEX(EmployeeData[Join Date], ROW() - 37), "")</f>
        <v/>
      </c>
      <c r="H3488" s="6"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6" t="str" cm="1">
        <f t="array" ref="G3489">IFERROR(INDEX(EmployeeData[Join Date], ROW() - 37), "")</f>
        <v/>
      </c>
      <c r="H3489" s="6"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6" t="str" cm="1">
        <f t="array" ref="G3490">IFERROR(INDEX(EmployeeData[Join Date], ROW() - 37), "")</f>
        <v/>
      </c>
      <c r="H3490" s="6"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6" t="str" cm="1">
        <f t="array" ref="G3491">IFERROR(INDEX(EmployeeData[Join Date], ROW() - 37), "")</f>
        <v/>
      </c>
      <c r="H3491" s="6"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6" t="str" cm="1">
        <f t="array" ref="G3492">IFERROR(INDEX(EmployeeData[Join Date], ROW() - 37), "")</f>
        <v/>
      </c>
      <c r="H3492" s="6"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6" t="str" cm="1">
        <f t="array" ref="G3493">IFERROR(INDEX(EmployeeData[Join Date], ROW() - 37), "")</f>
        <v/>
      </c>
      <c r="H3493" s="6"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6" t="str" cm="1">
        <f t="array" ref="G3494">IFERROR(INDEX(EmployeeData[Join Date], ROW() - 37), "")</f>
        <v/>
      </c>
      <c r="H3494" s="6"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6" t="str" cm="1">
        <f t="array" ref="G3495">IFERROR(INDEX(EmployeeData[Join Date], ROW() - 37), "")</f>
        <v/>
      </c>
      <c r="H3495" s="6"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6" t="str" cm="1">
        <f t="array" ref="G3496">IFERROR(INDEX(EmployeeData[Join Date], ROW() - 37), "")</f>
        <v/>
      </c>
      <c r="H3496" s="6"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6" t="str" cm="1">
        <f t="array" ref="G3497">IFERROR(INDEX(EmployeeData[Join Date], ROW() - 37), "")</f>
        <v/>
      </c>
      <c r="H3497" s="6"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6" t="str" cm="1">
        <f t="array" ref="G3498">IFERROR(INDEX(EmployeeData[Join Date], ROW() - 37), "")</f>
        <v/>
      </c>
      <c r="H3498" s="6"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6" t="str" cm="1">
        <f t="array" ref="G3499">IFERROR(INDEX(EmployeeData[Join Date], ROW() - 37), "")</f>
        <v/>
      </c>
      <c r="H3499" s="6"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6" t="str" cm="1">
        <f t="array" ref="G3500">IFERROR(INDEX(EmployeeData[Join Date], ROW() - 37), "")</f>
        <v/>
      </c>
      <c r="H3500" s="6"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6" t="str" cm="1">
        <f t="array" ref="G3501">IFERROR(INDEX(EmployeeData[Join Date], ROW() - 37), "")</f>
        <v/>
      </c>
      <c r="H3501" s="6"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6" t="str" cm="1">
        <f t="array" ref="G3502">IFERROR(INDEX(EmployeeData[Join Date], ROW() - 37), "")</f>
        <v/>
      </c>
      <c r="H3502" s="6"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6" t="str" cm="1">
        <f t="array" ref="G3503">IFERROR(INDEX(EmployeeData[Join Date], ROW() - 37), "")</f>
        <v/>
      </c>
      <c r="H3503" s="6"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6" t="str" cm="1">
        <f t="array" ref="G3504">IFERROR(INDEX(EmployeeData[Join Date], ROW() - 37), "")</f>
        <v/>
      </c>
      <c r="H3504" s="6"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6" t="str" cm="1">
        <f t="array" ref="G3505">IFERROR(INDEX(EmployeeData[Join Date], ROW() - 37), "")</f>
        <v/>
      </c>
      <c r="H3505" s="6"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6" t="str" cm="1">
        <f t="array" ref="G3506">IFERROR(INDEX(EmployeeData[Join Date], ROW() - 37), "")</f>
        <v/>
      </c>
      <c r="H3506" s="6"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6" t="str" cm="1">
        <f t="array" ref="G3507">IFERROR(INDEX(EmployeeData[Join Date], ROW() - 37), "")</f>
        <v/>
      </c>
      <c r="H3507" s="6"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6" t="str" cm="1">
        <f t="array" ref="G3508">IFERROR(INDEX(EmployeeData[Join Date], ROW() - 37), "")</f>
        <v/>
      </c>
      <c r="H3508" s="6"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6" t="str" cm="1">
        <f t="array" ref="G3509">IFERROR(INDEX(EmployeeData[Join Date], ROW() - 37), "")</f>
        <v/>
      </c>
      <c r="H3509" s="6"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6" t="str" cm="1">
        <f t="array" ref="G3510">IFERROR(INDEX(EmployeeData[Join Date], ROW() - 37), "")</f>
        <v/>
      </c>
      <c r="H3510" s="6"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6" t="str" cm="1">
        <f t="array" ref="G3511">IFERROR(INDEX(EmployeeData[Join Date], ROW() - 37), "")</f>
        <v/>
      </c>
      <c r="H3511" s="6"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6" t="str" cm="1">
        <f t="array" ref="G3512">IFERROR(INDEX(EmployeeData[Join Date], ROW() - 37), "")</f>
        <v/>
      </c>
      <c r="H3512" s="6"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6" t="str" cm="1">
        <f t="array" ref="G3513">IFERROR(INDEX(EmployeeData[Join Date], ROW() - 37), "")</f>
        <v/>
      </c>
      <c r="H3513" s="6"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6" t="str" cm="1">
        <f t="array" ref="G3514">IFERROR(INDEX(EmployeeData[Join Date], ROW() - 37), "")</f>
        <v/>
      </c>
      <c r="H3514" s="6"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6" t="str" cm="1">
        <f t="array" ref="G3515">IFERROR(INDEX(EmployeeData[Join Date], ROW() - 37), "")</f>
        <v/>
      </c>
      <c r="H3515" s="6"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6" t="str" cm="1">
        <f t="array" ref="G3516">IFERROR(INDEX(EmployeeData[Join Date], ROW() - 37), "")</f>
        <v/>
      </c>
      <c r="H3516" s="6"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6" t="str" cm="1">
        <f t="array" ref="G3517">IFERROR(INDEX(EmployeeData[Join Date], ROW() - 37), "")</f>
        <v/>
      </c>
      <c r="H3517" s="6"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6" t="str" cm="1">
        <f t="array" ref="G3518">IFERROR(INDEX(EmployeeData[Join Date], ROW() - 37), "")</f>
        <v/>
      </c>
      <c r="H3518" s="6"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6" t="str" cm="1">
        <f t="array" ref="G3519">IFERROR(INDEX(EmployeeData[Join Date], ROW() - 37), "")</f>
        <v/>
      </c>
      <c r="H3519" s="6"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6" t="str" cm="1">
        <f t="array" ref="G3520">IFERROR(INDEX(EmployeeData[Join Date], ROW() - 37), "")</f>
        <v/>
      </c>
      <c r="H3520" s="6"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6" t="str" cm="1">
        <f t="array" ref="G3521">IFERROR(INDEX(EmployeeData[Join Date], ROW() - 37), "")</f>
        <v/>
      </c>
      <c r="H3521" s="6"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6" t="str" cm="1">
        <f t="array" ref="G3522">IFERROR(INDEX(EmployeeData[Join Date], ROW() - 37), "")</f>
        <v/>
      </c>
      <c r="H3522" s="6"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6" t="str" cm="1">
        <f t="array" ref="G3523">IFERROR(INDEX(EmployeeData[Join Date], ROW() - 37), "")</f>
        <v/>
      </c>
      <c r="H3523" s="6"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6" t="str" cm="1">
        <f t="array" ref="G3524">IFERROR(INDEX(EmployeeData[Join Date], ROW() - 37), "")</f>
        <v/>
      </c>
      <c r="H3524" s="6"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6" t="str" cm="1">
        <f t="array" ref="G3525">IFERROR(INDEX(EmployeeData[Join Date], ROW() - 37), "")</f>
        <v/>
      </c>
      <c r="H3525" s="6"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6" t="str" cm="1">
        <f t="array" ref="G3526">IFERROR(INDEX(EmployeeData[Join Date], ROW() - 37), "")</f>
        <v/>
      </c>
      <c r="H3526" s="6"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6" t="str" cm="1">
        <f t="array" ref="G3527">IFERROR(INDEX(EmployeeData[Join Date], ROW() - 37), "")</f>
        <v/>
      </c>
      <c r="H3527" s="6"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6" t="str" cm="1">
        <f t="array" ref="G3528">IFERROR(INDEX(EmployeeData[Join Date], ROW() - 37), "")</f>
        <v/>
      </c>
      <c r="H3528" s="6"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6" t="str" cm="1">
        <f t="array" ref="G3529">IFERROR(INDEX(EmployeeData[Join Date], ROW() - 37), "")</f>
        <v/>
      </c>
      <c r="H3529" s="6"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6" t="str" cm="1">
        <f t="array" ref="G3530">IFERROR(INDEX(EmployeeData[Join Date], ROW() - 37), "")</f>
        <v/>
      </c>
      <c r="H3530" s="6"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6" t="str" cm="1">
        <f t="array" ref="G3531">IFERROR(INDEX(EmployeeData[Join Date], ROW() - 37), "")</f>
        <v/>
      </c>
      <c r="H3531" s="6"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6" t="str" cm="1">
        <f t="array" ref="G3532">IFERROR(INDEX(EmployeeData[Join Date], ROW() - 37), "")</f>
        <v/>
      </c>
      <c r="H3532" s="6"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6" t="str" cm="1">
        <f t="array" ref="G3533">IFERROR(INDEX(EmployeeData[Join Date], ROW() - 37), "")</f>
        <v/>
      </c>
      <c r="H3533" s="6"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6" t="str" cm="1">
        <f t="array" ref="G3534">IFERROR(INDEX(EmployeeData[Join Date], ROW() - 37), "")</f>
        <v/>
      </c>
      <c r="H3534" s="6"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6" t="str" cm="1">
        <f t="array" ref="G3535">IFERROR(INDEX(EmployeeData[Join Date], ROW() - 37), "")</f>
        <v/>
      </c>
      <c r="H3535" s="6"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6" t="str" cm="1">
        <f t="array" ref="G3536">IFERROR(INDEX(EmployeeData[Join Date], ROW() - 37), "")</f>
        <v/>
      </c>
      <c r="H3536" s="6"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6" t="str" cm="1">
        <f t="array" ref="G3537">IFERROR(INDEX(EmployeeData[Join Date], ROW() - 37), "")</f>
        <v/>
      </c>
      <c r="H3537" s="6"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6" t="str" cm="1">
        <f t="array" ref="G3538">IFERROR(INDEX(EmployeeData[Join Date], ROW() - 37), "")</f>
        <v/>
      </c>
      <c r="H3538" s="6"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6" t="str" cm="1">
        <f t="array" ref="G3539">IFERROR(INDEX(EmployeeData[Join Date], ROW() - 37), "")</f>
        <v/>
      </c>
      <c r="H3539" s="6"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6" t="str" cm="1">
        <f t="array" ref="G3540">IFERROR(INDEX(EmployeeData[Join Date], ROW() - 37), "")</f>
        <v/>
      </c>
      <c r="H3540" s="6"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6" t="str" cm="1">
        <f t="array" ref="G3541">IFERROR(INDEX(EmployeeData[Join Date], ROW() - 37), "")</f>
        <v/>
      </c>
      <c r="H3541" s="6"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6" t="str" cm="1">
        <f t="array" ref="G3542">IFERROR(INDEX(EmployeeData[Join Date], ROW() - 37), "")</f>
        <v/>
      </c>
      <c r="H3542" s="6"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6" t="str" cm="1">
        <f t="array" ref="G3543">IFERROR(INDEX(EmployeeData[Join Date], ROW() - 37), "")</f>
        <v/>
      </c>
      <c r="H3543" s="6"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6" t="str" cm="1">
        <f t="array" ref="G3544">IFERROR(INDEX(EmployeeData[Join Date], ROW() - 37), "")</f>
        <v/>
      </c>
      <c r="H3544" s="6"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6" t="str" cm="1">
        <f t="array" ref="G3545">IFERROR(INDEX(EmployeeData[Join Date], ROW() - 37), "")</f>
        <v/>
      </c>
      <c r="H3545" s="6"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6" t="str" cm="1">
        <f t="array" ref="G3546">IFERROR(INDEX(EmployeeData[Join Date], ROW() - 37), "")</f>
        <v/>
      </c>
      <c r="H3546" s="6"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6" t="str" cm="1">
        <f t="array" ref="G3547">IFERROR(INDEX(EmployeeData[Join Date], ROW() - 37), "")</f>
        <v/>
      </c>
      <c r="H3547" s="6"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6" t="str" cm="1">
        <f t="array" ref="G3548">IFERROR(INDEX(EmployeeData[Join Date], ROW() - 37), "")</f>
        <v/>
      </c>
      <c r="H3548" s="6"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6" t="str" cm="1">
        <f t="array" ref="G3549">IFERROR(INDEX(EmployeeData[Join Date], ROW() - 37), "")</f>
        <v/>
      </c>
      <c r="H3549" s="6"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6" t="str" cm="1">
        <f t="array" ref="G3550">IFERROR(INDEX(EmployeeData[Join Date], ROW() - 37), "")</f>
        <v/>
      </c>
      <c r="H3550" s="6"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6" t="str" cm="1">
        <f t="array" ref="G3551">IFERROR(INDEX(EmployeeData[Join Date], ROW() - 37), "")</f>
        <v/>
      </c>
      <c r="H3551" s="6"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6" t="str" cm="1">
        <f t="array" ref="G3552">IFERROR(INDEX(EmployeeData[Join Date], ROW() - 37), "")</f>
        <v/>
      </c>
      <c r="H3552" s="6"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6" t="str" cm="1">
        <f t="array" ref="G3553">IFERROR(INDEX(EmployeeData[Join Date], ROW() - 37), "")</f>
        <v/>
      </c>
      <c r="H3553" s="6"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6" t="str" cm="1">
        <f t="array" ref="G3554">IFERROR(INDEX(EmployeeData[Join Date], ROW() - 37), "")</f>
        <v/>
      </c>
      <c r="H3554" s="6"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6" t="str" cm="1">
        <f t="array" ref="G3555">IFERROR(INDEX(EmployeeData[Join Date], ROW() - 37), "")</f>
        <v/>
      </c>
      <c r="H3555" s="6"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6" t="str" cm="1">
        <f t="array" ref="G3556">IFERROR(INDEX(EmployeeData[Join Date], ROW() - 37), "")</f>
        <v/>
      </c>
      <c r="H3556" s="6"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6" t="str" cm="1">
        <f t="array" ref="G3557">IFERROR(INDEX(EmployeeData[Join Date], ROW() - 37), "")</f>
        <v/>
      </c>
      <c r="H3557" s="6"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6" t="str" cm="1">
        <f t="array" ref="G3558">IFERROR(INDEX(EmployeeData[Join Date], ROW() - 37), "")</f>
        <v/>
      </c>
      <c r="H3558" s="6"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6" t="str" cm="1">
        <f t="array" ref="G3559">IFERROR(INDEX(EmployeeData[Join Date], ROW() - 37), "")</f>
        <v/>
      </c>
      <c r="H3559" s="6"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6" t="str" cm="1">
        <f t="array" ref="G3560">IFERROR(INDEX(EmployeeData[Join Date], ROW() - 37), "")</f>
        <v/>
      </c>
      <c r="H3560" s="6"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6" t="str" cm="1">
        <f t="array" ref="G3561">IFERROR(INDEX(EmployeeData[Join Date], ROW() - 37), "")</f>
        <v/>
      </c>
      <c r="H3561" s="6"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6" t="str" cm="1">
        <f t="array" ref="G3562">IFERROR(INDEX(EmployeeData[Join Date], ROW() - 37), "")</f>
        <v/>
      </c>
      <c r="H3562" s="6"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6" t="str" cm="1">
        <f t="array" ref="G3563">IFERROR(INDEX(EmployeeData[Join Date], ROW() - 37), "")</f>
        <v/>
      </c>
      <c r="H3563" s="6"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6" t="str" cm="1">
        <f t="array" ref="G3564">IFERROR(INDEX(EmployeeData[Join Date], ROW() - 37), "")</f>
        <v/>
      </c>
      <c r="H3564" s="6"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6" t="str" cm="1">
        <f t="array" ref="G3565">IFERROR(INDEX(EmployeeData[Join Date], ROW() - 37), "")</f>
        <v/>
      </c>
      <c r="H3565" s="6"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6" t="str" cm="1">
        <f t="array" ref="G3566">IFERROR(INDEX(EmployeeData[Join Date], ROW() - 37), "")</f>
        <v/>
      </c>
      <c r="H3566" s="6"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6" t="str" cm="1">
        <f t="array" ref="G3567">IFERROR(INDEX(EmployeeData[Join Date], ROW() - 37), "")</f>
        <v/>
      </c>
      <c r="H3567" s="6"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6" t="str" cm="1">
        <f t="array" ref="G3568">IFERROR(INDEX(EmployeeData[Join Date], ROW() - 37), "")</f>
        <v/>
      </c>
      <c r="H3568" s="6"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6" t="str" cm="1">
        <f t="array" ref="G3569">IFERROR(INDEX(EmployeeData[Join Date], ROW() - 37), "")</f>
        <v/>
      </c>
      <c r="H3569" s="6"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6" t="str" cm="1">
        <f t="array" ref="G3570">IFERROR(INDEX(EmployeeData[Join Date], ROW() - 37), "")</f>
        <v/>
      </c>
      <c r="H3570" s="6"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6" t="str" cm="1">
        <f t="array" ref="G3571">IFERROR(INDEX(EmployeeData[Join Date], ROW() - 37), "")</f>
        <v/>
      </c>
      <c r="H3571" s="6"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6" t="str" cm="1">
        <f t="array" ref="G3572">IFERROR(INDEX(EmployeeData[Join Date], ROW() - 37), "")</f>
        <v/>
      </c>
      <c r="H3572" s="6"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6" t="str" cm="1">
        <f t="array" ref="G3573">IFERROR(INDEX(EmployeeData[Join Date], ROW() - 37), "")</f>
        <v/>
      </c>
      <c r="H3573" s="6"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6" t="str" cm="1">
        <f t="array" ref="G3574">IFERROR(INDEX(EmployeeData[Join Date], ROW() - 37), "")</f>
        <v/>
      </c>
      <c r="H3574" s="6"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6" t="str" cm="1">
        <f t="array" ref="G3575">IFERROR(INDEX(EmployeeData[Join Date], ROW() - 37), "")</f>
        <v/>
      </c>
      <c r="H3575" s="6"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6" t="str" cm="1">
        <f t="array" ref="G3576">IFERROR(INDEX(EmployeeData[Join Date], ROW() - 37), "")</f>
        <v/>
      </c>
      <c r="H3576" s="6"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6" t="str" cm="1">
        <f t="array" ref="G3577">IFERROR(INDEX(EmployeeData[Join Date], ROW() - 37), "")</f>
        <v/>
      </c>
      <c r="H3577" s="6"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6" t="str" cm="1">
        <f t="array" ref="G3578">IFERROR(INDEX(EmployeeData[Join Date], ROW() - 37), "")</f>
        <v/>
      </c>
      <c r="H3578" s="6"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6" t="str" cm="1">
        <f t="array" ref="G3579">IFERROR(INDEX(EmployeeData[Join Date], ROW() - 37), "")</f>
        <v/>
      </c>
      <c r="H3579" s="6"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6" t="str" cm="1">
        <f t="array" ref="G3580">IFERROR(INDEX(EmployeeData[Join Date], ROW() - 37), "")</f>
        <v/>
      </c>
      <c r="H3580" s="6"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6" t="str" cm="1">
        <f t="array" ref="G3581">IFERROR(INDEX(EmployeeData[Join Date], ROW() - 37), "")</f>
        <v/>
      </c>
      <c r="H3581" s="6"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6" t="str" cm="1">
        <f t="array" ref="G3582">IFERROR(INDEX(EmployeeData[Join Date], ROW() - 37), "")</f>
        <v/>
      </c>
      <c r="H3582" s="6"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6" t="str" cm="1">
        <f t="array" ref="G3583">IFERROR(INDEX(EmployeeData[Join Date], ROW() - 37), "")</f>
        <v/>
      </c>
      <c r="H3583" s="6"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6" t="str" cm="1">
        <f t="array" ref="G3584">IFERROR(INDEX(EmployeeData[Join Date], ROW() - 37), "")</f>
        <v/>
      </c>
      <c r="H3584" s="6"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6" t="str" cm="1">
        <f t="array" ref="G3585">IFERROR(INDEX(EmployeeData[Join Date], ROW() - 37), "")</f>
        <v/>
      </c>
      <c r="H3585" s="6"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6" t="str" cm="1">
        <f t="array" ref="G3586">IFERROR(INDEX(EmployeeData[Join Date], ROW() - 37), "")</f>
        <v/>
      </c>
      <c r="H3586" s="6"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6" t="str" cm="1">
        <f t="array" ref="G3587">IFERROR(INDEX(EmployeeData[Join Date], ROW() - 37), "")</f>
        <v/>
      </c>
      <c r="H3587" s="6"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6" t="str" cm="1">
        <f t="array" ref="G3588">IFERROR(INDEX(EmployeeData[Join Date], ROW() - 37), "")</f>
        <v/>
      </c>
      <c r="H3588" s="6"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6" t="str" cm="1">
        <f t="array" ref="G3589">IFERROR(INDEX(EmployeeData[Join Date], ROW() - 37), "")</f>
        <v/>
      </c>
      <c r="H3589" s="6"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6" t="str" cm="1">
        <f t="array" ref="G3590">IFERROR(INDEX(EmployeeData[Join Date], ROW() - 37), "")</f>
        <v/>
      </c>
      <c r="H3590" s="6"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6" t="str" cm="1">
        <f t="array" ref="G3591">IFERROR(INDEX(EmployeeData[Join Date], ROW() - 37), "")</f>
        <v/>
      </c>
      <c r="H3591" s="6"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6" t="str" cm="1">
        <f t="array" ref="G3592">IFERROR(INDEX(EmployeeData[Join Date], ROW() - 37), "")</f>
        <v/>
      </c>
      <c r="H3592" s="6"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6" t="str" cm="1">
        <f t="array" ref="G3593">IFERROR(INDEX(EmployeeData[Join Date], ROW() - 37), "")</f>
        <v/>
      </c>
      <c r="H3593" s="6"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6" t="str" cm="1">
        <f t="array" ref="G3594">IFERROR(INDEX(EmployeeData[Join Date], ROW() - 37), "")</f>
        <v/>
      </c>
      <c r="H3594" s="6"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6" t="str" cm="1">
        <f t="array" ref="G3595">IFERROR(INDEX(EmployeeData[Join Date], ROW() - 37), "")</f>
        <v/>
      </c>
      <c r="H3595" s="6"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6" t="str" cm="1">
        <f t="array" ref="G3596">IFERROR(INDEX(EmployeeData[Join Date], ROW() - 37), "")</f>
        <v/>
      </c>
      <c r="H3596" s="6"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6" t="str" cm="1">
        <f t="array" ref="G3597">IFERROR(INDEX(EmployeeData[Join Date], ROW() - 37), "")</f>
        <v/>
      </c>
      <c r="H3597" s="6"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6" t="str" cm="1">
        <f t="array" ref="G3598">IFERROR(INDEX(EmployeeData[Join Date], ROW() - 37), "")</f>
        <v/>
      </c>
      <c r="H3598" s="6"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6" t="str" cm="1">
        <f t="array" ref="G3599">IFERROR(INDEX(EmployeeData[Join Date], ROW() - 37), "")</f>
        <v/>
      </c>
      <c r="H3599" s="6"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6" t="str" cm="1">
        <f t="array" ref="G3600">IFERROR(INDEX(EmployeeData[Join Date], ROW() - 37), "")</f>
        <v/>
      </c>
      <c r="H3600" s="6"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6" t="str" cm="1">
        <f t="array" ref="G3601">IFERROR(INDEX(EmployeeData[Join Date], ROW() - 37), "")</f>
        <v/>
      </c>
      <c r="H3601" s="6"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6" t="str" cm="1">
        <f t="array" ref="G3602">IFERROR(INDEX(EmployeeData[Join Date], ROW() - 37), "")</f>
        <v/>
      </c>
      <c r="H3602" s="6"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6" t="str" cm="1">
        <f t="array" ref="G3603">IFERROR(INDEX(EmployeeData[Join Date], ROW() - 37), "")</f>
        <v/>
      </c>
      <c r="H3603" s="6"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6" t="str" cm="1">
        <f t="array" ref="G3604">IFERROR(INDEX(EmployeeData[Join Date], ROW() - 37), "")</f>
        <v/>
      </c>
      <c r="H3604" s="6"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6" t="str" cm="1">
        <f t="array" ref="G3605">IFERROR(INDEX(EmployeeData[Join Date], ROW() - 37), "")</f>
        <v/>
      </c>
      <c r="H3605" s="6"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6" t="str" cm="1">
        <f t="array" ref="G3606">IFERROR(INDEX(EmployeeData[Join Date], ROW() - 37), "")</f>
        <v/>
      </c>
      <c r="H3606" s="6"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6" t="str" cm="1">
        <f t="array" ref="G3607">IFERROR(INDEX(EmployeeData[Join Date], ROW() - 37), "")</f>
        <v/>
      </c>
      <c r="H3607" s="6"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6" t="str" cm="1">
        <f t="array" ref="G3608">IFERROR(INDEX(EmployeeData[Join Date], ROW() - 37), "")</f>
        <v/>
      </c>
      <c r="H3608" s="6"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6" t="str" cm="1">
        <f t="array" ref="G3609">IFERROR(INDEX(EmployeeData[Join Date], ROW() - 37), "")</f>
        <v/>
      </c>
      <c r="H3609" s="6"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6" t="str" cm="1">
        <f t="array" ref="G3610">IFERROR(INDEX(EmployeeData[Join Date], ROW() - 37), "")</f>
        <v/>
      </c>
      <c r="H3610" s="6"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6" t="str" cm="1">
        <f t="array" ref="G3611">IFERROR(INDEX(EmployeeData[Join Date], ROW() - 37), "")</f>
        <v/>
      </c>
      <c r="H3611" s="6"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6" t="str" cm="1">
        <f t="array" ref="G3612">IFERROR(INDEX(EmployeeData[Join Date], ROW() - 37), "")</f>
        <v/>
      </c>
      <c r="H3612" s="6"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6" t="str" cm="1">
        <f t="array" ref="G3613">IFERROR(INDEX(EmployeeData[Join Date], ROW() - 37), "")</f>
        <v/>
      </c>
      <c r="H3613" s="6"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6" t="str" cm="1">
        <f t="array" ref="G3614">IFERROR(INDEX(EmployeeData[Join Date], ROW() - 37), "")</f>
        <v/>
      </c>
      <c r="H3614" s="6"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6" t="str" cm="1">
        <f t="array" ref="G3615">IFERROR(INDEX(EmployeeData[Join Date], ROW() - 37), "")</f>
        <v/>
      </c>
      <c r="H3615" s="6"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6" t="str" cm="1">
        <f t="array" ref="G3616">IFERROR(INDEX(EmployeeData[Join Date], ROW() - 37), "")</f>
        <v/>
      </c>
      <c r="H3616" s="6"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6" t="str" cm="1">
        <f t="array" ref="G3617">IFERROR(INDEX(EmployeeData[Join Date], ROW() - 37), "")</f>
        <v/>
      </c>
      <c r="H3617" s="6"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6" t="str" cm="1">
        <f t="array" ref="G3618">IFERROR(INDEX(EmployeeData[Join Date], ROW() - 37), "")</f>
        <v/>
      </c>
      <c r="H3618" s="6"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6" t="str" cm="1">
        <f t="array" ref="G3619">IFERROR(INDEX(EmployeeData[Join Date], ROW() - 37), "")</f>
        <v/>
      </c>
      <c r="H3619" s="6"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6" t="str" cm="1">
        <f t="array" ref="G3620">IFERROR(INDEX(EmployeeData[Join Date], ROW() - 37), "")</f>
        <v/>
      </c>
      <c r="H3620" s="6"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6" t="str" cm="1">
        <f t="array" ref="G3621">IFERROR(INDEX(EmployeeData[Join Date], ROW() - 37), "")</f>
        <v/>
      </c>
      <c r="H3621" s="6"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6" t="str" cm="1">
        <f t="array" ref="G3622">IFERROR(INDEX(EmployeeData[Join Date], ROW() - 37), "")</f>
        <v/>
      </c>
      <c r="H3622" s="6"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6" t="str" cm="1">
        <f t="array" ref="G3623">IFERROR(INDEX(EmployeeData[Join Date], ROW() - 37), "")</f>
        <v/>
      </c>
      <c r="H3623" s="6"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6" t="str" cm="1">
        <f t="array" ref="G3624">IFERROR(INDEX(EmployeeData[Join Date], ROW() - 37), "")</f>
        <v/>
      </c>
      <c r="H3624" s="6"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6" t="str" cm="1">
        <f t="array" ref="G3625">IFERROR(INDEX(EmployeeData[Join Date], ROW() - 37), "")</f>
        <v/>
      </c>
      <c r="H3625" s="6"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6" t="str" cm="1">
        <f t="array" ref="G3626">IFERROR(INDEX(EmployeeData[Join Date], ROW() - 37), "")</f>
        <v/>
      </c>
      <c r="H3626" s="6"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6" t="str" cm="1">
        <f t="array" ref="G3627">IFERROR(INDEX(EmployeeData[Join Date], ROW() - 37), "")</f>
        <v/>
      </c>
      <c r="H3627" s="6"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6" t="str" cm="1">
        <f t="array" ref="G3628">IFERROR(INDEX(EmployeeData[Join Date], ROW() - 37), "")</f>
        <v/>
      </c>
      <c r="H3628" s="6"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6" t="str" cm="1">
        <f t="array" ref="G3629">IFERROR(INDEX(EmployeeData[Join Date], ROW() - 37), "")</f>
        <v/>
      </c>
      <c r="H3629" s="6"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6" t="str" cm="1">
        <f t="array" ref="G3630">IFERROR(INDEX(EmployeeData[Join Date], ROW() - 37), "")</f>
        <v/>
      </c>
      <c r="H3630" s="6"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6" t="str" cm="1">
        <f t="array" ref="G3631">IFERROR(INDEX(EmployeeData[Join Date], ROW() - 37), "")</f>
        <v/>
      </c>
      <c r="H3631" s="6"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6" t="str" cm="1">
        <f t="array" ref="G3632">IFERROR(INDEX(EmployeeData[Join Date], ROW() - 37), "")</f>
        <v/>
      </c>
      <c r="H3632" s="6"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6" t="str" cm="1">
        <f t="array" ref="G3633">IFERROR(INDEX(EmployeeData[Join Date], ROW() - 37), "")</f>
        <v/>
      </c>
      <c r="H3633" s="6"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6" t="str" cm="1">
        <f t="array" ref="G3634">IFERROR(INDEX(EmployeeData[Join Date], ROW() - 37), "")</f>
        <v/>
      </c>
      <c r="H3634" s="6"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6" t="str" cm="1">
        <f t="array" ref="G3635">IFERROR(INDEX(EmployeeData[Join Date], ROW() - 37), "")</f>
        <v/>
      </c>
      <c r="H3635" s="6"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6" t="str" cm="1">
        <f t="array" ref="G3636">IFERROR(INDEX(EmployeeData[Join Date], ROW() - 37), "")</f>
        <v/>
      </c>
      <c r="H3636" s="6"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6" t="str" cm="1">
        <f t="array" ref="G3637">IFERROR(INDEX(EmployeeData[Join Date], ROW() - 37), "")</f>
        <v/>
      </c>
      <c r="H3637" s="6"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6" t="str" cm="1">
        <f t="array" ref="G3638">IFERROR(INDEX(EmployeeData[Join Date], ROW() - 37), "")</f>
        <v/>
      </c>
      <c r="H3638" s="6"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6" t="str" cm="1">
        <f t="array" ref="G3639">IFERROR(INDEX(EmployeeData[Join Date], ROW() - 37), "")</f>
        <v/>
      </c>
      <c r="H3639" s="6"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6" t="str" cm="1">
        <f t="array" ref="G3640">IFERROR(INDEX(EmployeeData[Join Date], ROW() - 37), "")</f>
        <v/>
      </c>
      <c r="H3640" s="6"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6" t="str" cm="1">
        <f t="array" ref="G3641">IFERROR(INDEX(EmployeeData[Join Date], ROW() - 37), "")</f>
        <v/>
      </c>
      <c r="H3641" s="6"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6" t="str" cm="1">
        <f t="array" ref="G3642">IFERROR(INDEX(EmployeeData[Join Date], ROW() - 37), "")</f>
        <v/>
      </c>
      <c r="H3642" s="6"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6" t="str" cm="1">
        <f t="array" ref="G3643">IFERROR(INDEX(EmployeeData[Join Date], ROW() - 37), "")</f>
        <v/>
      </c>
      <c r="H3643" s="6"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6" t="str" cm="1">
        <f t="array" ref="G3644">IFERROR(INDEX(EmployeeData[Join Date], ROW() - 37), "")</f>
        <v/>
      </c>
      <c r="H3644" s="6"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6" t="str" cm="1">
        <f t="array" ref="G3645">IFERROR(INDEX(EmployeeData[Join Date], ROW() - 37), "")</f>
        <v/>
      </c>
      <c r="H3645" s="6"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6" t="str" cm="1">
        <f t="array" ref="G3646">IFERROR(INDEX(EmployeeData[Join Date], ROW() - 37), "")</f>
        <v/>
      </c>
      <c r="H3646" s="6"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6" t="str" cm="1">
        <f t="array" ref="G3647">IFERROR(INDEX(EmployeeData[Join Date], ROW() - 37), "")</f>
        <v/>
      </c>
      <c r="H3647" s="6"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6" t="str" cm="1">
        <f t="array" ref="G3648">IFERROR(INDEX(EmployeeData[Join Date], ROW() - 37), "")</f>
        <v/>
      </c>
      <c r="H3648" s="6"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6" t="str" cm="1">
        <f t="array" ref="G3649">IFERROR(INDEX(EmployeeData[Join Date], ROW() - 37), "")</f>
        <v/>
      </c>
      <c r="H3649" s="6"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6" t="str" cm="1">
        <f t="array" ref="G3650">IFERROR(INDEX(EmployeeData[Join Date], ROW() - 37), "")</f>
        <v/>
      </c>
      <c r="H3650" s="6"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6" t="str" cm="1">
        <f t="array" ref="G3651">IFERROR(INDEX(EmployeeData[Join Date], ROW() - 37), "")</f>
        <v/>
      </c>
      <c r="H3651" s="6"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6" t="str" cm="1">
        <f t="array" ref="G3652">IFERROR(INDEX(EmployeeData[Join Date], ROW() - 37), "")</f>
        <v/>
      </c>
      <c r="H3652" s="6"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6" t="str" cm="1">
        <f t="array" ref="G3653">IFERROR(INDEX(EmployeeData[Join Date], ROW() - 37), "")</f>
        <v/>
      </c>
      <c r="H3653" s="6"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6" t="str" cm="1">
        <f t="array" ref="G3654">IFERROR(INDEX(EmployeeData[Join Date], ROW() - 37), "")</f>
        <v/>
      </c>
      <c r="H3654" s="6"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6" t="str" cm="1">
        <f t="array" ref="G3655">IFERROR(INDEX(EmployeeData[Join Date], ROW() - 37), "")</f>
        <v/>
      </c>
      <c r="H3655" s="6"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6" t="str" cm="1">
        <f t="array" ref="G3656">IFERROR(INDEX(EmployeeData[Join Date], ROW() - 37), "")</f>
        <v/>
      </c>
      <c r="H3656" s="6"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6" t="str" cm="1">
        <f t="array" ref="G3657">IFERROR(INDEX(EmployeeData[Join Date], ROW() - 37), "")</f>
        <v/>
      </c>
      <c r="H3657" s="6"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6" t="str" cm="1">
        <f t="array" ref="G3658">IFERROR(INDEX(EmployeeData[Join Date], ROW() - 37), "")</f>
        <v/>
      </c>
      <c r="H3658" s="6"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6" t="str" cm="1">
        <f t="array" ref="G3659">IFERROR(INDEX(EmployeeData[Join Date], ROW() - 37), "")</f>
        <v/>
      </c>
      <c r="H3659" s="6"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6" t="str" cm="1">
        <f t="array" ref="G3660">IFERROR(INDEX(EmployeeData[Join Date], ROW() - 37), "")</f>
        <v/>
      </c>
      <c r="H3660" s="6"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6" t="str" cm="1">
        <f t="array" ref="G3661">IFERROR(INDEX(EmployeeData[Join Date], ROW() - 37), "")</f>
        <v/>
      </c>
      <c r="H3661" s="6"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6" t="str" cm="1">
        <f t="array" ref="G3662">IFERROR(INDEX(EmployeeData[Join Date], ROW() - 37), "")</f>
        <v/>
      </c>
      <c r="H3662" s="6"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6" t="str" cm="1">
        <f t="array" ref="G3663">IFERROR(INDEX(EmployeeData[Join Date], ROW() - 37), "")</f>
        <v/>
      </c>
      <c r="H3663" s="6"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6" t="str" cm="1">
        <f t="array" ref="G3664">IFERROR(INDEX(EmployeeData[Join Date], ROW() - 37), "")</f>
        <v/>
      </c>
      <c r="H3664" s="6"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6" t="str" cm="1">
        <f t="array" ref="G3665">IFERROR(INDEX(EmployeeData[Join Date], ROW() - 37), "")</f>
        <v/>
      </c>
      <c r="H3665" s="6"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6" t="str" cm="1">
        <f t="array" ref="G3666">IFERROR(INDEX(EmployeeData[Join Date], ROW() - 37), "")</f>
        <v/>
      </c>
      <c r="H3666" s="6"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6" t="str" cm="1">
        <f t="array" ref="G3667">IFERROR(INDEX(EmployeeData[Join Date], ROW() - 37), "")</f>
        <v/>
      </c>
      <c r="H3667" s="6"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6" t="str" cm="1">
        <f t="array" ref="G3668">IFERROR(INDEX(EmployeeData[Join Date], ROW() - 37), "")</f>
        <v/>
      </c>
      <c r="H3668" s="6"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6" t="str" cm="1">
        <f t="array" ref="G3669">IFERROR(INDEX(EmployeeData[Join Date], ROW() - 37), "")</f>
        <v/>
      </c>
      <c r="H3669" s="6"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6" t="str" cm="1">
        <f t="array" ref="G3670">IFERROR(INDEX(EmployeeData[Join Date], ROW() - 37), "")</f>
        <v/>
      </c>
      <c r="H3670" s="6"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6" t="str" cm="1">
        <f t="array" ref="G3671">IFERROR(INDEX(EmployeeData[Join Date], ROW() - 37), "")</f>
        <v/>
      </c>
      <c r="H3671" s="6"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6" t="str" cm="1">
        <f t="array" ref="G3672">IFERROR(INDEX(EmployeeData[Join Date], ROW() - 37), "")</f>
        <v/>
      </c>
      <c r="H3672" s="6"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6" t="str" cm="1">
        <f t="array" ref="G3673">IFERROR(INDEX(EmployeeData[Join Date], ROW() - 37), "")</f>
        <v/>
      </c>
      <c r="H3673" s="6"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6" t="str" cm="1">
        <f t="array" ref="G3674">IFERROR(INDEX(EmployeeData[Join Date], ROW() - 37), "")</f>
        <v/>
      </c>
      <c r="H3674" s="6"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6" t="str" cm="1">
        <f t="array" ref="G3675">IFERROR(INDEX(EmployeeData[Join Date], ROW() - 37), "")</f>
        <v/>
      </c>
      <c r="H3675" s="6"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6" t="str" cm="1">
        <f t="array" ref="G3676">IFERROR(INDEX(EmployeeData[Join Date], ROW() - 37), "")</f>
        <v/>
      </c>
      <c r="H3676" s="6"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6" t="str" cm="1">
        <f t="array" ref="G3677">IFERROR(INDEX(EmployeeData[Join Date], ROW() - 37), "")</f>
        <v/>
      </c>
      <c r="H3677" s="6"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6" t="str" cm="1">
        <f t="array" ref="G3678">IFERROR(INDEX(EmployeeData[Join Date], ROW() - 37), "")</f>
        <v/>
      </c>
      <c r="H3678" s="6"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6" t="str" cm="1">
        <f t="array" ref="G3679">IFERROR(INDEX(EmployeeData[Join Date], ROW() - 37), "")</f>
        <v/>
      </c>
      <c r="H3679" s="6"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6" t="str" cm="1">
        <f t="array" ref="G3680">IFERROR(INDEX(EmployeeData[Join Date], ROW() - 37), "")</f>
        <v/>
      </c>
      <c r="H3680" s="6"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6" t="str" cm="1">
        <f t="array" ref="G3681">IFERROR(INDEX(EmployeeData[Join Date], ROW() - 37), "")</f>
        <v/>
      </c>
      <c r="H3681" s="6"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6" t="str" cm="1">
        <f t="array" ref="G3682">IFERROR(INDEX(EmployeeData[Join Date], ROW() - 37), "")</f>
        <v/>
      </c>
      <c r="H3682" s="6"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6" t="str" cm="1">
        <f t="array" ref="G3683">IFERROR(INDEX(EmployeeData[Join Date], ROW() - 37), "")</f>
        <v/>
      </c>
      <c r="H3683" s="6"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6" t="str" cm="1">
        <f t="array" ref="G3684">IFERROR(INDEX(EmployeeData[Join Date], ROW() - 37), "")</f>
        <v/>
      </c>
      <c r="H3684" s="6"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6" t="str" cm="1">
        <f t="array" ref="G3685">IFERROR(INDEX(EmployeeData[Join Date], ROW() - 37), "")</f>
        <v/>
      </c>
      <c r="H3685" s="6"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6" t="str" cm="1">
        <f t="array" ref="G3686">IFERROR(INDEX(EmployeeData[Join Date], ROW() - 37), "")</f>
        <v/>
      </c>
      <c r="H3686" s="6"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6" t="str" cm="1">
        <f t="array" ref="G3687">IFERROR(INDEX(EmployeeData[Join Date], ROW() - 37), "")</f>
        <v/>
      </c>
      <c r="H3687" s="6"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6" t="str" cm="1">
        <f t="array" ref="G3688">IFERROR(INDEX(EmployeeData[Join Date], ROW() - 37), "")</f>
        <v/>
      </c>
      <c r="H3688" s="6"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6" t="str" cm="1">
        <f t="array" ref="G3689">IFERROR(INDEX(EmployeeData[Join Date], ROW() - 37), "")</f>
        <v/>
      </c>
      <c r="H3689" s="6"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6" t="str" cm="1">
        <f t="array" ref="G3690">IFERROR(INDEX(EmployeeData[Join Date], ROW() - 37), "")</f>
        <v/>
      </c>
      <c r="H3690" s="6"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6" t="str" cm="1">
        <f t="array" ref="G3691">IFERROR(INDEX(EmployeeData[Join Date], ROW() - 37), "")</f>
        <v/>
      </c>
      <c r="H3691" s="6"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6" t="str" cm="1">
        <f t="array" ref="G3692">IFERROR(INDEX(EmployeeData[Join Date], ROW() - 37), "")</f>
        <v/>
      </c>
      <c r="H3692" s="6"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6" t="str" cm="1">
        <f t="array" ref="G3693">IFERROR(INDEX(EmployeeData[Join Date], ROW() - 37), "")</f>
        <v/>
      </c>
      <c r="H3693" s="6"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6" t="str" cm="1">
        <f t="array" ref="G3694">IFERROR(INDEX(EmployeeData[Join Date], ROW() - 37), "")</f>
        <v/>
      </c>
      <c r="H3694" s="6"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6" t="str" cm="1">
        <f t="array" ref="G3695">IFERROR(INDEX(EmployeeData[Join Date], ROW() - 37), "")</f>
        <v/>
      </c>
      <c r="H3695" s="6"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6" t="str" cm="1">
        <f t="array" ref="G3696">IFERROR(INDEX(EmployeeData[Join Date], ROW() - 37), "")</f>
        <v/>
      </c>
      <c r="H3696" s="6"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6" t="str" cm="1">
        <f t="array" ref="G3697">IFERROR(INDEX(EmployeeData[Join Date], ROW() - 37), "")</f>
        <v/>
      </c>
      <c r="H3697" s="6"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6" t="str" cm="1">
        <f t="array" ref="G3698">IFERROR(INDEX(EmployeeData[Join Date], ROW() - 37), "")</f>
        <v/>
      </c>
      <c r="H3698" s="6"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6" t="str" cm="1">
        <f t="array" ref="G3699">IFERROR(INDEX(EmployeeData[Join Date], ROW() - 37), "")</f>
        <v/>
      </c>
      <c r="H3699" s="6"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6" t="str" cm="1">
        <f t="array" ref="G3700">IFERROR(INDEX(EmployeeData[Join Date], ROW() - 37), "")</f>
        <v/>
      </c>
      <c r="H3700" s="6"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6" t="str" cm="1">
        <f t="array" ref="G3701">IFERROR(INDEX(EmployeeData[Join Date], ROW() - 37), "")</f>
        <v/>
      </c>
      <c r="H3701" s="6"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6" t="str" cm="1">
        <f t="array" ref="G3702">IFERROR(INDEX(EmployeeData[Join Date], ROW() - 37), "")</f>
        <v/>
      </c>
      <c r="H3702" s="6"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6" t="str" cm="1">
        <f t="array" ref="G3703">IFERROR(INDEX(EmployeeData[Join Date], ROW() - 37), "")</f>
        <v/>
      </c>
      <c r="H3703" s="6"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6" t="str" cm="1">
        <f t="array" ref="G3704">IFERROR(INDEX(EmployeeData[Join Date], ROW() - 37), "")</f>
        <v/>
      </c>
      <c r="H3704" s="6"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6" t="str" cm="1">
        <f t="array" ref="G3705">IFERROR(INDEX(EmployeeData[Join Date], ROW() - 37), "")</f>
        <v/>
      </c>
      <c r="H3705" s="6"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6" t="str" cm="1">
        <f t="array" ref="G3706">IFERROR(INDEX(EmployeeData[Join Date], ROW() - 37), "")</f>
        <v/>
      </c>
      <c r="H3706" s="6"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6" t="str" cm="1">
        <f t="array" ref="G3707">IFERROR(INDEX(EmployeeData[Join Date], ROW() - 37), "")</f>
        <v/>
      </c>
      <c r="H3707" s="6"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6" t="str" cm="1">
        <f t="array" ref="G3708">IFERROR(INDEX(EmployeeData[Join Date], ROW() - 37), "")</f>
        <v/>
      </c>
      <c r="H3708" s="6"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6" t="str" cm="1">
        <f t="array" ref="G3709">IFERROR(INDEX(EmployeeData[Join Date], ROW() - 37), "")</f>
        <v/>
      </c>
      <c r="H3709" s="6"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6" t="str" cm="1">
        <f t="array" ref="G3710">IFERROR(INDEX(EmployeeData[Join Date], ROW() - 37), "")</f>
        <v/>
      </c>
      <c r="H3710" s="6"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6" t="str" cm="1">
        <f t="array" ref="G3711">IFERROR(INDEX(EmployeeData[Join Date], ROW() - 37), "")</f>
        <v/>
      </c>
      <c r="H3711" s="6"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6" t="str" cm="1">
        <f t="array" ref="G3712">IFERROR(INDEX(EmployeeData[Join Date], ROW() - 37), "")</f>
        <v/>
      </c>
      <c r="H3712" s="6"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6" t="str" cm="1">
        <f t="array" ref="G3713">IFERROR(INDEX(EmployeeData[Join Date], ROW() - 37), "")</f>
        <v/>
      </c>
      <c r="H3713" s="6"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6" t="str" cm="1">
        <f t="array" ref="G3714">IFERROR(INDEX(EmployeeData[Join Date], ROW() - 37), "")</f>
        <v/>
      </c>
      <c r="H3714" s="6"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6" t="str" cm="1">
        <f t="array" ref="G3715">IFERROR(INDEX(EmployeeData[Join Date], ROW() - 37), "")</f>
        <v/>
      </c>
      <c r="H3715" s="6"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6" t="str" cm="1">
        <f t="array" ref="G3716">IFERROR(INDEX(EmployeeData[Join Date], ROW() - 37), "")</f>
        <v/>
      </c>
      <c r="H3716" s="6"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6" t="str" cm="1">
        <f t="array" ref="G3717">IFERROR(INDEX(EmployeeData[Join Date], ROW() - 37), "")</f>
        <v/>
      </c>
      <c r="H3717" s="6"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6" t="str" cm="1">
        <f t="array" ref="G3718">IFERROR(INDEX(EmployeeData[Join Date], ROW() - 37), "")</f>
        <v/>
      </c>
      <c r="H3718" s="6"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6" t="str" cm="1">
        <f t="array" ref="G3719">IFERROR(INDEX(EmployeeData[Join Date], ROW() - 37), "")</f>
        <v/>
      </c>
      <c r="H3719" s="6"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6" t="str" cm="1">
        <f t="array" ref="G3720">IFERROR(INDEX(EmployeeData[Join Date], ROW() - 37), "")</f>
        <v/>
      </c>
      <c r="H3720" s="6"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6" t="str" cm="1">
        <f t="array" ref="G3721">IFERROR(INDEX(EmployeeData[Join Date], ROW() - 37), "")</f>
        <v/>
      </c>
      <c r="H3721" s="6"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6" t="str" cm="1">
        <f t="array" ref="G3722">IFERROR(INDEX(EmployeeData[Join Date], ROW() - 37), "")</f>
        <v/>
      </c>
      <c r="H3722" s="6"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6" t="str" cm="1">
        <f t="array" ref="G3723">IFERROR(INDEX(EmployeeData[Join Date], ROW() - 37), "")</f>
        <v/>
      </c>
      <c r="H3723" s="6"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6" t="str" cm="1">
        <f t="array" ref="G3724">IFERROR(INDEX(EmployeeData[Join Date], ROW() - 37), "")</f>
        <v/>
      </c>
      <c r="H3724" s="6"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6" t="str" cm="1">
        <f t="array" ref="G3725">IFERROR(INDEX(EmployeeData[Join Date], ROW() - 37), "")</f>
        <v/>
      </c>
      <c r="H3725" s="6"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6" t="str" cm="1">
        <f t="array" ref="G3726">IFERROR(INDEX(EmployeeData[Join Date], ROW() - 37), "")</f>
        <v/>
      </c>
      <c r="H3726" s="6"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6" t="str" cm="1">
        <f t="array" ref="G3727">IFERROR(INDEX(EmployeeData[Join Date], ROW() - 37), "")</f>
        <v/>
      </c>
      <c r="H3727" s="6"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6" t="str" cm="1">
        <f t="array" ref="G3728">IFERROR(INDEX(EmployeeData[Join Date], ROW() - 37), "")</f>
        <v/>
      </c>
      <c r="H3728" s="6"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6" t="str" cm="1">
        <f t="array" ref="G3729">IFERROR(INDEX(EmployeeData[Join Date], ROW() - 37), "")</f>
        <v/>
      </c>
      <c r="H3729" s="6"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6" t="str" cm="1">
        <f t="array" ref="G3730">IFERROR(INDEX(EmployeeData[Join Date], ROW() - 37), "")</f>
        <v/>
      </c>
      <c r="H3730" s="6"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6" t="str" cm="1">
        <f t="array" ref="G3731">IFERROR(INDEX(EmployeeData[Join Date], ROW() - 37), "")</f>
        <v/>
      </c>
      <c r="H3731" s="6"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6" t="str" cm="1">
        <f t="array" ref="G3732">IFERROR(INDEX(EmployeeData[Join Date], ROW() - 37), "")</f>
        <v/>
      </c>
      <c r="H3732" s="6"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6" t="str" cm="1">
        <f t="array" ref="G3733">IFERROR(INDEX(EmployeeData[Join Date], ROW() - 37), "")</f>
        <v/>
      </c>
      <c r="H3733" s="6"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6" t="str" cm="1">
        <f t="array" ref="G3734">IFERROR(INDEX(EmployeeData[Join Date], ROW() - 37), "")</f>
        <v/>
      </c>
      <c r="H3734" s="6"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6" t="str" cm="1">
        <f t="array" ref="G3735">IFERROR(INDEX(EmployeeData[Join Date], ROW() - 37), "")</f>
        <v/>
      </c>
      <c r="H3735" s="6"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6" t="str" cm="1">
        <f t="array" ref="G3736">IFERROR(INDEX(EmployeeData[Join Date], ROW() - 37), "")</f>
        <v/>
      </c>
      <c r="H3736" s="6"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6" t="str" cm="1">
        <f t="array" ref="G3737">IFERROR(INDEX(EmployeeData[Join Date], ROW() - 37), "")</f>
        <v/>
      </c>
      <c r="H3737" s="6"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6" t="str" cm="1">
        <f t="array" ref="G3738">IFERROR(INDEX(EmployeeData[Join Date], ROW() - 37), "")</f>
        <v/>
      </c>
      <c r="H3738" s="6"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6" t="str" cm="1">
        <f t="array" ref="G3739">IFERROR(INDEX(EmployeeData[Join Date], ROW() - 37), "")</f>
        <v/>
      </c>
      <c r="H3739" s="6"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6" t="str" cm="1">
        <f t="array" ref="G3740">IFERROR(INDEX(EmployeeData[Join Date], ROW() - 37), "")</f>
        <v/>
      </c>
      <c r="H3740" s="6"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6" t="str" cm="1">
        <f t="array" ref="G3741">IFERROR(INDEX(EmployeeData[Join Date], ROW() - 37), "")</f>
        <v/>
      </c>
      <c r="H3741" s="6"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6" t="str" cm="1">
        <f t="array" ref="G3742">IFERROR(INDEX(EmployeeData[Join Date], ROW() - 37), "")</f>
        <v/>
      </c>
      <c r="H3742" s="6"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6" t="str" cm="1">
        <f t="array" ref="G3743">IFERROR(INDEX(EmployeeData[Join Date], ROW() - 37), "")</f>
        <v/>
      </c>
      <c r="H3743" s="6"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6" t="str" cm="1">
        <f t="array" ref="G3744">IFERROR(INDEX(EmployeeData[Join Date], ROW() - 37), "")</f>
        <v/>
      </c>
      <c r="H3744" s="6"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6" t="str" cm="1">
        <f t="array" ref="G3745">IFERROR(INDEX(EmployeeData[Join Date], ROW() - 37), "")</f>
        <v/>
      </c>
      <c r="H3745" s="6"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6" t="str" cm="1">
        <f t="array" ref="G3746">IFERROR(INDEX(EmployeeData[Join Date], ROW() - 37), "")</f>
        <v/>
      </c>
      <c r="H3746" s="6"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6" t="str" cm="1">
        <f t="array" ref="G3747">IFERROR(INDEX(EmployeeData[Join Date], ROW() - 37), "")</f>
        <v/>
      </c>
      <c r="H3747" s="6"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6" t="str" cm="1">
        <f t="array" ref="G3748">IFERROR(INDEX(EmployeeData[Join Date], ROW() - 37), "")</f>
        <v/>
      </c>
      <c r="H3748" s="6"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6" t="str" cm="1">
        <f t="array" ref="G3749">IFERROR(INDEX(EmployeeData[Join Date], ROW() - 37), "")</f>
        <v/>
      </c>
      <c r="H3749" s="6"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6" t="str" cm="1">
        <f t="array" ref="G3750">IFERROR(INDEX(EmployeeData[Join Date], ROW() - 37), "")</f>
        <v/>
      </c>
      <c r="H3750" s="6"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6" t="str" cm="1">
        <f t="array" ref="G3751">IFERROR(INDEX(EmployeeData[Join Date], ROW() - 37), "")</f>
        <v/>
      </c>
      <c r="H3751" s="6"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6" t="str" cm="1">
        <f t="array" ref="G3752">IFERROR(INDEX(EmployeeData[Join Date], ROW() - 37), "")</f>
        <v/>
      </c>
      <c r="H3752" s="6"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6" t="str" cm="1">
        <f t="array" ref="G3753">IFERROR(INDEX(EmployeeData[Join Date], ROW() - 37), "")</f>
        <v/>
      </c>
      <c r="H3753" s="6"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6" t="str" cm="1">
        <f t="array" ref="G3754">IFERROR(INDEX(EmployeeData[Join Date], ROW() - 37), "")</f>
        <v/>
      </c>
      <c r="H3754" s="6"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6" t="str" cm="1">
        <f t="array" ref="G3755">IFERROR(INDEX(EmployeeData[Join Date], ROW() - 37), "")</f>
        <v/>
      </c>
      <c r="H3755" s="6"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6" t="str" cm="1">
        <f t="array" ref="G3756">IFERROR(INDEX(EmployeeData[Join Date], ROW() - 37), "")</f>
        <v/>
      </c>
      <c r="H3756" s="6"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6" t="str" cm="1">
        <f t="array" ref="G3757">IFERROR(INDEX(EmployeeData[Join Date], ROW() - 37), "")</f>
        <v/>
      </c>
      <c r="H3757" s="6"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6" t="str" cm="1">
        <f t="array" ref="G3758">IFERROR(INDEX(EmployeeData[Join Date], ROW() - 37), "")</f>
        <v/>
      </c>
      <c r="H3758" s="6"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6" t="str" cm="1">
        <f t="array" ref="G3759">IFERROR(INDEX(EmployeeData[Join Date], ROW() - 37), "")</f>
        <v/>
      </c>
      <c r="H3759" s="6"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6" t="str" cm="1">
        <f t="array" ref="G3760">IFERROR(INDEX(EmployeeData[Join Date], ROW() - 37), "")</f>
        <v/>
      </c>
      <c r="H3760" s="6"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6" t="str" cm="1">
        <f t="array" ref="G3761">IFERROR(INDEX(EmployeeData[Join Date], ROW() - 37), "")</f>
        <v/>
      </c>
      <c r="H3761" s="6"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6" t="str" cm="1">
        <f t="array" ref="G3762">IFERROR(INDEX(EmployeeData[Join Date], ROW() - 37), "")</f>
        <v/>
      </c>
      <c r="H3762" s="6"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6" t="str" cm="1">
        <f t="array" ref="G3763">IFERROR(INDEX(EmployeeData[Join Date], ROW() - 37), "")</f>
        <v/>
      </c>
      <c r="H3763" s="6"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6" t="str" cm="1">
        <f t="array" ref="G3764">IFERROR(INDEX(EmployeeData[Join Date], ROW() - 37), "")</f>
        <v/>
      </c>
      <c r="H3764" s="6"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6" t="str" cm="1">
        <f t="array" ref="G3765">IFERROR(INDEX(EmployeeData[Join Date], ROW() - 37), "")</f>
        <v/>
      </c>
      <c r="H3765" s="6"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6" t="str" cm="1">
        <f t="array" ref="G3766">IFERROR(INDEX(EmployeeData[Join Date], ROW() - 37), "")</f>
        <v/>
      </c>
      <c r="H3766" s="6"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6" t="str" cm="1">
        <f t="array" ref="G3767">IFERROR(INDEX(EmployeeData[Join Date], ROW() - 37), "")</f>
        <v/>
      </c>
      <c r="H3767" s="6"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6" t="str" cm="1">
        <f t="array" ref="G3768">IFERROR(INDEX(EmployeeData[Join Date], ROW() - 37), "")</f>
        <v/>
      </c>
      <c r="H3768" s="6"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6" t="str" cm="1">
        <f t="array" ref="G3769">IFERROR(INDEX(EmployeeData[Join Date], ROW() - 37), "")</f>
        <v/>
      </c>
      <c r="H3769" s="6"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6" t="str" cm="1">
        <f t="array" ref="G3770">IFERROR(INDEX(EmployeeData[Join Date], ROW() - 37), "")</f>
        <v/>
      </c>
      <c r="H3770" s="6"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6" t="str" cm="1">
        <f t="array" ref="G3771">IFERROR(INDEX(EmployeeData[Join Date], ROW() - 37), "")</f>
        <v/>
      </c>
      <c r="H3771" s="6"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6" t="str" cm="1">
        <f t="array" ref="G3772">IFERROR(INDEX(EmployeeData[Join Date], ROW() - 37), "")</f>
        <v/>
      </c>
      <c r="H3772" s="6"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6" t="str" cm="1">
        <f t="array" ref="G3773">IFERROR(INDEX(EmployeeData[Join Date], ROW() - 37), "")</f>
        <v/>
      </c>
      <c r="H3773" s="6"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6" t="str" cm="1">
        <f t="array" ref="G3774">IFERROR(INDEX(EmployeeData[Join Date], ROW() - 37), "")</f>
        <v/>
      </c>
      <c r="H3774" s="6"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6" t="str" cm="1">
        <f t="array" ref="G3775">IFERROR(INDEX(EmployeeData[Join Date], ROW() - 37), "")</f>
        <v/>
      </c>
      <c r="H3775" s="6"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6" t="str" cm="1">
        <f t="array" ref="G3776">IFERROR(INDEX(EmployeeData[Join Date], ROW() - 37), "")</f>
        <v/>
      </c>
      <c r="H3776" s="6"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6" t="str" cm="1">
        <f t="array" ref="G3777">IFERROR(INDEX(EmployeeData[Join Date], ROW() - 37), "")</f>
        <v/>
      </c>
      <c r="H3777" s="6"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6" t="str" cm="1">
        <f t="array" ref="G3778">IFERROR(INDEX(EmployeeData[Join Date], ROW() - 37), "")</f>
        <v/>
      </c>
      <c r="H3778" s="6"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6" t="str" cm="1">
        <f t="array" ref="G3779">IFERROR(INDEX(EmployeeData[Join Date], ROW() - 37), "")</f>
        <v/>
      </c>
      <c r="H3779" s="6"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6" t="str" cm="1">
        <f t="array" ref="G3780">IFERROR(INDEX(EmployeeData[Join Date], ROW() - 37), "")</f>
        <v/>
      </c>
      <c r="H3780" s="6"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6" t="str" cm="1">
        <f t="array" ref="G3781">IFERROR(INDEX(EmployeeData[Join Date], ROW() - 37), "")</f>
        <v/>
      </c>
      <c r="H3781" s="6"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6" t="str" cm="1">
        <f t="array" ref="G3782">IFERROR(INDEX(EmployeeData[Join Date], ROW() - 37), "")</f>
        <v/>
      </c>
      <c r="H3782" s="6"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6" t="str" cm="1">
        <f t="array" ref="G3783">IFERROR(INDEX(EmployeeData[Join Date], ROW() - 37), "")</f>
        <v/>
      </c>
      <c r="H3783" s="6"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6" t="str" cm="1">
        <f t="array" ref="G3784">IFERROR(INDEX(EmployeeData[Join Date], ROW() - 37), "")</f>
        <v/>
      </c>
      <c r="H3784" s="6"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6" t="str" cm="1">
        <f t="array" ref="G3785">IFERROR(INDEX(EmployeeData[Join Date], ROW() - 37), "")</f>
        <v/>
      </c>
      <c r="H3785" s="6"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6" t="str" cm="1">
        <f t="array" ref="G3786">IFERROR(INDEX(EmployeeData[Join Date], ROW() - 37), "")</f>
        <v/>
      </c>
      <c r="H3786" s="6"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6" t="str" cm="1">
        <f t="array" ref="G3787">IFERROR(INDEX(EmployeeData[Join Date], ROW() - 37), "")</f>
        <v/>
      </c>
      <c r="H3787" s="6"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6" t="str" cm="1">
        <f t="array" ref="G3788">IFERROR(INDEX(EmployeeData[Join Date], ROW() - 37), "")</f>
        <v/>
      </c>
      <c r="H3788" s="6"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6" t="str" cm="1">
        <f t="array" ref="G3789">IFERROR(INDEX(EmployeeData[Join Date], ROW() - 37), "")</f>
        <v/>
      </c>
      <c r="H3789" s="6"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6" t="str" cm="1">
        <f t="array" ref="G3790">IFERROR(INDEX(EmployeeData[Join Date], ROW() - 37), "")</f>
        <v/>
      </c>
      <c r="H3790" s="6"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6" t="str" cm="1">
        <f t="array" ref="G3791">IFERROR(INDEX(EmployeeData[Join Date], ROW() - 37), "")</f>
        <v/>
      </c>
      <c r="H3791" s="6"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6" t="str" cm="1">
        <f t="array" ref="G3792">IFERROR(INDEX(EmployeeData[Join Date], ROW() - 37), "")</f>
        <v/>
      </c>
      <c r="H3792" s="6"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6" t="str" cm="1">
        <f t="array" ref="G3793">IFERROR(INDEX(EmployeeData[Join Date], ROW() - 37), "")</f>
        <v/>
      </c>
      <c r="H3793" s="6"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6" t="str" cm="1">
        <f t="array" ref="G3794">IFERROR(INDEX(EmployeeData[Join Date], ROW() - 37), "")</f>
        <v/>
      </c>
      <c r="H3794" s="6"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6" t="str" cm="1">
        <f t="array" ref="G3795">IFERROR(INDEX(EmployeeData[Join Date], ROW() - 37), "")</f>
        <v/>
      </c>
      <c r="H3795" s="6"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6" t="str" cm="1">
        <f t="array" ref="G3796">IFERROR(INDEX(EmployeeData[Join Date], ROW() - 37), "")</f>
        <v/>
      </c>
      <c r="H3796" s="6"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6" t="str" cm="1">
        <f t="array" ref="G3797">IFERROR(INDEX(EmployeeData[Join Date], ROW() - 37), "")</f>
        <v/>
      </c>
      <c r="H3797" s="6"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6" t="str" cm="1">
        <f t="array" ref="G3798">IFERROR(INDEX(EmployeeData[Join Date], ROW() - 37), "")</f>
        <v/>
      </c>
      <c r="H3798" s="6"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6" t="str" cm="1">
        <f t="array" ref="G3799">IFERROR(INDEX(EmployeeData[Join Date], ROW() - 37), "")</f>
        <v/>
      </c>
      <c r="H3799" s="6"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6" t="str" cm="1">
        <f t="array" ref="G3800">IFERROR(INDEX(EmployeeData[Join Date], ROW() - 37), "")</f>
        <v/>
      </c>
      <c r="H3800" s="6"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6" t="str" cm="1">
        <f t="array" ref="G3801">IFERROR(INDEX(EmployeeData[Join Date], ROW() - 37), "")</f>
        <v/>
      </c>
      <c r="H3801" s="6"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6" t="str" cm="1">
        <f t="array" ref="G3802">IFERROR(INDEX(EmployeeData[Join Date], ROW() - 37), "")</f>
        <v/>
      </c>
      <c r="H3802" s="6"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6" t="str" cm="1">
        <f t="array" ref="G3803">IFERROR(INDEX(EmployeeData[Join Date], ROW() - 37), "")</f>
        <v/>
      </c>
      <c r="H3803" s="6"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6" t="str" cm="1">
        <f t="array" ref="G3804">IFERROR(INDEX(EmployeeData[Join Date], ROW() - 37), "")</f>
        <v/>
      </c>
      <c r="H3804" s="6"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6" t="str" cm="1">
        <f t="array" ref="G3805">IFERROR(INDEX(EmployeeData[Join Date], ROW() - 37), "")</f>
        <v/>
      </c>
      <c r="H3805" s="6"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6" t="str" cm="1">
        <f t="array" ref="G3806">IFERROR(INDEX(EmployeeData[Join Date], ROW() - 37), "")</f>
        <v/>
      </c>
      <c r="H3806" s="6"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6" t="str" cm="1">
        <f t="array" ref="G3807">IFERROR(INDEX(EmployeeData[Join Date], ROW() - 37), "")</f>
        <v/>
      </c>
      <c r="H3807" s="6"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6" t="str" cm="1">
        <f t="array" ref="G3808">IFERROR(INDEX(EmployeeData[Join Date], ROW() - 37), "")</f>
        <v/>
      </c>
      <c r="H3808" s="6"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6" t="str" cm="1">
        <f t="array" ref="G3809">IFERROR(INDEX(EmployeeData[Join Date], ROW() - 37), "")</f>
        <v/>
      </c>
      <c r="H3809" s="6"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6" t="str" cm="1">
        <f t="array" ref="G3810">IFERROR(INDEX(EmployeeData[Join Date], ROW() - 37), "")</f>
        <v/>
      </c>
      <c r="H3810" s="6"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6" t="str" cm="1">
        <f t="array" ref="G3811">IFERROR(INDEX(EmployeeData[Join Date], ROW() - 37), "")</f>
        <v/>
      </c>
      <c r="H3811" s="6"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6" t="str" cm="1">
        <f t="array" ref="G3812">IFERROR(INDEX(EmployeeData[Join Date], ROW() - 37), "")</f>
        <v/>
      </c>
      <c r="H3812" s="6"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6" t="str" cm="1">
        <f t="array" ref="G3813">IFERROR(INDEX(EmployeeData[Join Date], ROW() - 37), "")</f>
        <v/>
      </c>
      <c r="H3813" s="6"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6" t="str" cm="1">
        <f t="array" ref="G3814">IFERROR(INDEX(EmployeeData[Join Date], ROW() - 37), "")</f>
        <v/>
      </c>
      <c r="H3814" s="6"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6" t="str" cm="1">
        <f t="array" ref="G3815">IFERROR(INDEX(EmployeeData[Join Date], ROW() - 37), "")</f>
        <v/>
      </c>
      <c r="H3815" s="6"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6" t="str" cm="1">
        <f t="array" ref="G3816">IFERROR(INDEX(EmployeeData[Join Date], ROW() - 37), "")</f>
        <v/>
      </c>
      <c r="H3816" s="6"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6" t="str" cm="1">
        <f t="array" ref="G3817">IFERROR(INDEX(EmployeeData[Join Date], ROW() - 37), "")</f>
        <v/>
      </c>
      <c r="H3817" s="6"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6" t="str" cm="1">
        <f t="array" ref="G3818">IFERROR(INDEX(EmployeeData[Join Date], ROW() - 37), "")</f>
        <v/>
      </c>
      <c r="H3818" s="6"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6" t="str" cm="1">
        <f t="array" ref="G3819">IFERROR(INDEX(EmployeeData[Join Date], ROW() - 37), "")</f>
        <v/>
      </c>
      <c r="H3819" s="6"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6" t="str" cm="1">
        <f t="array" ref="G3820">IFERROR(INDEX(EmployeeData[Join Date], ROW() - 37), "")</f>
        <v/>
      </c>
      <c r="H3820" s="6"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6" t="str" cm="1">
        <f t="array" ref="G3821">IFERROR(INDEX(EmployeeData[Join Date], ROW() - 37), "")</f>
        <v/>
      </c>
      <c r="H3821" s="6"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6" t="str" cm="1">
        <f t="array" ref="G3822">IFERROR(INDEX(EmployeeData[Join Date], ROW() - 37), "")</f>
        <v/>
      </c>
      <c r="H3822" s="6"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6" t="str" cm="1">
        <f t="array" ref="G3823">IFERROR(INDEX(EmployeeData[Join Date], ROW() - 37), "")</f>
        <v/>
      </c>
      <c r="H3823" s="6"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6" t="str" cm="1">
        <f t="array" ref="G3824">IFERROR(INDEX(EmployeeData[Join Date], ROW() - 37), "")</f>
        <v/>
      </c>
      <c r="H3824" s="6"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6" t="str" cm="1">
        <f t="array" ref="G3825">IFERROR(INDEX(EmployeeData[Join Date], ROW() - 37), "")</f>
        <v/>
      </c>
      <c r="H3825" s="6"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6" t="str" cm="1">
        <f t="array" ref="G3826">IFERROR(INDEX(EmployeeData[Join Date], ROW() - 37), "")</f>
        <v/>
      </c>
      <c r="H3826" s="6"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6" t="str" cm="1">
        <f t="array" ref="G3827">IFERROR(INDEX(EmployeeData[Join Date], ROW() - 37), "")</f>
        <v/>
      </c>
      <c r="H3827" s="6"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6" t="str" cm="1">
        <f t="array" ref="G3828">IFERROR(INDEX(EmployeeData[Join Date], ROW() - 37), "")</f>
        <v/>
      </c>
      <c r="H3828" s="6"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6" t="str" cm="1">
        <f t="array" ref="G3829">IFERROR(INDEX(EmployeeData[Join Date], ROW() - 37), "")</f>
        <v/>
      </c>
      <c r="H3829" s="6"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6" t="str" cm="1">
        <f t="array" ref="G3830">IFERROR(INDEX(EmployeeData[Join Date], ROW() - 37), "")</f>
        <v/>
      </c>
      <c r="H3830" s="6"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6" t="str" cm="1">
        <f t="array" ref="G3831">IFERROR(INDEX(EmployeeData[Join Date], ROW() - 37), "")</f>
        <v/>
      </c>
      <c r="H3831" s="6"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6" t="str" cm="1">
        <f t="array" ref="G3832">IFERROR(INDEX(EmployeeData[Join Date], ROW() - 37), "")</f>
        <v/>
      </c>
      <c r="H3832" s="6"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6" t="str" cm="1">
        <f t="array" ref="G3833">IFERROR(INDEX(EmployeeData[Join Date], ROW() - 37), "")</f>
        <v/>
      </c>
      <c r="H3833" s="6"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6" t="str" cm="1">
        <f t="array" ref="G3834">IFERROR(INDEX(EmployeeData[Join Date], ROW() - 37), "")</f>
        <v/>
      </c>
      <c r="H3834" s="6"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6" t="str" cm="1">
        <f t="array" ref="G3835">IFERROR(INDEX(EmployeeData[Join Date], ROW() - 37), "")</f>
        <v/>
      </c>
      <c r="H3835" s="6"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6" t="str" cm="1">
        <f t="array" ref="G3836">IFERROR(INDEX(EmployeeData[Join Date], ROW() - 37), "")</f>
        <v/>
      </c>
      <c r="H3836" s="6"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6" t="str" cm="1">
        <f t="array" ref="G3837">IFERROR(INDEX(EmployeeData[Join Date], ROW() - 37), "")</f>
        <v/>
      </c>
      <c r="H3837" s="6"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6" t="str" cm="1">
        <f t="array" ref="G3838">IFERROR(INDEX(EmployeeData[Join Date], ROW() - 37), "")</f>
        <v/>
      </c>
      <c r="H3838" s="6"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6" t="str" cm="1">
        <f t="array" ref="G3839">IFERROR(INDEX(EmployeeData[Join Date], ROW() - 37), "")</f>
        <v/>
      </c>
      <c r="H3839" s="6"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6" t="str" cm="1">
        <f t="array" ref="G3840">IFERROR(INDEX(EmployeeData[Join Date], ROW() - 37), "")</f>
        <v/>
      </c>
      <c r="H3840" s="6"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6" t="str" cm="1">
        <f t="array" ref="G3841">IFERROR(INDEX(EmployeeData[Join Date], ROW() - 37), "")</f>
        <v/>
      </c>
      <c r="H3841" s="6"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6" t="str" cm="1">
        <f t="array" ref="G3842">IFERROR(INDEX(EmployeeData[Join Date], ROW() - 37), "")</f>
        <v/>
      </c>
      <c r="H3842" s="6"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6" t="str" cm="1">
        <f t="array" ref="G3843">IFERROR(INDEX(EmployeeData[Join Date], ROW() - 37), "")</f>
        <v/>
      </c>
      <c r="H3843" s="6"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6" t="str" cm="1">
        <f t="array" ref="G3844">IFERROR(INDEX(EmployeeData[Join Date], ROW() - 37), "")</f>
        <v/>
      </c>
      <c r="H3844" s="6"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6" t="str" cm="1">
        <f t="array" ref="G3845">IFERROR(INDEX(EmployeeData[Join Date], ROW() - 37), "")</f>
        <v/>
      </c>
      <c r="H3845" s="6"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6" t="str" cm="1">
        <f t="array" ref="G3846">IFERROR(INDEX(EmployeeData[Join Date], ROW() - 37), "")</f>
        <v/>
      </c>
      <c r="H3846" s="6"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6" t="str" cm="1">
        <f t="array" ref="G3847">IFERROR(INDEX(EmployeeData[Join Date], ROW() - 37), "")</f>
        <v/>
      </c>
      <c r="H3847" s="6"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6" t="str" cm="1">
        <f t="array" ref="G3848">IFERROR(INDEX(EmployeeData[Join Date], ROW() - 37), "")</f>
        <v/>
      </c>
      <c r="H3848" s="6"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6" t="str" cm="1">
        <f t="array" ref="G3849">IFERROR(INDEX(EmployeeData[Join Date], ROW() - 37), "")</f>
        <v/>
      </c>
      <c r="H3849" s="6"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6" t="str" cm="1">
        <f t="array" ref="G3850">IFERROR(INDEX(EmployeeData[Join Date], ROW() - 37), "")</f>
        <v/>
      </c>
      <c r="H3850" s="6"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6" t="str" cm="1">
        <f t="array" ref="G3851">IFERROR(INDEX(EmployeeData[Join Date], ROW() - 37), "")</f>
        <v/>
      </c>
      <c r="H3851" s="6"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6" t="str" cm="1">
        <f t="array" ref="G3852">IFERROR(INDEX(EmployeeData[Join Date], ROW() - 37), "")</f>
        <v/>
      </c>
      <c r="H3852" s="6"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6" t="str" cm="1">
        <f t="array" ref="G3853">IFERROR(INDEX(EmployeeData[Join Date], ROW() - 37), "")</f>
        <v/>
      </c>
      <c r="H3853" s="6"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6" t="str" cm="1">
        <f t="array" ref="G3854">IFERROR(INDEX(EmployeeData[Join Date], ROW() - 37), "")</f>
        <v/>
      </c>
      <c r="H3854" s="6"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6" t="str" cm="1">
        <f t="array" ref="G3855">IFERROR(INDEX(EmployeeData[Join Date], ROW() - 37), "")</f>
        <v/>
      </c>
      <c r="H3855" s="6"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6" t="str" cm="1">
        <f t="array" ref="G3856">IFERROR(INDEX(EmployeeData[Join Date], ROW() - 37), "")</f>
        <v/>
      </c>
      <c r="H3856" s="6"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6" t="str" cm="1">
        <f t="array" ref="G3857">IFERROR(INDEX(EmployeeData[Join Date], ROW() - 37), "")</f>
        <v/>
      </c>
      <c r="H3857" s="6"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6" t="str" cm="1">
        <f t="array" ref="G3858">IFERROR(INDEX(EmployeeData[Join Date], ROW() - 37), "")</f>
        <v/>
      </c>
      <c r="H3858" s="6"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6" t="str" cm="1">
        <f t="array" ref="G3859">IFERROR(INDEX(EmployeeData[Join Date], ROW() - 37), "")</f>
        <v/>
      </c>
      <c r="H3859" s="6"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6" t="str" cm="1">
        <f t="array" ref="G3860">IFERROR(INDEX(EmployeeData[Join Date], ROW() - 37), "")</f>
        <v/>
      </c>
      <c r="H3860" s="6"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6" t="str" cm="1">
        <f t="array" ref="G3861">IFERROR(INDEX(EmployeeData[Join Date], ROW() - 37), "")</f>
        <v/>
      </c>
      <c r="H3861" s="6"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6" t="str" cm="1">
        <f t="array" ref="G3862">IFERROR(INDEX(EmployeeData[Join Date], ROW() - 37), "")</f>
        <v/>
      </c>
      <c r="H3862" s="6"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6" t="str" cm="1">
        <f t="array" ref="G3863">IFERROR(INDEX(EmployeeData[Join Date], ROW() - 37), "")</f>
        <v/>
      </c>
      <c r="H3863" s="6"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6" t="str" cm="1">
        <f t="array" ref="G3864">IFERROR(INDEX(EmployeeData[Join Date], ROW() - 37), "")</f>
        <v/>
      </c>
      <c r="H3864" s="6"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6" t="str" cm="1">
        <f t="array" ref="G3865">IFERROR(INDEX(EmployeeData[Join Date], ROW() - 37), "")</f>
        <v/>
      </c>
      <c r="H3865" s="6"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6" t="str" cm="1">
        <f t="array" ref="G3866">IFERROR(INDEX(EmployeeData[Join Date], ROW() - 37), "")</f>
        <v/>
      </c>
      <c r="H3866" s="6"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6" t="str" cm="1">
        <f t="array" ref="G3867">IFERROR(INDEX(EmployeeData[Join Date], ROW() - 37), "")</f>
        <v/>
      </c>
      <c r="H3867" s="6"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6" t="str" cm="1">
        <f t="array" ref="G3868">IFERROR(INDEX(EmployeeData[Join Date], ROW() - 37), "")</f>
        <v/>
      </c>
      <c r="H3868" s="6"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6" t="str" cm="1">
        <f t="array" ref="G3869">IFERROR(INDEX(EmployeeData[Join Date], ROW() - 37), "")</f>
        <v/>
      </c>
      <c r="H3869" s="6"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6" t="str" cm="1">
        <f t="array" ref="G3870">IFERROR(INDEX(EmployeeData[Join Date], ROW() - 37), "")</f>
        <v/>
      </c>
      <c r="H3870" s="6"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6" t="str" cm="1">
        <f t="array" ref="G3871">IFERROR(INDEX(EmployeeData[Join Date], ROW() - 37), "")</f>
        <v/>
      </c>
      <c r="H3871" s="6"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6" t="str" cm="1">
        <f t="array" ref="G3872">IFERROR(INDEX(EmployeeData[Join Date], ROW() - 37), "")</f>
        <v/>
      </c>
      <c r="H3872" s="6"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6" t="str" cm="1">
        <f t="array" ref="G3873">IFERROR(INDEX(EmployeeData[Join Date], ROW() - 37), "")</f>
        <v/>
      </c>
      <c r="H3873" s="6"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6" t="str" cm="1">
        <f t="array" ref="G3874">IFERROR(INDEX(EmployeeData[Join Date], ROW() - 37), "")</f>
        <v/>
      </c>
      <c r="H3874" s="6"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6" t="str" cm="1">
        <f t="array" ref="G3875">IFERROR(INDEX(EmployeeData[Join Date], ROW() - 37), "")</f>
        <v/>
      </c>
      <c r="H3875" s="6"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6" t="str" cm="1">
        <f t="array" ref="G3876">IFERROR(INDEX(EmployeeData[Join Date], ROW() - 37), "")</f>
        <v/>
      </c>
      <c r="H3876" s="6"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6" t="str" cm="1">
        <f t="array" ref="G3877">IFERROR(INDEX(EmployeeData[Join Date], ROW() - 37), "")</f>
        <v/>
      </c>
      <c r="H3877" s="6"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6" t="str" cm="1">
        <f t="array" ref="G3878">IFERROR(INDEX(EmployeeData[Join Date], ROW() - 37), "")</f>
        <v/>
      </c>
      <c r="H3878" s="6"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6" t="str" cm="1">
        <f t="array" ref="G3879">IFERROR(INDEX(EmployeeData[Join Date], ROW() - 37), "")</f>
        <v/>
      </c>
      <c r="H3879" s="6"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6" t="str" cm="1">
        <f t="array" ref="G3880">IFERROR(INDEX(EmployeeData[Join Date], ROW() - 37), "")</f>
        <v/>
      </c>
      <c r="H3880" s="6"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6" t="str" cm="1">
        <f t="array" ref="G3881">IFERROR(INDEX(EmployeeData[Join Date], ROW() - 37), "")</f>
        <v/>
      </c>
      <c r="H3881" s="6"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6" t="str" cm="1">
        <f t="array" ref="G3882">IFERROR(INDEX(EmployeeData[Join Date], ROW() - 37), "")</f>
        <v/>
      </c>
      <c r="H3882" s="6"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6" t="str" cm="1">
        <f t="array" ref="G3883">IFERROR(INDEX(EmployeeData[Join Date], ROW() - 37), "")</f>
        <v/>
      </c>
      <c r="H3883" s="6"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6" t="str" cm="1">
        <f t="array" ref="G3884">IFERROR(INDEX(EmployeeData[Join Date], ROW() - 37), "")</f>
        <v/>
      </c>
      <c r="H3884" s="6"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6" t="str" cm="1">
        <f t="array" ref="G3885">IFERROR(INDEX(EmployeeData[Join Date], ROW() - 37), "")</f>
        <v/>
      </c>
      <c r="H3885" s="6"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6" t="str" cm="1">
        <f t="array" ref="G3886">IFERROR(INDEX(EmployeeData[Join Date], ROW() - 37), "")</f>
        <v/>
      </c>
      <c r="H3886" s="6"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6" t="str" cm="1">
        <f t="array" ref="G3887">IFERROR(INDEX(EmployeeData[Join Date], ROW() - 37), "")</f>
        <v/>
      </c>
      <c r="H3887" s="6"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6" t="str" cm="1">
        <f t="array" ref="G3888">IFERROR(INDEX(EmployeeData[Join Date], ROW() - 37), "")</f>
        <v/>
      </c>
      <c r="H3888" s="6"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6" t="str" cm="1">
        <f t="array" ref="G3889">IFERROR(INDEX(EmployeeData[Join Date], ROW() - 37), "")</f>
        <v/>
      </c>
      <c r="H3889" s="6"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6" t="str" cm="1">
        <f t="array" ref="G3890">IFERROR(INDEX(EmployeeData[Join Date], ROW() - 37), "")</f>
        <v/>
      </c>
      <c r="H3890" s="6"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6" t="str" cm="1">
        <f t="array" ref="G3891">IFERROR(INDEX(EmployeeData[Join Date], ROW() - 37), "")</f>
        <v/>
      </c>
      <c r="H3891" s="6"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6" t="str" cm="1">
        <f t="array" ref="G3892">IFERROR(INDEX(EmployeeData[Join Date], ROW() - 37), "")</f>
        <v/>
      </c>
      <c r="H3892" s="6"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6" t="str" cm="1">
        <f t="array" ref="G3893">IFERROR(INDEX(EmployeeData[Join Date], ROW() - 37), "")</f>
        <v/>
      </c>
      <c r="H3893" s="6"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6" t="str" cm="1">
        <f t="array" ref="G3894">IFERROR(INDEX(EmployeeData[Join Date], ROW() - 37), "")</f>
        <v/>
      </c>
      <c r="H3894" s="6"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6" t="str" cm="1">
        <f t="array" ref="G3895">IFERROR(INDEX(EmployeeData[Join Date], ROW() - 37), "")</f>
        <v/>
      </c>
      <c r="H3895" s="6"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6" t="str" cm="1">
        <f t="array" ref="G3896">IFERROR(INDEX(EmployeeData[Join Date], ROW() - 37), "")</f>
        <v/>
      </c>
      <c r="H3896" s="6"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6" t="str" cm="1">
        <f t="array" ref="G3897">IFERROR(INDEX(EmployeeData[Join Date], ROW() - 37), "")</f>
        <v/>
      </c>
      <c r="H3897" s="6"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6" t="str" cm="1">
        <f t="array" ref="G3898">IFERROR(INDEX(EmployeeData[Join Date], ROW() - 37), "")</f>
        <v/>
      </c>
      <c r="H3898" s="6"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6" t="str" cm="1">
        <f t="array" ref="G3899">IFERROR(INDEX(EmployeeData[Join Date], ROW() - 37), "")</f>
        <v/>
      </c>
      <c r="H3899" s="6"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6" t="str" cm="1">
        <f t="array" ref="G3900">IFERROR(INDEX(EmployeeData[Join Date], ROW() - 37), "")</f>
        <v/>
      </c>
      <c r="H3900" s="6"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6" t="str" cm="1">
        <f t="array" ref="G3901">IFERROR(INDEX(EmployeeData[Join Date], ROW() - 37), "")</f>
        <v/>
      </c>
      <c r="H3901" s="6"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6" t="str" cm="1">
        <f t="array" ref="G3902">IFERROR(INDEX(EmployeeData[Join Date], ROW() - 37), "")</f>
        <v/>
      </c>
      <c r="H3902" s="6"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6" t="str" cm="1">
        <f t="array" ref="G3903">IFERROR(INDEX(EmployeeData[Join Date], ROW() - 37), "")</f>
        <v/>
      </c>
      <c r="H3903" s="6"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6" t="str" cm="1">
        <f t="array" ref="G3904">IFERROR(INDEX(EmployeeData[Join Date], ROW() - 37), "")</f>
        <v/>
      </c>
      <c r="H3904" s="6"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6" t="str" cm="1">
        <f t="array" ref="G3905">IFERROR(INDEX(EmployeeData[Join Date], ROW() - 37), "")</f>
        <v/>
      </c>
      <c r="H3905" s="6"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6" t="str" cm="1">
        <f t="array" ref="G3906">IFERROR(INDEX(EmployeeData[Join Date], ROW() - 37), "")</f>
        <v/>
      </c>
      <c r="H3906" s="6"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6" t="str" cm="1">
        <f t="array" ref="G3907">IFERROR(INDEX(EmployeeData[Join Date], ROW() - 37), "")</f>
        <v/>
      </c>
      <c r="H3907" s="6"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6" t="str" cm="1">
        <f t="array" ref="G3908">IFERROR(INDEX(EmployeeData[Join Date], ROW() - 37), "")</f>
        <v/>
      </c>
      <c r="H3908" s="6"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6" t="str" cm="1">
        <f t="array" ref="G3909">IFERROR(INDEX(EmployeeData[Join Date], ROW() - 37), "")</f>
        <v/>
      </c>
      <c r="H3909" s="6"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6" t="str" cm="1">
        <f t="array" ref="G3910">IFERROR(INDEX(EmployeeData[Join Date], ROW() - 37), "")</f>
        <v/>
      </c>
      <c r="H3910" s="6"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6" t="str" cm="1">
        <f t="array" ref="G3911">IFERROR(INDEX(EmployeeData[Join Date], ROW() - 37), "")</f>
        <v/>
      </c>
      <c r="H3911" s="6"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6" t="str" cm="1">
        <f t="array" ref="G3912">IFERROR(INDEX(EmployeeData[Join Date], ROW() - 37), "")</f>
        <v/>
      </c>
      <c r="H3912" s="6"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6" t="str" cm="1">
        <f t="array" ref="G3913">IFERROR(INDEX(EmployeeData[Join Date], ROW() - 37), "")</f>
        <v/>
      </c>
      <c r="H3913" s="6"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6" t="str" cm="1">
        <f t="array" ref="G3914">IFERROR(INDEX(EmployeeData[Join Date], ROW() - 37), "")</f>
        <v/>
      </c>
      <c r="H3914" s="6"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6" t="str" cm="1">
        <f t="array" ref="G3915">IFERROR(INDEX(EmployeeData[Join Date], ROW() - 37), "")</f>
        <v/>
      </c>
      <c r="H3915" s="6"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6" t="str" cm="1">
        <f t="array" ref="G3916">IFERROR(INDEX(EmployeeData[Join Date], ROW() - 37), "")</f>
        <v/>
      </c>
      <c r="H3916" s="6"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6" t="str" cm="1">
        <f t="array" ref="G3917">IFERROR(INDEX(EmployeeData[Join Date], ROW() - 37), "")</f>
        <v/>
      </c>
      <c r="H3917" s="6"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6" t="str" cm="1">
        <f t="array" ref="G3918">IFERROR(INDEX(EmployeeData[Join Date], ROW() - 37), "")</f>
        <v/>
      </c>
      <c r="H3918" s="6"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6" t="str" cm="1">
        <f t="array" ref="G3919">IFERROR(INDEX(EmployeeData[Join Date], ROW() - 37), "")</f>
        <v/>
      </c>
      <c r="H3919" s="6"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6" t="str" cm="1">
        <f t="array" ref="G3920">IFERROR(INDEX(EmployeeData[Join Date], ROW() - 37), "")</f>
        <v/>
      </c>
      <c r="H3920" s="6"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6" t="str" cm="1">
        <f t="array" ref="G3921">IFERROR(INDEX(EmployeeData[Join Date], ROW() - 37), "")</f>
        <v/>
      </c>
      <c r="H3921" s="6"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6" t="str" cm="1">
        <f t="array" ref="G3922">IFERROR(INDEX(EmployeeData[Join Date], ROW() - 37), "")</f>
        <v/>
      </c>
      <c r="H3922" s="6"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6" t="str" cm="1">
        <f t="array" ref="G3923">IFERROR(INDEX(EmployeeData[Join Date], ROW() - 37), "")</f>
        <v/>
      </c>
      <c r="H3923" s="6"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6" t="str" cm="1">
        <f t="array" ref="G3924">IFERROR(INDEX(EmployeeData[Join Date], ROW() - 37), "")</f>
        <v/>
      </c>
      <c r="H3924" s="6"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6" t="str" cm="1">
        <f t="array" ref="G3925">IFERROR(INDEX(EmployeeData[Join Date], ROW() - 37), "")</f>
        <v/>
      </c>
      <c r="H3925" s="6"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6" t="str" cm="1">
        <f t="array" ref="G3926">IFERROR(INDEX(EmployeeData[Join Date], ROW() - 37), "")</f>
        <v/>
      </c>
      <c r="H3926" s="6"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6" t="str" cm="1">
        <f t="array" ref="G3927">IFERROR(INDEX(EmployeeData[Join Date], ROW() - 37), "")</f>
        <v/>
      </c>
      <c r="H3927" s="6"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6" t="str" cm="1">
        <f t="array" ref="G3928">IFERROR(INDEX(EmployeeData[Join Date], ROW() - 37), "")</f>
        <v/>
      </c>
      <c r="H3928" s="6"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6" t="str" cm="1">
        <f t="array" ref="G3929">IFERROR(INDEX(EmployeeData[Join Date], ROW() - 37), "")</f>
        <v/>
      </c>
      <c r="H3929" s="6"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6" t="str" cm="1">
        <f t="array" ref="G3930">IFERROR(INDEX(EmployeeData[Join Date], ROW() - 37), "")</f>
        <v/>
      </c>
      <c r="H3930" s="6"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6" t="str" cm="1">
        <f t="array" ref="G3931">IFERROR(INDEX(EmployeeData[Join Date], ROW() - 37), "")</f>
        <v/>
      </c>
      <c r="H3931" s="6"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6" t="str" cm="1">
        <f t="array" ref="G3932">IFERROR(INDEX(EmployeeData[Join Date], ROW() - 37), "")</f>
        <v/>
      </c>
      <c r="H3932" s="6"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6" t="str" cm="1">
        <f t="array" ref="G3933">IFERROR(INDEX(EmployeeData[Join Date], ROW() - 37), "")</f>
        <v/>
      </c>
      <c r="H3933" s="6"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6" t="str" cm="1">
        <f t="array" ref="G3934">IFERROR(INDEX(EmployeeData[Join Date], ROW() - 37), "")</f>
        <v/>
      </c>
      <c r="H3934" s="6"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6" t="str" cm="1">
        <f t="array" ref="G3935">IFERROR(INDEX(EmployeeData[Join Date], ROW() - 37), "")</f>
        <v/>
      </c>
      <c r="H3935" s="6"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6" t="str" cm="1">
        <f t="array" ref="G3936">IFERROR(INDEX(EmployeeData[Join Date], ROW() - 37), "")</f>
        <v/>
      </c>
      <c r="H3936" s="6"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6" t="str" cm="1">
        <f t="array" ref="G3937">IFERROR(INDEX(EmployeeData[Join Date], ROW() - 37), "")</f>
        <v/>
      </c>
      <c r="H3937" s="6"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6" t="str" cm="1">
        <f t="array" ref="G3938">IFERROR(INDEX(EmployeeData[Join Date], ROW() - 37), "")</f>
        <v/>
      </c>
      <c r="H3938" s="6"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6" t="str" cm="1">
        <f t="array" ref="G3939">IFERROR(INDEX(EmployeeData[Join Date], ROW() - 37), "")</f>
        <v/>
      </c>
      <c r="H3939" s="6"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6" t="str" cm="1">
        <f t="array" ref="G3940">IFERROR(INDEX(EmployeeData[Join Date], ROW() - 37), "")</f>
        <v/>
      </c>
      <c r="H3940" s="6"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6" t="str" cm="1">
        <f t="array" ref="G3941">IFERROR(INDEX(EmployeeData[Join Date], ROW() - 37), "")</f>
        <v/>
      </c>
      <c r="H3941" s="6"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6" t="str" cm="1">
        <f t="array" ref="G3942">IFERROR(INDEX(EmployeeData[Join Date], ROW() - 37), "")</f>
        <v/>
      </c>
      <c r="H3942" s="6"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6" t="str" cm="1">
        <f t="array" ref="G3943">IFERROR(INDEX(EmployeeData[Join Date], ROW() - 37), "")</f>
        <v/>
      </c>
      <c r="H3943" s="6"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6" t="str" cm="1">
        <f t="array" ref="G3944">IFERROR(INDEX(EmployeeData[Join Date], ROW() - 37), "")</f>
        <v/>
      </c>
      <c r="H3944" s="6"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6" t="str" cm="1">
        <f t="array" ref="G3945">IFERROR(INDEX(EmployeeData[Join Date], ROW() - 37), "")</f>
        <v/>
      </c>
      <c r="H3945" s="6"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6" t="str" cm="1">
        <f t="array" ref="G3946">IFERROR(INDEX(EmployeeData[Join Date], ROW() - 37), "")</f>
        <v/>
      </c>
      <c r="H3946" s="6"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6" t="str" cm="1">
        <f t="array" ref="G3947">IFERROR(INDEX(EmployeeData[Join Date], ROW() - 37), "")</f>
        <v/>
      </c>
      <c r="H3947" s="6"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6" t="str" cm="1">
        <f t="array" ref="G3948">IFERROR(INDEX(EmployeeData[Join Date], ROW() - 37), "")</f>
        <v/>
      </c>
      <c r="H3948" s="6"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6" t="str" cm="1">
        <f t="array" ref="G3949">IFERROR(INDEX(EmployeeData[Join Date], ROW() - 37), "")</f>
        <v/>
      </c>
      <c r="H3949" s="6"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6" t="str" cm="1">
        <f t="array" ref="G3950">IFERROR(INDEX(EmployeeData[Join Date], ROW() - 37), "")</f>
        <v/>
      </c>
      <c r="H3950" s="6"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6" t="str" cm="1">
        <f t="array" ref="G3951">IFERROR(INDEX(EmployeeData[Join Date], ROW() - 37), "")</f>
        <v/>
      </c>
      <c r="H3951" s="6"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6" t="str" cm="1">
        <f t="array" ref="G3952">IFERROR(INDEX(EmployeeData[Join Date], ROW() - 37), "")</f>
        <v/>
      </c>
      <c r="H3952" s="6"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6" t="str" cm="1">
        <f t="array" ref="G3953">IFERROR(INDEX(EmployeeData[Join Date], ROW() - 37), "")</f>
        <v/>
      </c>
      <c r="H3953" s="6"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6" t="str" cm="1">
        <f t="array" ref="G3954">IFERROR(INDEX(EmployeeData[Join Date], ROW() - 37), "")</f>
        <v/>
      </c>
      <c r="H3954" s="6"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6" t="str" cm="1">
        <f t="array" ref="G3955">IFERROR(INDEX(EmployeeData[Join Date], ROW() - 37), "")</f>
        <v/>
      </c>
      <c r="H3955" s="6"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6" t="str" cm="1">
        <f t="array" ref="G3956">IFERROR(INDEX(EmployeeData[Join Date], ROW() - 37), "")</f>
        <v/>
      </c>
      <c r="H3956" s="6"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6" t="str" cm="1">
        <f t="array" ref="G3957">IFERROR(INDEX(EmployeeData[Join Date], ROW() - 37), "")</f>
        <v/>
      </c>
      <c r="H3957" s="6"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6" t="str" cm="1">
        <f t="array" ref="G3958">IFERROR(INDEX(EmployeeData[Join Date], ROW() - 37), "")</f>
        <v/>
      </c>
      <c r="H3958" s="6"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6" t="str" cm="1">
        <f t="array" ref="G3959">IFERROR(INDEX(EmployeeData[Join Date], ROW() - 37), "")</f>
        <v/>
      </c>
      <c r="H3959" s="6"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6" t="str" cm="1">
        <f t="array" ref="G3960">IFERROR(INDEX(EmployeeData[Join Date], ROW() - 37), "")</f>
        <v/>
      </c>
      <c r="H3960" s="6"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6" t="str" cm="1">
        <f t="array" ref="G3961">IFERROR(INDEX(EmployeeData[Join Date], ROW() - 37), "")</f>
        <v/>
      </c>
      <c r="H3961" s="6"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6" t="str" cm="1">
        <f t="array" ref="G3962">IFERROR(INDEX(EmployeeData[Join Date], ROW() - 37), "")</f>
        <v/>
      </c>
      <c r="H3962" s="6"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6" t="str" cm="1">
        <f t="array" ref="G3963">IFERROR(INDEX(EmployeeData[Join Date], ROW() - 37), "")</f>
        <v/>
      </c>
      <c r="H3963" s="6"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6" t="str" cm="1">
        <f t="array" ref="G3964">IFERROR(INDEX(EmployeeData[Join Date], ROW() - 37), "")</f>
        <v/>
      </c>
      <c r="H3964" s="6"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6" t="str" cm="1">
        <f t="array" ref="G3965">IFERROR(INDEX(EmployeeData[Join Date], ROW() - 37), "")</f>
        <v/>
      </c>
      <c r="H3965" s="6"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6" t="str" cm="1">
        <f t="array" ref="G3966">IFERROR(INDEX(EmployeeData[Join Date], ROW() - 37), "")</f>
        <v/>
      </c>
      <c r="H3966" s="6"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6" t="str" cm="1">
        <f t="array" ref="G3967">IFERROR(INDEX(EmployeeData[Join Date], ROW() - 37), "")</f>
        <v/>
      </c>
      <c r="H3967" s="6"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6" t="str" cm="1">
        <f t="array" ref="G3968">IFERROR(INDEX(EmployeeData[Join Date], ROW() - 37), "")</f>
        <v/>
      </c>
      <c r="H3968" s="6"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6" t="str" cm="1">
        <f t="array" ref="G3969">IFERROR(INDEX(EmployeeData[Join Date], ROW() - 37), "")</f>
        <v/>
      </c>
      <c r="H3969" s="6"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6" t="str" cm="1">
        <f t="array" ref="G3970">IFERROR(INDEX(EmployeeData[Join Date], ROW() - 37), "")</f>
        <v/>
      </c>
      <c r="H3970" s="6"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6" t="str" cm="1">
        <f t="array" ref="G3971">IFERROR(INDEX(EmployeeData[Join Date], ROW() - 37), "")</f>
        <v/>
      </c>
      <c r="H3971" s="6"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6" t="str" cm="1">
        <f t="array" ref="G3972">IFERROR(INDEX(EmployeeData[Join Date], ROW() - 37), "")</f>
        <v/>
      </c>
      <c r="H3972" s="6"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6" t="str" cm="1">
        <f t="array" ref="G3973">IFERROR(INDEX(EmployeeData[Join Date], ROW() - 37), "")</f>
        <v/>
      </c>
      <c r="H3973" s="6"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6" t="str" cm="1">
        <f t="array" ref="G3974">IFERROR(INDEX(EmployeeData[Join Date], ROW() - 37), "")</f>
        <v/>
      </c>
      <c r="H3974" s="6"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6" t="str" cm="1">
        <f t="array" ref="G3975">IFERROR(INDEX(EmployeeData[Join Date], ROW() - 37), "")</f>
        <v/>
      </c>
      <c r="H3975" s="6"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6" t="str" cm="1">
        <f t="array" ref="G3976">IFERROR(INDEX(EmployeeData[Join Date], ROW() - 37), "")</f>
        <v/>
      </c>
      <c r="H3976" s="6"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6" t="str" cm="1">
        <f t="array" ref="G3977">IFERROR(INDEX(EmployeeData[Join Date], ROW() - 37), "")</f>
        <v/>
      </c>
      <c r="H3977" s="6"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6" t="str" cm="1">
        <f t="array" ref="G3978">IFERROR(INDEX(EmployeeData[Join Date], ROW() - 37), "")</f>
        <v/>
      </c>
      <c r="H3978" s="6"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6" t="str" cm="1">
        <f t="array" ref="G3979">IFERROR(INDEX(EmployeeData[Join Date], ROW() - 37), "")</f>
        <v/>
      </c>
      <c r="H3979" s="6"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6" t="str" cm="1">
        <f t="array" ref="G3980">IFERROR(INDEX(EmployeeData[Join Date], ROW() - 37), "")</f>
        <v/>
      </c>
      <c r="H3980" s="6"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6" t="str" cm="1">
        <f t="array" ref="G3981">IFERROR(INDEX(EmployeeData[Join Date], ROW() - 37), "")</f>
        <v/>
      </c>
      <c r="H3981" s="6"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6" t="str" cm="1">
        <f t="array" ref="G3982">IFERROR(INDEX(EmployeeData[Join Date], ROW() - 37), "")</f>
        <v/>
      </c>
      <c r="H3982" s="6"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6" t="str" cm="1">
        <f t="array" ref="G3983">IFERROR(INDEX(EmployeeData[Join Date], ROW() - 37), "")</f>
        <v/>
      </c>
      <c r="H3983" s="6"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6" t="str" cm="1">
        <f t="array" ref="G3984">IFERROR(INDEX(EmployeeData[Join Date], ROW() - 37), "")</f>
        <v/>
      </c>
      <c r="H3984" s="6"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6" t="str" cm="1">
        <f t="array" ref="G3985">IFERROR(INDEX(EmployeeData[Join Date], ROW() - 37), "")</f>
        <v/>
      </c>
      <c r="H3985" s="6"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6" t="str" cm="1">
        <f t="array" ref="G3986">IFERROR(INDEX(EmployeeData[Join Date], ROW() - 37), "")</f>
        <v/>
      </c>
      <c r="H3986" s="6"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6" t="str" cm="1">
        <f t="array" ref="G3987">IFERROR(INDEX(EmployeeData[Join Date], ROW() - 37), "")</f>
        <v/>
      </c>
      <c r="H3987" s="6"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6" t="str" cm="1">
        <f t="array" ref="G3988">IFERROR(INDEX(EmployeeData[Join Date], ROW() - 37), "")</f>
        <v/>
      </c>
      <c r="H3988" s="6"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6" t="str" cm="1">
        <f t="array" ref="G3989">IFERROR(INDEX(EmployeeData[Join Date], ROW() - 37), "")</f>
        <v/>
      </c>
      <c r="H3989" s="6"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6" t="str" cm="1">
        <f t="array" ref="G3990">IFERROR(INDEX(EmployeeData[Join Date], ROW() - 37), "")</f>
        <v/>
      </c>
      <c r="H3990" s="6"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6" t="str" cm="1">
        <f t="array" ref="G3991">IFERROR(INDEX(EmployeeData[Join Date], ROW() - 37), "")</f>
        <v/>
      </c>
      <c r="H3991" s="6"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6" t="str" cm="1">
        <f t="array" ref="G3992">IFERROR(INDEX(EmployeeData[Join Date], ROW() - 37), "")</f>
        <v/>
      </c>
      <c r="H3992" s="6"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6" t="str" cm="1">
        <f t="array" ref="G3993">IFERROR(INDEX(EmployeeData[Join Date], ROW() - 37), "")</f>
        <v/>
      </c>
      <c r="H3993" s="6"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6" t="str" cm="1">
        <f t="array" ref="G3994">IFERROR(INDEX(EmployeeData[Join Date], ROW() - 37), "")</f>
        <v/>
      </c>
      <c r="H3994" s="6"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6" t="str" cm="1">
        <f t="array" ref="G3995">IFERROR(INDEX(EmployeeData[Join Date], ROW() - 37), "")</f>
        <v/>
      </c>
      <c r="H3995" s="6"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6" t="str" cm="1">
        <f t="array" ref="G3996">IFERROR(INDEX(EmployeeData[Join Date], ROW() - 37), "")</f>
        <v/>
      </c>
      <c r="H3996" s="6"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6" t="str" cm="1">
        <f t="array" ref="G3997">IFERROR(INDEX(EmployeeData[Join Date], ROW() - 37), "")</f>
        <v/>
      </c>
      <c r="H3997" s="6"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6" t="str" cm="1">
        <f t="array" ref="G3998">IFERROR(INDEX(EmployeeData[Join Date], ROW() - 37), "")</f>
        <v/>
      </c>
      <c r="H3998" s="6"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6" t="str" cm="1">
        <f t="array" ref="G3999">IFERROR(INDEX(EmployeeData[Join Date], ROW() - 37), "")</f>
        <v/>
      </c>
      <c r="H3999" s="6"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6" t="str" cm="1">
        <f t="array" ref="G4000">IFERROR(INDEX(EmployeeData[Join Date], ROW() - 37), "")</f>
        <v/>
      </c>
      <c r="H4000" s="6"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6" t="str" cm="1">
        <f t="array" ref="G4001">IFERROR(INDEX(EmployeeData[Join Date], ROW() - 37), "")</f>
        <v/>
      </c>
      <c r="H4001" s="6"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6" t="str" cm="1">
        <f t="array" ref="G4002">IFERROR(INDEX(EmployeeData[Join Date], ROW() - 37), "")</f>
        <v/>
      </c>
      <c r="H4002" s="6"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6" t="str" cm="1">
        <f t="array" ref="G4003">IFERROR(INDEX(EmployeeData[Join Date], ROW() - 37), "")</f>
        <v/>
      </c>
      <c r="H4003" s="6"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6" t="str" cm="1">
        <f t="array" ref="G4004">IFERROR(INDEX(EmployeeData[Join Date], ROW() - 37), "")</f>
        <v/>
      </c>
      <c r="H4004" s="6"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6" t="str" cm="1">
        <f t="array" ref="G4005">IFERROR(INDEX(EmployeeData[Join Date], ROW() - 37), "")</f>
        <v/>
      </c>
      <c r="H4005" s="6"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6" t="str" cm="1">
        <f t="array" ref="G4006">IFERROR(INDEX(EmployeeData[Join Date], ROW() - 37), "")</f>
        <v/>
      </c>
      <c r="H4006" s="6"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6" t="str" cm="1">
        <f t="array" ref="G4007">IFERROR(INDEX(EmployeeData[Join Date], ROW() - 37), "")</f>
        <v/>
      </c>
      <c r="H4007" s="6"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6" t="str" cm="1">
        <f t="array" ref="G4008">IFERROR(INDEX(EmployeeData[Join Date], ROW() - 37), "")</f>
        <v/>
      </c>
      <c r="H4008" s="6"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6" t="str" cm="1">
        <f t="array" ref="G4009">IFERROR(INDEX(EmployeeData[Join Date], ROW() - 37), "")</f>
        <v/>
      </c>
      <c r="H4009" s="6"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6" t="str" cm="1">
        <f t="array" ref="G4010">IFERROR(INDEX(EmployeeData[Join Date], ROW() - 37), "")</f>
        <v/>
      </c>
      <c r="H4010" s="6"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6" t="str" cm="1">
        <f t="array" ref="G4011">IFERROR(INDEX(EmployeeData[Join Date], ROW() - 37), "")</f>
        <v/>
      </c>
      <c r="H4011" s="6"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6" t="str" cm="1">
        <f t="array" ref="G4012">IFERROR(INDEX(EmployeeData[Join Date], ROW() - 37), "")</f>
        <v/>
      </c>
      <c r="H4012" s="6"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6" t="str" cm="1">
        <f t="array" ref="G4013">IFERROR(INDEX(EmployeeData[Join Date], ROW() - 37), "")</f>
        <v/>
      </c>
      <c r="H4013" s="6"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6" t="str" cm="1">
        <f t="array" ref="G4014">IFERROR(INDEX(EmployeeData[Join Date], ROW() - 37), "")</f>
        <v/>
      </c>
      <c r="H4014" s="6"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6" t="str" cm="1">
        <f t="array" ref="G4015">IFERROR(INDEX(EmployeeData[Join Date], ROW() - 37), "")</f>
        <v/>
      </c>
      <c r="H4015" s="6"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6" t="str" cm="1">
        <f t="array" ref="G4016">IFERROR(INDEX(EmployeeData[Join Date], ROW() - 37), "")</f>
        <v/>
      </c>
      <c r="H4016" s="6"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6" t="str" cm="1">
        <f t="array" ref="G4017">IFERROR(INDEX(EmployeeData[Join Date], ROW() - 37), "")</f>
        <v/>
      </c>
      <c r="H4017" s="6"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6" t="str" cm="1">
        <f t="array" ref="G4018">IFERROR(INDEX(EmployeeData[Join Date], ROW() - 37), "")</f>
        <v/>
      </c>
      <c r="H4018" s="6"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6" t="str" cm="1">
        <f t="array" ref="G4019">IFERROR(INDEX(EmployeeData[Join Date], ROW() - 37), "")</f>
        <v/>
      </c>
      <c r="H4019" s="6"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6" t="str" cm="1">
        <f t="array" ref="G4020">IFERROR(INDEX(EmployeeData[Join Date], ROW() - 37), "")</f>
        <v/>
      </c>
      <c r="H4020" s="6"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6" t="str" cm="1">
        <f t="array" ref="G4021">IFERROR(INDEX(EmployeeData[Join Date], ROW() - 37), "")</f>
        <v/>
      </c>
      <c r="H4021" s="6"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6" t="str" cm="1">
        <f t="array" ref="G4022">IFERROR(INDEX(EmployeeData[Join Date], ROW() - 37), "")</f>
        <v/>
      </c>
      <c r="H4022" s="6"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6" t="str" cm="1">
        <f t="array" ref="G4023">IFERROR(INDEX(EmployeeData[Join Date], ROW() - 37), "")</f>
        <v/>
      </c>
      <c r="H4023" s="6"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6" t="str" cm="1">
        <f t="array" ref="G4024">IFERROR(INDEX(EmployeeData[Join Date], ROW() - 37), "")</f>
        <v/>
      </c>
      <c r="H4024" s="6"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6" t="str" cm="1">
        <f t="array" ref="G4025">IFERROR(INDEX(EmployeeData[Join Date], ROW() - 37), "")</f>
        <v/>
      </c>
      <c r="H4025" s="6"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6" t="str" cm="1">
        <f t="array" ref="G4026">IFERROR(INDEX(EmployeeData[Join Date], ROW() - 37), "")</f>
        <v/>
      </c>
      <c r="H4026" s="6"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6" t="str" cm="1">
        <f t="array" ref="G4027">IFERROR(INDEX(EmployeeData[Join Date], ROW() - 37), "")</f>
        <v/>
      </c>
      <c r="H4027" s="6"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6" t="str" cm="1">
        <f t="array" ref="G4028">IFERROR(INDEX(EmployeeData[Join Date], ROW() - 37), "")</f>
        <v/>
      </c>
      <c r="H4028" s="6"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6" t="str" cm="1">
        <f t="array" ref="G4029">IFERROR(INDEX(EmployeeData[Join Date], ROW() - 37), "")</f>
        <v/>
      </c>
      <c r="H4029" s="6"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6" t="str" cm="1">
        <f t="array" ref="G4030">IFERROR(INDEX(EmployeeData[Join Date], ROW() - 37), "")</f>
        <v/>
      </c>
      <c r="H4030" s="6"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6" t="str" cm="1">
        <f t="array" ref="G4031">IFERROR(INDEX(EmployeeData[Join Date], ROW() - 37), "")</f>
        <v/>
      </c>
      <c r="H4031" s="6"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6" t="str" cm="1">
        <f t="array" ref="G4032">IFERROR(INDEX(EmployeeData[Join Date], ROW() - 37), "")</f>
        <v/>
      </c>
      <c r="H4032" s="6"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6" t="str" cm="1">
        <f t="array" ref="G4033">IFERROR(INDEX(EmployeeData[Join Date], ROW() - 37), "")</f>
        <v/>
      </c>
      <c r="H4033" s="6"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6" t="str" cm="1">
        <f t="array" ref="G4034">IFERROR(INDEX(EmployeeData[Join Date], ROW() - 37), "")</f>
        <v/>
      </c>
      <c r="H4034" s="6"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6" t="str" cm="1">
        <f t="array" ref="G4035">IFERROR(INDEX(EmployeeData[Join Date], ROW() - 37), "")</f>
        <v/>
      </c>
      <c r="H4035" s="6"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6" t="str" cm="1">
        <f t="array" ref="G4036">IFERROR(INDEX(EmployeeData[Join Date], ROW() - 37), "")</f>
        <v/>
      </c>
      <c r="H4036" s="6"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6" t="str" cm="1">
        <f t="array" ref="G4037">IFERROR(INDEX(EmployeeData[Join Date], ROW() - 37), "")</f>
        <v/>
      </c>
      <c r="H4037" s="6"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6" t="str" cm="1">
        <f t="array" ref="G4038">IFERROR(INDEX(EmployeeData[Join Date], ROW() - 37), "")</f>
        <v/>
      </c>
      <c r="H4038" s="6"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6" t="str" cm="1">
        <f t="array" ref="G4039">IFERROR(INDEX(EmployeeData[Join Date], ROW() - 37), "")</f>
        <v/>
      </c>
      <c r="H4039" s="6"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6" t="str" cm="1">
        <f t="array" ref="G4040">IFERROR(INDEX(EmployeeData[Join Date], ROW() - 37), "")</f>
        <v/>
      </c>
      <c r="H4040" s="6"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6" t="str" cm="1">
        <f t="array" ref="G4041">IFERROR(INDEX(EmployeeData[Join Date], ROW() - 37), "")</f>
        <v/>
      </c>
      <c r="H4041" s="6"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6" t="str" cm="1">
        <f t="array" ref="G4042">IFERROR(INDEX(EmployeeData[Join Date], ROW() - 37), "")</f>
        <v/>
      </c>
      <c r="H4042" s="6"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6" t="str" cm="1">
        <f t="array" ref="G4043">IFERROR(INDEX(EmployeeData[Join Date], ROW() - 37), "")</f>
        <v/>
      </c>
      <c r="H4043" s="6"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6" t="str" cm="1">
        <f t="array" ref="G4044">IFERROR(INDEX(EmployeeData[Join Date], ROW() - 37), "")</f>
        <v/>
      </c>
      <c r="H4044" s="6"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6" t="str" cm="1">
        <f t="array" ref="G4045">IFERROR(INDEX(EmployeeData[Join Date], ROW() - 37), "")</f>
        <v/>
      </c>
      <c r="H4045" s="6"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6" t="str" cm="1">
        <f t="array" ref="G4046">IFERROR(INDEX(EmployeeData[Join Date], ROW() - 37), "")</f>
        <v/>
      </c>
      <c r="H4046" s="6"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6" t="str" cm="1">
        <f t="array" ref="G4047">IFERROR(INDEX(EmployeeData[Join Date], ROW() - 37), "")</f>
        <v/>
      </c>
      <c r="H4047" s="6"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6" t="str" cm="1">
        <f t="array" ref="G4048">IFERROR(INDEX(EmployeeData[Join Date], ROW() - 37), "")</f>
        <v/>
      </c>
      <c r="H4048" s="6"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6" t="str" cm="1">
        <f t="array" ref="G4049">IFERROR(INDEX(EmployeeData[Join Date], ROW() - 37), "")</f>
        <v/>
      </c>
      <c r="H4049" s="6"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6" t="str" cm="1">
        <f t="array" ref="G4050">IFERROR(INDEX(EmployeeData[Join Date], ROW() - 37), "")</f>
        <v/>
      </c>
      <c r="H4050" s="6"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6" t="str" cm="1">
        <f t="array" ref="G4051">IFERROR(INDEX(EmployeeData[Join Date], ROW() - 37), "")</f>
        <v/>
      </c>
      <c r="H4051" s="6"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6" t="str" cm="1">
        <f t="array" ref="G4052">IFERROR(INDEX(EmployeeData[Join Date], ROW() - 37), "")</f>
        <v/>
      </c>
      <c r="H4052" s="6"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6" t="str" cm="1">
        <f t="array" ref="G4053">IFERROR(INDEX(EmployeeData[Join Date], ROW() - 37), "")</f>
        <v/>
      </c>
      <c r="H4053" s="6"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6" t="str" cm="1">
        <f t="array" ref="G4054">IFERROR(INDEX(EmployeeData[Join Date], ROW() - 37), "")</f>
        <v/>
      </c>
      <c r="H4054" s="6"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6" t="str" cm="1">
        <f t="array" ref="G4055">IFERROR(INDEX(EmployeeData[Join Date], ROW() - 37), "")</f>
        <v/>
      </c>
      <c r="H4055" s="6"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6" t="str" cm="1">
        <f t="array" ref="G4056">IFERROR(INDEX(EmployeeData[Join Date], ROW() - 37), "")</f>
        <v/>
      </c>
      <c r="H4056" s="6"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6" t="str" cm="1">
        <f t="array" ref="G4057">IFERROR(INDEX(EmployeeData[Join Date], ROW() - 37), "")</f>
        <v/>
      </c>
      <c r="H4057" s="6"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6" t="str" cm="1">
        <f t="array" ref="G4058">IFERROR(INDEX(EmployeeData[Join Date], ROW() - 37), "")</f>
        <v/>
      </c>
      <c r="H4058" s="6"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6" t="str" cm="1">
        <f t="array" ref="G4059">IFERROR(INDEX(EmployeeData[Join Date], ROW() - 37), "")</f>
        <v/>
      </c>
      <c r="H4059" s="6"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6" t="str" cm="1">
        <f t="array" ref="G4060">IFERROR(INDEX(EmployeeData[Join Date], ROW() - 37), "")</f>
        <v/>
      </c>
      <c r="H4060" s="6"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6" t="str" cm="1">
        <f t="array" ref="G4061">IFERROR(INDEX(EmployeeData[Join Date], ROW() - 37), "")</f>
        <v/>
      </c>
      <c r="H4061" s="6"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6" t="str" cm="1">
        <f t="array" ref="G4062">IFERROR(INDEX(EmployeeData[Join Date], ROW() - 37), "")</f>
        <v/>
      </c>
      <c r="H4062" s="6"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6" t="str" cm="1">
        <f t="array" ref="G4063">IFERROR(INDEX(EmployeeData[Join Date], ROW() - 37), "")</f>
        <v/>
      </c>
      <c r="H4063" s="6"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6" t="str" cm="1">
        <f t="array" ref="G4064">IFERROR(INDEX(EmployeeData[Join Date], ROW() - 37), "")</f>
        <v/>
      </c>
      <c r="H4064" s="6"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6" t="str" cm="1">
        <f t="array" ref="G4065">IFERROR(INDEX(EmployeeData[Join Date], ROW() - 37), "")</f>
        <v/>
      </c>
      <c r="H4065" s="6"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6" t="str" cm="1">
        <f t="array" ref="G4066">IFERROR(INDEX(EmployeeData[Join Date], ROW() - 37), "")</f>
        <v/>
      </c>
      <c r="H4066" s="6"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6" t="str" cm="1">
        <f t="array" ref="G4067">IFERROR(INDEX(EmployeeData[Join Date], ROW() - 37), "")</f>
        <v/>
      </c>
      <c r="H4067" s="6"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6" t="str" cm="1">
        <f t="array" ref="G4068">IFERROR(INDEX(EmployeeData[Join Date], ROW() - 37), "")</f>
        <v/>
      </c>
      <c r="H4068" s="6"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6" t="str" cm="1">
        <f t="array" ref="G4069">IFERROR(INDEX(EmployeeData[Join Date], ROW() - 37), "")</f>
        <v/>
      </c>
      <c r="H4069" s="6"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6" t="str" cm="1">
        <f t="array" ref="G4070">IFERROR(INDEX(EmployeeData[Join Date], ROW() - 37), "")</f>
        <v/>
      </c>
      <c r="H4070" s="6"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6" t="str" cm="1">
        <f t="array" ref="G4071">IFERROR(INDEX(EmployeeData[Join Date], ROW() - 37), "")</f>
        <v/>
      </c>
      <c r="H4071" s="6"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6" t="str" cm="1">
        <f t="array" ref="G4072">IFERROR(INDEX(EmployeeData[Join Date], ROW() - 37), "")</f>
        <v/>
      </c>
      <c r="H4072" s="6"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6" t="str" cm="1">
        <f t="array" ref="G4073">IFERROR(INDEX(EmployeeData[Join Date], ROW() - 37), "")</f>
        <v/>
      </c>
      <c r="H4073" s="6"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6" t="str" cm="1">
        <f t="array" ref="G4074">IFERROR(INDEX(EmployeeData[Join Date], ROW() - 37), "")</f>
        <v/>
      </c>
      <c r="H4074" s="6"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6" t="str" cm="1">
        <f t="array" ref="G4075">IFERROR(INDEX(EmployeeData[Join Date], ROW() - 37), "")</f>
        <v/>
      </c>
      <c r="H4075" s="6"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6" t="str" cm="1">
        <f t="array" ref="G4076">IFERROR(INDEX(EmployeeData[Join Date], ROW() - 37), "")</f>
        <v/>
      </c>
      <c r="H4076" s="6"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6" t="str" cm="1">
        <f t="array" ref="G4077">IFERROR(INDEX(EmployeeData[Join Date], ROW() - 37), "")</f>
        <v/>
      </c>
      <c r="H4077" s="6"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6" t="str" cm="1">
        <f t="array" ref="G4078">IFERROR(INDEX(EmployeeData[Join Date], ROW() - 37), "")</f>
        <v/>
      </c>
      <c r="H4078" s="6"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6" t="str" cm="1">
        <f t="array" ref="G4079">IFERROR(INDEX(EmployeeData[Join Date], ROW() - 37), "")</f>
        <v/>
      </c>
      <c r="H4079" s="6"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6" t="str" cm="1">
        <f t="array" ref="G4080">IFERROR(INDEX(EmployeeData[Join Date], ROW() - 37), "")</f>
        <v/>
      </c>
      <c r="H4080" s="6"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6" t="str" cm="1">
        <f t="array" ref="G4081">IFERROR(INDEX(EmployeeData[Join Date], ROW() - 37), "")</f>
        <v/>
      </c>
      <c r="H4081" s="6"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6" t="str" cm="1">
        <f t="array" ref="G4082">IFERROR(INDEX(EmployeeData[Join Date], ROW() - 37), "")</f>
        <v/>
      </c>
      <c r="H4082" s="6"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6" t="str" cm="1">
        <f t="array" ref="G4083">IFERROR(INDEX(EmployeeData[Join Date], ROW() - 37), "")</f>
        <v/>
      </c>
      <c r="H4083" s="6"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6" t="str" cm="1">
        <f t="array" ref="G4084">IFERROR(INDEX(EmployeeData[Join Date], ROW() - 37), "")</f>
        <v/>
      </c>
      <c r="H4084" s="6"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6" t="str" cm="1">
        <f t="array" ref="G4085">IFERROR(INDEX(EmployeeData[Join Date], ROW() - 37), "")</f>
        <v/>
      </c>
      <c r="H4085" s="6"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6" t="str" cm="1">
        <f t="array" ref="G4086">IFERROR(INDEX(EmployeeData[Join Date], ROW() - 37), "")</f>
        <v/>
      </c>
      <c r="H4086" s="6"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6" t="str" cm="1">
        <f t="array" ref="G4087">IFERROR(INDEX(EmployeeData[Join Date], ROW() - 37), "")</f>
        <v/>
      </c>
      <c r="H4087" s="6"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6" t="str" cm="1">
        <f t="array" ref="G4088">IFERROR(INDEX(EmployeeData[Join Date], ROW() - 37), "")</f>
        <v/>
      </c>
      <c r="H4088" s="6"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6" t="str" cm="1">
        <f t="array" ref="G4089">IFERROR(INDEX(EmployeeData[Join Date], ROW() - 37), "")</f>
        <v/>
      </c>
      <c r="H4089" s="6"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6" t="str" cm="1">
        <f t="array" ref="G4090">IFERROR(INDEX(EmployeeData[Join Date], ROW() - 37), "")</f>
        <v/>
      </c>
      <c r="H4090" s="6"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6" t="str" cm="1">
        <f t="array" ref="G4091">IFERROR(INDEX(EmployeeData[Join Date], ROW() - 37), "")</f>
        <v/>
      </c>
      <c r="H4091" s="6"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6" t="str" cm="1">
        <f t="array" ref="G4092">IFERROR(INDEX(EmployeeData[Join Date], ROW() - 37), "")</f>
        <v/>
      </c>
      <c r="H4092" s="6"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6" t="str" cm="1">
        <f t="array" ref="G4093">IFERROR(INDEX(EmployeeData[Join Date], ROW() - 37), "")</f>
        <v/>
      </c>
      <c r="H4093" s="6"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6" t="str" cm="1">
        <f t="array" ref="G4094">IFERROR(INDEX(EmployeeData[Join Date], ROW() - 37), "")</f>
        <v/>
      </c>
      <c r="H4094" s="6"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6" t="str" cm="1">
        <f t="array" ref="G4095">IFERROR(INDEX(EmployeeData[Join Date], ROW() - 37), "")</f>
        <v/>
      </c>
      <c r="H4095" s="6"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6" t="str" cm="1">
        <f t="array" ref="G4096">IFERROR(INDEX(EmployeeData[Join Date], ROW() - 37), "")</f>
        <v/>
      </c>
      <c r="H4096" s="6"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6" t="str" cm="1">
        <f t="array" ref="G4097">IFERROR(INDEX(EmployeeData[Join Date], ROW() - 37), "")</f>
        <v/>
      </c>
      <c r="H4097" s="6"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6" t="str" cm="1">
        <f t="array" ref="G4098">IFERROR(INDEX(EmployeeData[Join Date], ROW() - 37), "")</f>
        <v/>
      </c>
      <c r="H4098" s="6"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6" t="str" cm="1">
        <f t="array" ref="G4099">IFERROR(INDEX(EmployeeData[Join Date], ROW() - 37), "")</f>
        <v/>
      </c>
      <c r="H4099" s="6"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6" t="str" cm="1">
        <f t="array" ref="G4100">IFERROR(INDEX(EmployeeData[Join Date], ROW() - 37), "")</f>
        <v/>
      </c>
      <c r="H4100" s="6"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6" t="str" cm="1">
        <f t="array" ref="G4101">IFERROR(INDEX(EmployeeData[Join Date], ROW() - 37), "")</f>
        <v/>
      </c>
      <c r="H4101" s="6"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6" t="str" cm="1">
        <f t="array" ref="G4102">IFERROR(INDEX(EmployeeData[Join Date], ROW() - 37), "")</f>
        <v/>
      </c>
      <c r="H4102" s="6"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6" t="str" cm="1">
        <f t="array" ref="G4103">IFERROR(INDEX(EmployeeData[Join Date], ROW() - 37), "")</f>
        <v/>
      </c>
      <c r="H4103" s="6"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6" t="str" cm="1">
        <f t="array" ref="G4104">IFERROR(INDEX(EmployeeData[Join Date], ROW() - 37), "")</f>
        <v/>
      </c>
      <c r="H4104" s="6"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6" t="str" cm="1">
        <f t="array" ref="G4105">IFERROR(INDEX(EmployeeData[Join Date], ROW() - 37), "")</f>
        <v/>
      </c>
      <c r="H4105" s="6"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6" t="str" cm="1">
        <f t="array" ref="G4106">IFERROR(INDEX(EmployeeData[Join Date], ROW() - 37), "")</f>
        <v/>
      </c>
      <c r="H4106" s="6"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6" t="str" cm="1">
        <f t="array" ref="G4107">IFERROR(INDEX(EmployeeData[Join Date], ROW() - 37), "")</f>
        <v/>
      </c>
      <c r="H4107" s="6"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6" t="str" cm="1">
        <f t="array" ref="G4108">IFERROR(INDEX(EmployeeData[Join Date], ROW() - 37), "")</f>
        <v/>
      </c>
      <c r="H4108" s="6"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6" t="str" cm="1">
        <f t="array" ref="G4109">IFERROR(INDEX(EmployeeData[Join Date], ROW() - 37), "")</f>
        <v/>
      </c>
      <c r="H4109" s="6"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6" t="str" cm="1">
        <f t="array" ref="G4110">IFERROR(INDEX(EmployeeData[Join Date], ROW() - 37), "")</f>
        <v/>
      </c>
      <c r="H4110" s="6"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6" t="str" cm="1">
        <f t="array" ref="G4111">IFERROR(INDEX(EmployeeData[Join Date], ROW() - 37), "")</f>
        <v/>
      </c>
      <c r="H4111" s="6"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6" t="str" cm="1">
        <f t="array" ref="G4112">IFERROR(INDEX(EmployeeData[Join Date], ROW() - 37), "")</f>
        <v/>
      </c>
      <c r="H4112" s="6"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6" t="str" cm="1">
        <f t="array" ref="G4113">IFERROR(INDEX(EmployeeData[Join Date], ROW() - 37), "")</f>
        <v/>
      </c>
      <c r="H4113" s="6"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6" t="str" cm="1">
        <f t="array" ref="G4114">IFERROR(INDEX(EmployeeData[Join Date], ROW() - 37), "")</f>
        <v/>
      </c>
      <c r="H4114" s="6"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6" t="str" cm="1">
        <f t="array" ref="G4115">IFERROR(INDEX(EmployeeData[Join Date], ROW() - 37), "")</f>
        <v/>
      </c>
      <c r="H4115" s="6"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6" t="str" cm="1">
        <f t="array" ref="G4116">IFERROR(INDEX(EmployeeData[Join Date], ROW() - 37), "")</f>
        <v/>
      </c>
      <c r="H4116" s="6"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6" t="str" cm="1">
        <f t="array" ref="G4117">IFERROR(INDEX(EmployeeData[Join Date], ROW() - 37), "")</f>
        <v/>
      </c>
      <c r="H4117" s="6"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6" t="str" cm="1">
        <f t="array" ref="G4118">IFERROR(INDEX(EmployeeData[Join Date], ROW() - 37), "")</f>
        <v/>
      </c>
      <c r="H4118" s="6"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6" t="str" cm="1">
        <f t="array" ref="G4119">IFERROR(INDEX(EmployeeData[Join Date], ROW() - 37), "")</f>
        <v/>
      </c>
      <c r="H4119" s="6"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6" t="str" cm="1">
        <f t="array" ref="G4120">IFERROR(INDEX(EmployeeData[Join Date], ROW() - 37), "")</f>
        <v/>
      </c>
      <c r="H4120" s="6"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6" t="str" cm="1">
        <f t="array" ref="G4121">IFERROR(INDEX(EmployeeData[Join Date], ROW() - 37), "")</f>
        <v/>
      </c>
      <c r="H4121" s="6"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6" t="str" cm="1">
        <f t="array" ref="G4122">IFERROR(INDEX(EmployeeData[Join Date], ROW() - 37), "")</f>
        <v/>
      </c>
      <c r="H4122" s="6"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6" t="str" cm="1">
        <f t="array" ref="G4123">IFERROR(INDEX(EmployeeData[Join Date], ROW() - 37), "")</f>
        <v/>
      </c>
      <c r="H4123" s="6"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6" t="str" cm="1">
        <f t="array" ref="G4124">IFERROR(INDEX(EmployeeData[Join Date], ROW() - 37), "")</f>
        <v/>
      </c>
      <c r="H4124" s="6"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6" t="str" cm="1">
        <f t="array" ref="G4125">IFERROR(INDEX(EmployeeData[Join Date], ROW() - 37), "")</f>
        <v/>
      </c>
      <c r="H4125" s="6"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6" t="str" cm="1">
        <f t="array" ref="G4126">IFERROR(INDEX(EmployeeData[Join Date], ROW() - 37), "")</f>
        <v/>
      </c>
      <c r="H4126" s="6"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6" t="str" cm="1">
        <f t="array" ref="G4127">IFERROR(INDEX(EmployeeData[Join Date], ROW() - 37), "")</f>
        <v/>
      </c>
      <c r="H4127" s="6"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6" t="str" cm="1">
        <f t="array" ref="G4128">IFERROR(INDEX(EmployeeData[Join Date], ROW() - 37), "")</f>
        <v/>
      </c>
      <c r="H4128" s="6"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6" t="str" cm="1">
        <f t="array" ref="G4129">IFERROR(INDEX(EmployeeData[Join Date], ROW() - 37), "")</f>
        <v/>
      </c>
      <c r="H4129" s="6"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6" t="str" cm="1">
        <f t="array" ref="G4130">IFERROR(INDEX(EmployeeData[Join Date], ROW() - 37), "")</f>
        <v/>
      </c>
      <c r="H4130" s="6"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6" t="str" cm="1">
        <f t="array" ref="G4131">IFERROR(INDEX(EmployeeData[Join Date], ROW() - 37), "")</f>
        <v/>
      </c>
      <c r="H4131" s="6"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6" t="str" cm="1">
        <f t="array" ref="G4132">IFERROR(INDEX(EmployeeData[Join Date], ROW() - 37), "")</f>
        <v/>
      </c>
      <c r="H4132" s="6"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6" t="str" cm="1">
        <f t="array" ref="G4133">IFERROR(INDEX(EmployeeData[Join Date], ROW() - 37), "")</f>
        <v/>
      </c>
      <c r="H4133" s="6"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6" t="str" cm="1">
        <f t="array" ref="G4134">IFERROR(INDEX(EmployeeData[Join Date], ROW() - 37), "")</f>
        <v/>
      </c>
      <c r="H4134" s="6"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6" t="str" cm="1">
        <f t="array" ref="G4135">IFERROR(INDEX(EmployeeData[Join Date], ROW() - 37), "")</f>
        <v/>
      </c>
      <c r="H4135" s="6"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6" t="str" cm="1">
        <f t="array" ref="G4136">IFERROR(INDEX(EmployeeData[Join Date], ROW() - 37), "")</f>
        <v/>
      </c>
      <c r="H4136" s="6"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6" t="str" cm="1">
        <f t="array" ref="G4137">IFERROR(INDEX(EmployeeData[Join Date], ROW() - 37), "")</f>
        <v/>
      </c>
      <c r="H4137" s="6"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6" t="str" cm="1">
        <f t="array" ref="G4138">IFERROR(INDEX(EmployeeData[Join Date], ROW() - 37), "")</f>
        <v/>
      </c>
      <c r="H4138" s="6"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6" t="str" cm="1">
        <f t="array" ref="G4139">IFERROR(INDEX(EmployeeData[Join Date], ROW() - 37), "")</f>
        <v/>
      </c>
      <c r="H4139" s="6"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6" t="str" cm="1">
        <f t="array" ref="G4140">IFERROR(INDEX(EmployeeData[Join Date], ROW() - 37), "")</f>
        <v/>
      </c>
      <c r="H4140" s="6"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6" t="str" cm="1">
        <f t="array" ref="G4141">IFERROR(INDEX(EmployeeData[Join Date], ROW() - 37), "")</f>
        <v/>
      </c>
      <c r="H4141" s="6"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6" t="str" cm="1">
        <f t="array" ref="G4142">IFERROR(INDEX(EmployeeData[Join Date], ROW() - 37), "")</f>
        <v/>
      </c>
      <c r="H4142" s="6"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6" t="str" cm="1">
        <f t="array" ref="G4143">IFERROR(INDEX(EmployeeData[Join Date], ROW() - 37), "")</f>
        <v/>
      </c>
      <c r="H4143" s="6"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6" t="str" cm="1">
        <f t="array" ref="G4144">IFERROR(INDEX(EmployeeData[Join Date], ROW() - 37), "")</f>
        <v/>
      </c>
      <c r="H4144" s="6"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6" t="str" cm="1">
        <f t="array" ref="G4145">IFERROR(INDEX(EmployeeData[Join Date], ROW() - 37), "")</f>
        <v/>
      </c>
      <c r="H4145" s="6"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6" t="str" cm="1">
        <f t="array" ref="G4146">IFERROR(INDEX(EmployeeData[Join Date], ROW() - 37), "")</f>
        <v/>
      </c>
      <c r="H4146" s="6"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6" t="str" cm="1">
        <f t="array" ref="G4147">IFERROR(INDEX(EmployeeData[Join Date], ROW() - 37), "")</f>
        <v/>
      </c>
      <c r="H4147" s="6"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6" t="str" cm="1">
        <f t="array" ref="G4148">IFERROR(INDEX(EmployeeData[Join Date], ROW() - 37), "")</f>
        <v/>
      </c>
      <c r="H4148" s="6"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6" t="str" cm="1">
        <f t="array" ref="G4149">IFERROR(INDEX(EmployeeData[Join Date], ROW() - 37), "")</f>
        <v/>
      </c>
      <c r="H4149" s="6"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6" t="str" cm="1">
        <f t="array" ref="G4150">IFERROR(INDEX(EmployeeData[Join Date], ROW() - 37), "")</f>
        <v/>
      </c>
      <c r="H4150" s="6"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6" t="str" cm="1">
        <f t="array" ref="G4151">IFERROR(INDEX(EmployeeData[Join Date], ROW() - 37), "")</f>
        <v/>
      </c>
      <c r="H4151" s="6"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6" t="str" cm="1">
        <f t="array" ref="G4152">IFERROR(INDEX(EmployeeData[Join Date], ROW() - 37), "")</f>
        <v/>
      </c>
      <c r="H4152" s="6"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6" t="str" cm="1">
        <f t="array" ref="G4153">IFERROR(INDEX(EmployeeData[Join Date], ROW() - 37), "")</f>
        <v/>
      </c>
      <c r="H4153" s="6"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6" t="str" cm="1">
        <f t="array" ref="G4154">IFERROR(INDEX(EmployeeData[Join Date], ROW() - 37), "")</f>
        <v/>
      </c>
      <c r="H4154" s="6"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6" t="str" cm="1">
        <f t="array" ref="G4155">IFERROR(INDEX(EmployeeData[Join Date], ROW() - 37), "")</f>
        <v/>
      </c>
      <c r="H4155" s="6"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6" t="str" cm="1">
        <f t="array" ref="G4156">IFERROR(INDEX(EmployeeData[Join Date], ROW() - 37), "")</f>
        <v/>
      </c>
      <c r="H4156" s="6"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6" t="str" cm="1">
        <f t="array" ref="G4157">IFERROR(INDEX(EmployeeData[Join Date], ROW() - 37), "")</f>
        <v/>
      </c>
      <c r="H4157" s="6"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6" t="str" cm="1">
        <f t="array" ref="G4158">IFERROR(INDEX(EmployeeData[Join Date], ROW() - 37), "")</f>
        <v/>
      </c>
      <c r="H4158" s="6"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6" t="str" cm="1">
        <f t="array" ref="G4159">IFERROR(INDEX(EmployeeData[Join Date], ROW() - 37), "")</f>
        <v/>
      </c>
      <c r="H4159" s="6"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6" t="str" cm="1">
        <f t="array" ref="G4160">IFERROR(INDEX(EmployeeData[Join Date], ROW() - 37), "")</f>
        <v/>
      </c>
      <c r="H4160" s="6"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6" t="str" cm="1">
        <f t="array" ref="G4161">IFERROR(INDEX(EmployeeData[Join Date], ROW() - 37), "")</f>
        <v/>
      </c>
      <c r="H4161" s="6"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6" t="str" cm="1">
        <f t="array" ref="G4162">IFERROR(INDEX(EmployeeData[Join Date], ROW() - 37), "")</f>
        <v/>
      </c>
      <c r="H4162" s="6"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6" t="str" cm="1">
        <f t="array" ref="G4163">IFERROR(INDEX(EmployeeData[Join Date], ROW() - 37), "")</f>
        <v/>
      </c>
      <c r="H4163" s="6"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6" t="str" cm="1">
        <f t="array" ref="G4164">IFERROR(INDEX(EmployeeData[Join Date], ROW() - 37), "")</f>
        <v/>
      </c>
      <c r="H4164" s="6"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6" t="str" cm="1">
        <f t="array" ref="G4165">IFERROR(INDEX(EmployeeData[Join Date], ROW() - 37), "")</f>
        <v/>
      </c>
      <c r="H4165" s="6"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6" t="str" cm="1">
        <f t="array" ref="G4166">IFERROR(INDEX(EmployeeData[Join Date], ROW() - 37), "")</f>
        <v/>
      </c>
      <c r="H4166" s="6"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6" t="str" cm="1">
        <f t="array" ref="G4167">IFERROR(INDEX(EmployeeData[Join Date], ROW() - 37), "")</f>
        <v/>
      </c>
      <c r="H4167" s="6"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6" t="str" cm="1">
        <f t="array" ref="G4168">IFERROR(INDEX(EmployeeData[Join Date], ROW() - 37), "")</f>
        <v/>
      </c>
      <c r="H4168" s="6"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6" t="str" cm="1">
        <f t="array" ref="G4169">IFERROR(INDEX(EmployeeData[Join Date], ROW() - 37), "")</f>
        <v/>
      </c>
      <c r="H4169" s="6"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6" t="str" cm="1">
        <f t="array" ref="G4170">IFERROR(INDEX(EmployeeData[Join Date], ROW() - 37), "")</f>
        <v/>
      </c>
      <c r="H4170" s="6"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6" t="str" cm="1">
        <f t="array" ref="G4171">IFERROR(INDEX(EmployeeData[Join Date], ROW() - 37), "")</f>
        <v/>
      </c>
      <c r="H4171" s="6"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6" t="str" cm="1">
        <f t="array" ref="G4172">IFERROR(INDEX(EmployeeData[Join Date], ROW() - 37), "")</f>
        <v/>
      </c>
      <c r="H4172" s="6"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6" t="str" cm="1">
        <f t="array" ref="G4173">IFERROR(INDEX(EmployeeData[Join Date], ROW() - 37), "")</f>
        <v/>
      </c>
      <c r="H4173" s="6"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6" t="str" cm="1">
        <f t="array" ref="G4174">IFERROR(INDEX(EmployeeData[Join Date], ROW() - 37), "")</f>
        <v/>
      </c>
      <c r="H4174" s="6"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6" t="str" cm="1">
        <f t="array" ref="G4175">IFERROR(INDEX(EmployeeData[Join Date], ROW() - 37), "")</f>
        <v/>
      </c>
      <c r="H4175" s="6"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6" t="str" cm="1">
        <f t="array" ref="G4176">IFERROR(INDEX(EmployeeData[Join Date], ROW() - 37), "")</f>
        <v/>
      </c>
      <c r="H4176" s="6"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6" t="str" cm="1">
        <f t="array" ref="G4177">IFERROR(INDEX(EmployeeData[Join Date], ROW() - 37), "")</f>
        <v/>
      </c>
      <c r="H4177" s="6"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6" t="str" cm="1">
        <f t="array" ref="G4178">IFERROR(INDEX(EmployeeData[Join Date], ROW() - 37), "")</f>
        <v/>
      </c>
      <c r="H4178" s="6"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6" t="str" cm="1">
        <f t="array" ref="G4179">IFERROR(INDEX(EmployeeData[Join Date], ROW() - 37), "")</f>
        <v/>
      </c>
      <c r="H4179" s="6"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6" t="str" cm="1">
        <f t="array" ref="G4180">IFERROR(INDEX(EmployeeData[Join Date], ROW() - 37), "")</f>
        <v/>
      </c>
      <c r="H4180" s="6"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6" t="str" cm="1">
        <f t="array" ref="G4181">IFERROR(INDEX(EmployeeData[Join Date], ROW() - 37), "")</f>
        <v/>
      </c>
      <c r="H4181" s="6"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6" t="str" cm="1">
        <f t="array" ref="G4182">IFERROR(INDEX(EmployeeData[Join Date], ROW() - 37), "")</f>
        <v/>
      </c>
      <c r="H4182" s="6"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6" t="str" cm="1">
        <f t="array" ref="G4183">IFERROR(INDEX(EmployeeData[Join Date], ROW() - 37), "")</f>
        <v/>
      </c>
      <c r="H4183" s="6"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6" t="str" cm="1">
        <f t="array" ref="G4184">IFERROR(INDEX(EmployeeData[Join Date], ROW() - 37), "")</f>
        <v/>
      </c>
      <c r="H4184" s="6"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6" t="str" cm="1">
        <f t="array" ref="G4185">IFERROR(INDEX(EmployeeData[Join Date], ROW() - 37), "")</f>
        <v/>
      </c>
      <c r="H4185" s="6"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6" t="str" cm="1">
        <f t="array" ref="G4186">IFERROR(INDEX(EmployeeData[Join Date], ROW() - 37), "")</f>
        <v/>
      </c>
      <c r="H4186" s="6"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6" t="str" cm="1">
        <f t="array" ref="G4187">IFERROR(INDEX(EmployeeData[Join Date], ROW() - 37), "")</f>
        <v/>
      </c>
      <c r="H4187" s="6"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6" t="str" cm="1">
        <f t="array" ref="G4188">IFERROR(INDEX(EmployeeData[Join Date], ROW() - 37), "")</f>
        <v/>
      </c>
      <c r="H4188" s="6"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6" t="str" cm="1">
        <f t="array" ref="G4189">IFERROR(INDEX(EmployeeData[Join Date], ROW() - 37), "")</f>
        <v/>
      </c>
      <c r="H4189" s="6"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6" t="str" cm="1">
        <f t="array" ref="G4190">IFERROR(INDEX(EmployeeData[Join Date], ROW() - 37), "")</f>
        <v/>
      </c>
      <c r="H4190" s="6"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6" t="str" cm="1">
        <f t="array" ref="G4191">IFERROR(INDEX(EmployeeData[Join Date], ROW() - 37), "")</f>
        <v/>
      </c>
      <c r="H4191" s="6"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6" t="str" cm="1">
        <f t="array" ref="G4192">IFERROR(INDEX(EmployeeData[Join Date], ROW() - 37), "")</f>
        <v/>
      </c>
      <c r="H4192" s="6"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6" t="str" cm="1">
        <f t="array" ref="G4193">IFERROR(INDEX(EmployeeData[Join Date], ROW() - 37), "")</f>
        <v/>
      </c>
      <c r="H4193" s="6"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6" t="str" cm="1">
        <f t="array" ref="G4194">IFERROR(INDEX(EmployeeData[Join Date], ROW() - 37), "")</f>
        <v/>
      </c>
      <c r="H4194" s="6"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6" t="str" cm="1">
        <f t="array" ref="G4195">IFERROR(INDEX(EmployeeData[Join Date], ROW() - 37), "")</f>
        <v/>
      </c>
      <c r="H4195" s="6"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6" t="str" cm="1">
        <f t="array" ref="G4196">IFERROR(INDEX(EmployeeData[Join Date], ROW() - 37), "")</f>
        <v/>
      </c>
      <c r="H4196" s="6"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6" t="str" cm="1">
        <f t="array" ref="G4197">IFERROR(INDEX(EmployeeData[Join Date], ROW() - 37), "")</f>
        <v/>
      </c>
      <c r="H4197" s="6"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6" t="str" cm="1">
        <f t="array" ref="G4198">IFERROR(INDEX(EmployeeData[Join Date], ROW() - 37), "")</f>
        <v/>
      </c>
      <c r="H4198" s="6"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6" t="str" cm="1">
        <f t="array" ref="G4199">IFERROR(INDEX(EmployeeData[Join Date], ROW() - 37), "")</f>
        <v/>
      </c>
      <c r="H4199" s="6"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6" t="str" cm="1">
        <f t="array" ref="G4200">IFERROR(INDEX(EmployeeData[Join Date], ROW() - 37), "")</f>
        <v/>
      </c>
      <c r="H4200" s="6"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6" t="str" cm="1">
        <f t="array" ref="G4201">IFERROR(INDEX(EmployeeData[Join Date], ROW() - 37), "")</f>
        <v/>
      </c>
      <c r="H4201" s="6"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6" t="str" cm="1">
        <f t="array" ref="G4202">IFERROR(INDEX(EmployeeData[Join Date], ROW() - 37), "")</f>
        <v/>
      </c>
      <c r="H4202" s="6"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6" t="str" cm="1">
        <f t="array" ref="G4203">IFERROR(INDEX(EmployeeData[Join Date], ROW() - 37), "")</f>
        <v/>
      </c>
      <c r="H4203" s="6"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6" t="str" cm="1">
        <f t="array" ref="G4204">IFERROR(INDEX(EmployeeData[Join Date], ROW() - 37), "")</f>
        <v/>
      </c>
      <c r="H4204" s="6"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6" t="str" cm="1">
        <f t="array" ref="G4205">IFERROR(INDEX(EmployeeData[Join Date], ROW() - 37), "")</f>
        <v/>
      </c>
      <c r="H4205" s="6"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6" t="str" cm="1">
        <f t="array" ref="G4206">IFERROR(INDEX(EmployeeData[Join Date], ROW() - 37), "")</f>
        <v/>
      </c>
      <c r="H4206" s="6"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6" t="str" cm="1">
        <f t="array" ref="G4207">IFERROR(INDEX(EmployeeData[Join Date], ROW() - 37), "")</f>
        <v/>
      </c>
      <c r="H4207" s="6"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6" t="str" cm="1">
        <f t="array" ref="G4208">IFERROR(INDEX(EmployeeData[Join Date], ROW() - 37), "")</f>
        <v/>
      </c>
      <c r="H4208" s="6"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6" t="str" cm="1">
        <f t="array" ref="G4209">IFERROR(INDEX(EmployeeData[Join Date], ROW() - 37), "")</f>
        <v/>
      </c>
      <c r="H4209" s="6"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6" t="str" cm="1">
        <f t="array" ref="G4210">IFERROR(INDEX(EmployeeData[Join Date], ROW() - 37), "")</f>
        <v/>
      </c>
      <c r="H4210" s="6"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6" t="str" cm="1">
        <f t="array" ref="G4211">IFERROR(INDEX(EmployeeData[Join Date], ROW() - 37), "")</f>
        <v/>
      </c>
      <c r="H4211" s="6"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6" t="str" cm="1">
        <f t="array" ref="G4212">IFERROR(INDEX(EmployeeData[Join Date], ROW() - 37), "")</f>
        <v/>
      </c>
      <c r="H4212" s="6"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6" t="str" cm="1">
        <f t="array" ref="G4213">IFERROR(INDEX(EmployeeData[Join Date], ROW() - 37), "")</f>
        <v/>
      </c>
      <c r="H4213" s="6"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6" t="str" cm="1">
        <f t="array" ref="G4214">IFERROR(INDEX(EmployeeData[Join Date], ROW() - 37), "")</f>
        <v/>
      </c>
      <c r="H4214" s="6"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6" t="str" cm="1">
        <f t="array" ref="G4215">IFERROR(INDEX(EmployeeData[Join Date], ROW() - 37), "")</f>
        <v/>
      </c>
      <c r="H4215" s="6"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6" t="str" cm="1">
        <f t="array" ref="G4216">IFERROR(INDEX(EmployeeData[Join Date], ROW() - 37), "")</f>
        <v/>
      </c>
      <c r="H4216" s="6"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6" t="str" cm="1">
        <f t="array" ref="G4217">IFERROR(INDEX(EmployeeData[Join Date], ROW() - 37), "")</f>
        <v/>
      </c>
      <c r="H4217" s="6"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6" t="str" cm="1">
        <f t="array" ref="G4218">IFERROR(INDEX(EmployeeData[Join Date], ROW() - 37), "")</f>
        <v/>
      </c>
      <c r="H4218" s="6"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6" t="str" cm="1">
        <f t="array" ref="G4219">IFERROR(INDEX(EmployeeData[Join Date], ROW() - 37), "")</f>
        <v/>
      </c>
      <c r="H4219" s="6"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6" t="str" cm="1">
        <f t="array" ref="G4220">IFERROR(INDEX(EmployeeData[Join Date], ROW() - 37), "")</f>
        <v/>
      </c>
      <c r="H4220" s="6"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6" t="str" cm="1">
        <f t="array" ref="G4221">IFERROR(INDEX(EmployeeData[Join Date], ROW() - 37), "")</f>
        <v/>
      </c>
      <c r="H4221" s="6"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6" t="str" cm="1">
        <f t="array" ref="G4222">IFERROR(INDEX(EmployeeData[Join Date], ROW() - 37), "")</f>
        <v/>
      </c>
      <c r="H4222" s="6"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6" t="str" cm="1">
        <f t="array" ref="G4223">IFERROR(INDEX(EmployeeData[Join Date], ROW() - 37), "")</f>
        <v/>
      </c>
      <c r="H4223" s="6"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6" t="str" cm="1">
        <f t="array" ref="G4224">IFERROR(INDEX(EmployeeData[Join Date], ROW() - 37), "")</f>
        <v/>
      </c>
      <c r="H4224" s="6"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6" t="str" cm="1">
        <f t="array" ref="G4225">IFERROR(INDEX(EmployeeData[Join Date], ROW() - 37), "")</f>
        <v/>
      </c>
      <c r="H4225" s="6"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6" t="str" cm="1">
        <f t="array" ref="G4226">IFERROR(INDEX(EmployeeData[Join Date], ROW() - 37), "")</f>
        <v/>
      </c>
      <c r="H4226" s="6"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6" t="str" cm="1">
        <f t="array" ref="G4227">IFERROR(INDEX(EmployeeData[Join Date], ROW() - 37), "")</f>
        <v/>
      </c>
      <c r="H4227" s="6"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6" t="str" cm="1">
        <f t="array" ref="G4228">IFERROR(INDEX(EmployeeData[Join Date], ROW() - 37), "")</f>
        <v/>
      </c>
      <c r="H4228" s="6"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6" t="str" cm="1">
        <f t="array" ref="G4229">IFERROR(INDEX(EmployeeData[Join Date], ROW() - 37), "")</f>
        <v/>
      </c>
      <c r="H4229" s="6"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6" t="str" cm="1">
        <f t="array" ref="G4230">IFERROR(INDEX(EmployeeData[Join Date], ROW() - 37), "")</f>
        <v/>
      </c>
      <c r="H4230" s="6"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6" t="str" cm="1">
        <f t="array" ref="G4231">IFERROR(INDEX(EmployeeData[Join Date], ROW() - 37), "")</f>
        <v/>
      </c>
      <c r="H4231" s="6"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6" t="str" cm="1">
        <f t="array" ref="G4232">IFERROR(INDEX(EmployeeData[Join Date], ROW() - 37), "")</f>
        <v/>
      </c>
      <c r="H4232" s="6"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6" t="str" cm="1">
        <f t="array" ref="G4233">IFERROR(INDEX(EmployeeData[Join Date], ROW() - 37), "")</f>
        <v/>
      </c>
      <c r="H4233" s="6"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6" t="str" cm="1">
        <f t="array" ref="G4234">IFERROR(INDEX(EmployeeData[Join Date], ROW() - 37), "")</f>
        <v/>
      </c>
      <c r="H4234" s="6"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6" t="str" cm="1">
        <f t="array" ref="G4235">IFERROR(INDEX(EmployeeData[Join Date], ROW() - 37), "")</f>
        <v/>
      </c>
      <c r="H4235" s="6"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6" t="str" cm="1">
        <f t="array" ref="G4236">IFERROR(INDEX(EmployeeData[Join Date], ROW() - 37), "")</f>
        <v/>
      </c>
      <c r="H4236" s="6"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6" t="str" cm="1">
        <f t="array" ref="G4237">IFERROR(INDEX(EmployeeData[Join Date], ROW() - 37), "")</f>
        <v/>
      </c>
      <c r="H4237" s="6"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6" t="str" cm="1">
        <f t="array" ref="G4238">IFERROR(INDEX(EmployeeData[Join Date], ROW() - 37), "")</f>
        <v/>
      </c>
      <c r="H4238" s="6"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6" t="str" cm="1">
        <f t="array" ref="G4239">IFERROR(INDEX(EmployeeData[Join Date], ROW() - 37), "")</f>
        <v/>
      </c>
      <c r="H4239" s="6"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6" t="str" cm="1">
        <f t="array" ref="G4240">IFERROR(INDEX(EmployeeData[Join Date], ROW() - 37), "")</f>
        <v/>
      </c>
      <c r="H4240" s="6"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6" t="str" cm="1">
        <f t="array" ref="G4241">IFERROR(INDEX(EmployeeData[Join Date], ROW() - 37), "")</f>
        <v/>
      </c>
      <c r="H4241" s="6"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6" t="str" cm="1">
        <f t="array" ref="G4242">IFERROR(INDEX(EmployeeData[Join Date], ROW() - 37), "")</f>
        <v/>
      </c>
      <c r="H4242" s="6"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6" t="str" cm="1">
        <f t="array" ref="G4243">IFERROR(INDEX(EmployeeData[Join Date], ROW() - 37), "")</f>
        <v/>
      </c>
      <c r="H4243" s="6"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6" t="str" cm="1">
        <f t="array" ref="G4244">IFERROR(INDEX(EmployeeData[Join Date], ROW() - 37), "")</f>
        <v/>
      </c>
      <c r="H4244" s="6"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6" t="str" cm="1">
        <f t="array" ref="G4245">IFERROR(INDEX(EmployeeData[Join Date], ROW() - 37), "")</f>
        <v/>
      </c>
      <c r="H4245" s="6"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6" t="str" cm="1">
        <f t="array" ref="G4246">IFERROR(INDEX(EmployeeData[Join Date], ROW() - 37), "")</f>
        <v/>
      </c>
      <c r="H4246" s="6"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6" t="str" cm="1">
        <f t="array" ref="G4247">IFERROR(INDEX(EmployeeData[Join Date], ROW() - 37), "")</f>
        <v/>
      </c>
      <c r="H4247" s="6"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6" t="str" cm="1">
        <f t="array" ref="G4248">IFERROR(INDEX(EmployeeData[Join Date], ROW() - 37), "")</f>
        <v/>
      </c>
      <c r="H4248" s="6"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6" t="str" cm="1">
        <f t="array" ref="G4249">IFERROR(INDEX(EmployeeData[Join Date], ROW() - 37), "")</f>
        <v/>
      </c>
      <c r="H4249" s="6"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6" t="str" cm="1">
        <f t="array" ref="G4250">IFERROR(INDEX(EmployeeData[Join Date], ROW() - 37), "")</f>
        <v/>
      </c>
      <c r="H4250" s="6"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6" t="str" cm="1">
        <f t="array" ref="G4251">IFERROR(INDEX(EmployeeData[Join Date], ROW() - 37), "")</f>
        <v/>
      </c>
      <c r="H4251" s="6"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6" t="str" cm="1">
        <f t="array" ref="G4252">IFERROR(INDEX(EmployeeData[Join Date], ROW() - 37), "")</f>
        <v/>
      </c>
      <c r="H4252" s="6"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6" t="str" cm="1">
        <f t="array" ref="G4253">IFERROR(INDEX(EmployeeData[Join Date], ROW() - 37), "")</f>
        <v/>
      </c>
      <c r="H4253" s="6"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6" t="str" cm="1">
        <f t="array" ref="G4254">IFERROR(INDEX(EmployeeData[Join Date], ROW() - 37), "")</f>
        <v/>
      </c>
      <c r="H4254" s="6"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6" t="str" cm="1">
        <f t="array" ref="G4255">IFERROR(INDEX(EmployeeData[Join Date], ROW() - 37), "")</f>
        <v/>
      </c>
      <c r="H4255" s="6"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6" t="str" cm="1">
        <f t="array" ref="G4256">IFERROR(INDEX(EmployeeData[Join Date], ROW() - 37), "")</f>
        <v/>
      </c>
      <c r="H4256" s="6"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6" t="str" cm="1">
        <f t="array" ref="G4257">IFERROR(INDEX(EmployeeData[Join Date], ROW() - 37), "")</f>
        <v/>
      </c>
      <c r="H4257" s="6"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6" t="str" cm="1">
        <f t="array" ref="G4258">IFERROR(INDEX(EmployeeData[Join Date], ROW() - 37), "")</f>
        <v/>
      </c>
      <c r="H4258" s="6"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6" t="str" cm="1">
        <f t="array" ref="G4259">IFERROR(INDEX(EmployeeData[Join Date], ROW() - 37), "")</f>
        <v/>
      </c>
      <c r="H4259" s="6"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6" t="str" cm="1">
        <f t="array" ref="G4260">IFERROR(INDEX(EmployeeData[Join Date], ROW() - 37), "")</f>
        <v/>
      </c>
      <c r="H4260" s="6"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6" t="str" cm="1">
        <f t="array" ref="G4261">IFERROR(INDEX(EmployeeData[Join Date], ROW() - 37), "")</f>
        <v/>
      </c>
      <c r="H4261" s="6"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6" t="str" cm="1">
        <f t="array" ref="G4262">IFERROR(INDEX(EmployeeData[Join Date], ROW() - 37), "")</f>
        <v/>
      </c>
      <c r="H4262" s="6"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6" t="str" cm="1">
        <f t="array" ref="G4263">IFERROR(INDEX(EmployeeData[Join Date], ROW() - 37), "")</f>
        <v/>
      </c>
      <c r="H4263" s="6"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6" t="str" cm="1">
        <f t="array" ref="G4264">IFERROR(INDEX(EmployeeData[Join Date], ROW() - 37), "")</f>
        <v/>
      </c>
      <c r="H4264" s="6"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6" t="str" cm="1">
        <f t="array" ref="G4265">IFERROR(INDEX(EmployeeData[Join Date], ROW() - 37), "")</f>
        <v/>
      </c>
      <c r="H4265" s="6"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6" t="str" cm="1">
        <f t="array" ref="G4266">IFERROR(INDEX(EmployeeData[Join Date], ROW() - 37), "")</f>
        <v/>
      </c>
      <c r="H4266" s="6"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6" t="str" cm="1">
        <f t="array" ref="G4267">IFERROR(INDEX(EmployeeData[Join Date], ROW() - 37), "")</f>
        <v/>
      </c>
      <c r="H4267" s="6"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6" t="str" cm="1">
        <f t="array" ref="G4268">IFERROR(INDEX(EmployeeData[Join Date], ROW() - 37), "")</f>
        <v/>
      </c>
      <c r="H4268" s="6"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6" t="str" cm="1">
        <f t="array" ref="G4269">IFERROR(INDEX(EmployeeData[Join Date], ROW() - 37), "")</f>
        <v/>
      </c>
      <c r="H4269" s="6"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6" t="str" cm="1">
        <f t="array" ref="G4270">IFERROR(INDEX(EmployeeData[Join Date], ROW() - 37), "")</f>
        <v/>
      </c>
      <c r="H4270" s="6"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6" t="str" cm="1">
        <f t="array" ref="G4271">IFERROR(INDEX(EmployeeData[Join Date], ROW() - 37), "")</f>
        <v/>
      </c>
      <c r="H4271" s="6"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6" t="str" cm="1">
        <f t="array" ref="G4272">IFERROR(INDEX(EmployeeData[Join Date], ROW() - 37), "")</f>
        <v/>
      </c>
      <c r="H4272" s="6"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6" t="str" cm="1">
        <f t="array" ref="G4273">IFERROR(INDEX(EmployeeData[Join Date], ROW() - 37), "")</f>
        <v/>
      </c>
      <c r="H4273" s="6"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6" t="str" cm="1">
        <f t="array" ref="G4274">IFERROR(INDEX(EmployeeData[Join Date], ROW() - 37), "")</f>
        <v/>
      </c>
      <c r="H4274" s="6"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6" t="str" cm="1">
        <f t="array" ref="G4275">IFERROR(INDEX(EmployeeData[Join Date], ROW() - 37), "")</f>
        <v/>
      </c>
      <c r="H4275" s="6"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6" t="str" cm="1">
        <f t="array" ref="G4276">IFERROR(INDEX(EmployeeData[Join Date], ROW() - 37), "")</f>
        <v/>
      </c>
      <c r="H4276" s="6"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6" t="str" cm="1">
        <f t="array" ref="G4277">IFERROR(INDEX(EmployeeData[Join Date], ROW() - 37), "")</f>
        <v/>
      </c>
      <c r="H4277" s="6"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6" t="str" cm="1">
        <f t="array" ref="G4278">IFERROR(INDEX(EmployeeData[Join Date], ROW() - 37), "")</f>
        <v/>
      </c>
      <c r="H4278" s="6"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6" t="str" cm="1">
        <f t="array" ref="G4279">IFERROR(INDEX(EmployeeData[Join Date], ROW() - 37), "")</f>
        <v/>
      </c>
      <c r="H4279" s="6"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6" t="str" cm="1">
        <f t="array" ref="G4280">IFERROR(INDEX(EmployeeData[Join Date], ROW() - 37), "")</f>
        <v/>
      </c>
      <c r="H4280" s="6"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6" t="str" cm="1">
        <f t="array" ref="G4281">IFERROR(INDEX(EmployeeData[Join Date], ROW() - 37), "")</f>
        <v/>
      </c>
      <c r="H4281" s="6"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6" t="str" cm="1">
        <f t="array" ref="G4282">IFERROR(INDEX(EmployeeData[Join Date], ROW() - 37), "")</f>
        <v/>
      </c>
      <c r="H4282" s="6"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6" t="str" cm="1">
        <f t="array" ref="G4283">IFERROR(INDEX(EmployeeData[Join Date], ROW() - 37), "")</f>
        <v/>
      </c>
      <c r="H4283" s="6"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6" t="str" cm="1">
        <f t="array" ref="G4284">IFERROR(INDEX(EmployeeData[Join Date], ROW() - 37), "")</f>
        <v/>
      </c>
      <c r="H4284" s="6"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6" t="str" cm="1">
        <f t="array" ref="G4285">IFERROR(INDEX(EmployeeData[Join Date], ROW() - 37), "")</f>
        <v/>
      </c>
      <c r="H4285" s="6"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6" t="str" cm="1">
        <f t="array" ref="G4286">IFERROR(INDEX(EmployeeData[Join Date], ROW() - 37), "")</f>
        <v/>
      </c>
      <c r="H4286" s="6"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6" t="str" cm="1">
        <f t="array" ref="G4287">IFERROR(INDEX(EmployeeData[Join Date], ROW() - 37), "")</f>
        <v/>
      </c>
      <c r="H4287" s="6"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6" t="str" cm="1">
        <f t="array" ref="G4288">IFERROR(INDEX(EmployeeData[Join Date], ROW() - 37), "")</f>
        <v/>
      </c>
      <c r="H4288" s="6"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6" t="str" cm="1">
        <f t="array" ref="G4289">IFERROR(INDEX(EmployeeData[Join Date], ROW() - 37), "")</f>
        <v/>
      </c>
      <c r="H4289" s="6"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6" t="str" cm="1">
        <f t="array" ref="G4290">IFERROR(INDEX(EmployeeData[Join Date], ROW() - 37), "")</f>
        <v/>
      </c>
      <c r="H4290" s="6"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6" t="str" cm="1">
        <f t="array" ref="G4291">IFERROR(INDEX(EmployeeData[Join Date], ROW() - 37), "")</f>
        <v/>
      </c>
      <c r="H4291" s="6"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6" t="str" cm="1">
        <f t="array" ref="G4292">IFERROR(INDEX(EmployeeData[Join Date], ROW() - 37), "")</f>
        <v/>
      </c>
      <c r="H4292" s="6"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6" t="str" cm="1">
        <f t="array" ref="G4293">IFERROR(INDEX(EmployeeData[Join Date], ROW() - 37), "")</f>
        <v/>
      </c>
      <c r="H4293" s="6"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6" t="str" cm="1">
        <f t="array" ref="G4294">IFERROR(INDEX(EmployeeData[Join Date], ROW() - 37), "")</f>
        <v/>
      </c>
      <c r="H4294" s="6"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6" t="str" cm="1">
        <f t="array" ref="G4295">IFERROR(INDEX(EmployeeData[Join Date], ROW() - 37), "")</f>
        <v/>
      </c>
      <c r="H4295" s="6"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6" t="str" cm="1">
        <f t="array" ref="G4296">IFERROR(INDEX(EmployeeData[Join Date], ROW() - 37), "")</f>
        <v/>
      </c>
      <c r="H4296" s="6"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6" t="str" cm="1">
        <f t="array" ref="G4297">IFERROR(INDEX(EmployeeData[Join Date], ROW() - 37), "")</f>
        <v/>
      </c>
      <c r="H4297" s="6"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6" t="str" cm="1">
        <f t="array" ref="G4298">IFERROR(INDEX(EmployeeData[Join Date], ROW() - 37), "")</f>
        <v/>
      </c>
      <c r="H4298" s="6"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6" t="str" cm="1">
        <f t="array" ref="G4299">IFERROR(INDEX(EmployeeData[Join Date], ROW() - 37), "")</f>
        <v/>
      </c>
      <c r="H4299" s="6"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6" t="str" cm="1">
        <f t="array" ref="G4300">IFERROR(INDEX(EmployeeData[Join Date], ROW() - 37), "")</f>
        <v/>
      </c>
      <c r="H4300" s="6"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6" t="str" cm="1">
        <f t="array" ref="G4301">IFERROR(INDEX(EmployeeData[Join Date], ROW() - 37), "")</f>
        <v/>
      </c>
      <c r="H4301" s="6"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6" t="str" cm="1">
        <f t="array" ref="G4302">IFERROR(INDEX(EmployeeData[Join Date], ROW() - 37), "")</f>
        <v/>
      </c>
      <c r="H4302" s="6"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6" t="str" cm="1">
        <f t="array" ref="G4303">IFERROR(INDEX(EmployeeData[Join Date], ROW() - 37), "")</f>
        <v/>
      </c>
      <c r="H4303" s="6"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6" t="str" cm="1">
        <f t="array" ref="G4304">IFERROR(INDEX(EmployeeData[Join Date], ROW() - 37), "")</f>
        <v/>
      </c>
      <c r="H4304" s="6"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6" t="str" cm="1">
        <f t="array" ref="G4305">IFERROR(INDEX(EmployeeData[Join Date], ROW() - 37), "")</f>
        <v/>
      </c>
      <c r="H4305" s="6"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6" t="str" cm="1">
        <f t="array" ref="G4306">IFERROR(INDEX(EmployeeData[Join Date], ROW() - 37), "")</f>
        <v/>
      </c>
      <c r="H4306" s="6"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6" t="str" cm="1">
        <f t="array" ref="G4307">IFERROR(INDEX(EmployeeData[Join Date], ROW() - 37), "")</f>
        <v/>
      </c>
      <c r="H4307" s="6"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6" t="str" cm="1">
        <f t="array" ref="G4308">IFERROR(INDEX(EmployeeData[Join Date], ROW() - 37), "")</f>
        <v/>
      </c>
      <c r="H4308" s="6"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6" t="str" cm="1">
        <f t="array" ref="G4309">IFERROR(INDEX(EmployeeData[Join Date], ROW() - 37), "")</f>
        <v/>
      </c>
      <c r="H4309" s="6"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6" t="str" cm="1">
        <f t="array" ref="G4310">IFERROR(INDEX(EmployeeData[Join Date], ROW() - 37), "")</f>
        <v/>
      </c>
      <c r="H4310" s="6"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6" t="str" cm="1">
        <f t="array" ref="G4311">IFERROR(INDEX(EmployeeData[Join Date], ROW() - 37), "")</f>
        <v/>
      </c>
      <c r="H4311" s="6"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6" t="str" cm="1">
        <f t="array" ref="G4312">IFERROR(INDEX(EmployeeData[Join Date], ROW() - 37), "")</f>
        <v/>
      </c>
      <c r="H4312" s="6"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6" t="str" cm="1">
        <f t="array" ref="G4313">IFERROR(INDEX(EmployeeData[Join Date], ROW() - 37), "")</f>
        <v/>
      </c>
      <c r="H4313" s="6"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6" t="str" cm="1">
        <f t="array" ref="G4314">IFERROR(INDEX(EmployeeData[Join Date], ROW() - 37), "")</f>
        <v/>
      </c>
      <c r="H4314" s="6"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6" t="str" cm="1">
        <f t="array" ref="G4315">IFERROR(INDEX(EmployeeData[Join Date], ROW() - 37), "")</f>
        <v/>
      </c>
      <c r="H4315" s="6"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6" t="str" cm="1">
        <f t="array" ref="G4316">IFERROR(INDEX(EmployeeData[Join Date], ROW() - 37), "")</f>
        <v/>
      </c>
      <c r="H4316" s="6"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6" t="str" cm="1">
        <f t="array" ref="G4317">IFERROR(INDEX(EmployeeData[Join Date], ROW() - 37), "")</f>
        <v/>
      </c>
      <c r="H4317" s="6"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6" t="str" cm="1">
        <f t="array" ref="G4318">IFERROR(INDEX(EmployeeData[Join Date], ROW() - 37), "")</f>
        <v/>
      </c>
      <c r="H4318" s="6"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6" t="str" cm="1">
        <f t="array" ref="G4319">IFERROR(INDEX(EmployeeData[Join Date], ROW() - 37), "")</f>
        <v/>
      </c>
      <c r="H4319" s="6"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6" t="str" cm="1">
        <f t="array" ref="G4320">IFERROR(INDEX(EmployeeData[Join Date], ROW() - 37), "")</f>
        <v/>
      </c>
      <c r="H4320" s="6"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6" t="str" cm="1">
        <f t="array" ref="G4321">IFERROR(INDEX(EmployeeData[Join Date], ROW() - 37), "")</f>
        <v/>
      </c>
      <c r="H4321" s="6"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6" t="str" cm="1">
        <f t="array" ref="G4322">IFERROR(INDEX(EmployeeData[Join Date], ROW() - 37), "")</f>
        <v/>
      </c>
      <c r="H4322" s="6"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6" t="str" cm="1">
        <f t="array" ref="G4323">IFERROR(INDEX(EmployeeData[Join Date], ROW() - 37), "")</f>
        <v/>
      </c>
      <c r="H4323" s="6"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6" t="str" cm="1">
        <f t="array" ref="G4324">IFERROR(INDEX(EmployeeData[Join Date], ROW() - 37), "")</f>
        <v/>
      </c>
      <c r="H4324" s="6"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6" t="str" cm="1">
        <f t="array" ref="G4325">IFERROR(INDEX(EmployeeData[Join Date], ROW() - 37), "")</f>
        <v/>
      </c>
      <c r="H4325" s="6"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6" t="str" cm="1">
        <f t="array" ref="G4326">IFERROR(INDEX(EmployeeData[Join Date], ROW() - 37), "")</f>
        <v/>
      </c>
      <c r="H4326" s="6"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6" t="str" cm="1">
        <f t="array" ref="G4327">IFERROR(INDEX(EmployeeData[Join Date], ROW() - 37), "")</f>
        <v/>
      </c>
      <c r="H4327" s="6"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6" t="str" cm="1">
        <f t="array" ref="G4328">IFERROR(INDEX(EmployeeData[Join Date], ROW() - 37), "")</f>
        <v/>
      </c>
      <c r="H4328" s="6"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6" t="str" cm="1">
        <f t="array" ref="G4329">IFERROR(INDEX(EmployeeData[Join Date], ROW() - 37), "")</f>
        <v/>
      </c>
      <c r="H4329" s="6"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6" t="str" cm="1">
        <f t="array" ref="G4330">IFERROR(INDEX(EmployeeData[Join Date], ROW() - 37), "")</f>
        <v/>
      </c>
      <c r="H4330" s="6"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6" t="str" cm="1">
        <f t="array" ref="G4331">IFERROR(INDEX(EmployeeData[Join Date], ROW() - 37), "")</f>
        <v/>
      </c>
      <c r="H4331" s="6"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6" t="str" cm="1">
        <f t="array" ref="G4332">IFERROR(INDEX(EmployeeData[Join Date], ROW() - 37), "")</f>
        <v/>
      </c>
      <c r="H4332" s="6"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6" t="str" cm="1">
        <f t="array" ref="G4333">IFERROR(INDEX(EmployeeData[Join Date], ROW() - 37), "")</f>
        <v/>
      </c>
      <c r="H4333" s="6"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6" t="str" cm="1">
        <f t="array" ref="G4334">IFERROR(INDEX(EmployeeData[Join Date], ROW() - 37), "")</f>
        <v/>
      </c>
      <c r="H4334" s="6"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6" t="str" cm="1">
        <f t="array" ref="G4335">IFERROR(INDEX(EmployeeData[Join Date], ROW() - 37), "")</f>
        <v/>
      </c>
      <c r="H4335" s="6"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6" t="str" cm="1">
        <f t="array" ref="G4336">IFERROR(INDEX(EmployeeData[Join Date], ROW() - 37), "")</f>
        <v/>
      </c>
      <c r="H4336" s="6"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6" t="str" cm="1">
        <f t="array" ref="G4337">IFERROR(INDEX(EmployeeData[Join Date], ROW() - 37), "")</f>
        <v/>
      </c>
      <c r="H4337" s="6"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6" t="str" cm="1">
        <f t="array" ref="G4338">IFERROR(INDEX(EmployeeData[Join Date], ROW() - 37), "")</f>
        <v/>
      </c>
      <c r="H4338" s="6"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6" t="str" cm="1">
        <f t="array" ref="G4339">IFERROR(INDEX(EmployeeData[Join Date], ROW() - 37), "")</f>
        <v/>
      </c>
      <c r="H4339" s="6"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6" t="str" cm="1">
        <f t="array" ref="G4340">IFERROR(INDEX(EmployeeData[Join Date], ROW() - 37), "")</f>
        <v/>
      </c>
      <c r="H4340" s="6"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6" t="str" cm="1">
        <f t="array" ref="G4341">IFERROR(INDEX(EmployeeData[Join Date], ROW() - 37), "")</f>
        <v/>
      </c>
      <c r="H4341" s="6"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6" t="str" cm="1">
        <f t="array" ref="G4342">IFERROR(INDEX(EmployeeData[Join Date], ROW() - 37), "")</f>
        <v/>
      </c>
      <c r="H4342" s="6"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6" t="str" cm="1">
        <f t="array" ref="G4343">IFERROR(INDEX(EmployeeData[Join Date], ROW() - 37), "")</f>
        <v/>
      </c>
      <c r="H4343" s="6"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6" t="str" cm="1">
        <f t="array" ref="G4344">IFERROR(INDEX(EmployeeData[Join Date], ROW() - 37), "")</f>
        <v/>
      </c>
      <c r="H4344" s="6"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6" t="str" cm="1">
        <f t="array" ref="G4345">IFERROR(INDEX(EmployeeData[Join Date], ROW() - 37), "")</f>
        <v/>
      </c>
      <c r="H4345" s="6"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6" t="str" cm="1">
        <f t="array" ref="G4346">IFERROR(INDEX(EmployeeData[Join Date], ROW() - 37), "")</f>
        <v/>
      </c>
      <c r="H4346" s="6"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6" t="str" cm="1">
        <f t="array" ref="G4347">IFERROR(INDEX(EmployeeData[Join Date], ROW() - 37), "")</f>
        <v/>
      </c>
      <c r="H4347" s="6"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6" t="str" cm="1">
        <f t="array" ref="G4348">IFERROR(INDEX(EmployeeData[Join Date], ROW() - 37), "")</f>
        <v/>
      </c>
      <c r="H4348" s="6"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6" t="str" cm="1">
        <f t="array" ref="G4349">IFERROR(INDEX(EmployeeData[Join Date], ROW() - 37), "")</f>
        <v/>
      </c>
      <c r="H4349" s="6"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6" t="str" cm="1">
        <f t="array" ref="G4350">IFERROR(INDEX(EmployeeData[Join Date], ROW() - 37), "")</f>
        <v/>
      </c>
      <c r="H4350" s="6"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6" t="str" cm="1">
        <f t="array" ref="G4351">IFERROR(INDEX(EmployeeData[Join Date], ROW() - 37), "")</f>
        <v/>
      </c>
      <c r="H4351" s="6"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6" t="str" cm="1">
        <f t="array" ref="G4352">IFERROR(INDEX(EmployeeData[Join Date], ROW() - 37), "")</f>
        <v/>
      </c>
      <c r="H4352" s="6"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6" t="str" cm="1">
        <f t="array" ref="G4353">IFERROR(INDEX(EmployeeData[Join Date], ROW() - 37), "")</f>
        <v/>
      </c>
      <c r="H4353" s="6"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6" t="str" cm="1">
        <f t="array" ref="G4354">IFERROR(INDEX(EmployeeData[Join Date], ROW() - 37), "")</f>
        <v/>
      </c>
      <c r="H4354" s="6"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6" t="str" cm="1">
        <f t="array" ref="G4355">IFERROR(INDEX(EmployeeData[Join Date], ROW() - 37), "")</f>
        <v/>
      </c>
      <c r="H4355" s="6"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6" t="str" cm="1">
        <f t="array" ref="G4356">IFERROR(INDEX(EmployeeData[Join Date], ROW() - 37), "")</f>
        <v/>
      </c>
      <c r="H4356" s="6"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6" t="str" cm="1">
        <f t="array" ref="G4357">IFERROR(INDEX(EmployeeData[Join Date], ROW() - 37), "")</f>
        <v/>
      </c>
      <c r="H4357" s="6"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6" t="str" cm="1">
        <f t="array" ref="G4358">IFERROR(INDEX(EmployeeData[Join Date], ROW() - 37), "")</f>
        <v/>
      </c>
      <c r="H4358" s="6"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6" t="str" cm="1">
        <f t="array" ref="G4359">IFERROR(INDEX(EmployeeData[Join Date], ROW() - 37), "")</f>
        <v/>
      </c>
      <c r="H4359" s="6"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6" t="str" cm="1">
        <f t="array" ref="G4360">IFERROR(INDEX(EmployeeData[Join Date], ROW() - 37), "")</f>
        <v/>
      </c>
      <c r="H4360" s="6"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6" t="str" cm="1">
        <f t="array" ref="G4361">IFERROR(INDEX(EmployeeData[Join Date], ROW() - 37), "")</f>
        <v/>
      </c>
      <c r="H4361" s="6"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6" t="str" cm="1">
        <f t="array" ref="G4362">IFERROR(INDEX(EmployeeData[Join Date], ROW() - 37), "")</f>
        <v/>
      </c>
      <c r="H4362" s="6"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6" t="str" cm="1">
        <f t="array" ref="G4363">IFERROR(INDEX(EmployeeData[Join Date], ROW() - 37), "")</f>
        <v/>
      </c>
      <c r="H4363" s="6"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6" t="str" cm="1">
        <f t="array" ref="G4364">IFERROR(INDEX(EmployeeData[Join Date], ROW() - 37), "")</f>
        <v/>
      </c>
      <c r="H4364" s="6"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6" t="str" cm="1">
        <f t="array" ref="G4365">IFERROR(INDEX(EmployeeData[Join Date], ROW() - 37), "")</f>
        <v/>
      </c>
      <c r="H4365" s="6"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6" t="str" cm="1">
        <f t="array" ref="G4366">IFERROR(INDEX(EmployeeData[Join Date], ROW() - 37), "")</f>
        <v/>
      </c>
      <c r="H4366" s="6"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6" t="str" cm="1">
        <f t="array" ref="G4367">IFERROR(INDEX(EmployeeData[Join Date], ROW() - 37), "")</f>
        <v/>
      </c>
      <c r="H4367" s="6"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6" t="str" cm="1">
        <f t="array" ref="G4368">IFERROR(INDEX(EmployeeData[Join Date], ROW() - 37), "")</f>
        <v/>
      </c>
      <c r="H4368" s="6"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6" t="str" cm="1">
        <f t="array" ref="G4369">IFERROR(INDEX(EmployeeData[Join Date], ROW() - 37), "")</f>
        <v/>
      </c>
      <c r="H4369" s="6"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6" t="str" cm="1">
        <f t="array" ref="G4370">IFERROR(INDEX(EmployeeData[Join Date], ROW() - 37), "")</f>
        <v/>
      </c>
      <c r="H4370" s="6"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6" t="str" cm="1">
        <f t="array" ref="G4371">IFERROR(INDEX(EmployeeData[Join Date], ROW() - 37), "")</f>
        <v/>
      </c>
      <c r="H4371" s="6"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6" t="str" cm="1">
        <f t="array" ref="G4372">IFERROR(INDEX(EmployeeData[Join Date], ROW() - 37), "")</f>
        <v/>
      </c>
      <c r="H4372" s="6"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6" t="str" cm="1">
        <f t="array" ref="G4373">IFERROR(INDEX(EmployeeData[Join Date], ROW() - 37), "")</f>
        <v/>
      </c>
      <c r="H4373" s="6"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6" t="str" cm="1">
        <f t="array" ref="G4374">IFERROR(INDEX(EmployeeData[Join Date], ROW() - 37), "")</f>
        <v/>
      </c>
      <c r="H4374" s="6"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6" t="str" cm="1">
        <f t="array" ref="G4375">IFERROR(INDEX(EmployeeData[Join Date], ROW() - 37), "")</f>
        <v/>
      </c>
      <c r="H4375" s="6"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6" t="str" cm="1">
        <f t="array" ref="G4376">IFERROR(INDEX(EmployeeData[Join Date], ROW() - 37), "")</f>
        <v/>
      </c>
      <c r="H4376" s="6"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6" t="str" cm="1">
        <f t="array" ref="G4377">IFERROR(INDEX(EmployeeData[Join Date], ROW() - 37), "")</f>
        <v/>
      </c>
      <c r="H4377" s="6"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6" t="str" cm="1">
        <f t="array" ref="G4378">IFERROR(INDEX(EmployeeData[Join Date], ROW() - 37), "")</f>
        <v/>
      </c>
      <c r="H4378" s="6"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6" t="str" cm="1">
        <f t="array" ref="G4379">IFERROR(INDEX(EmployeeData[Join Date], ROW() - 37), "")</f>
        <v/>
      </c>
      <c r="H4379" s="6"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6" t="str" cm="1">
        <f t="array" ref="G4380">IFERROR(INDEX(EmployeeData[Join Date], ROW() - 37), "")</f>
        <v/>
      </c>
      <c r="H4380" s="6"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6" t="str" cm="1">
        <f t="array" ref="G4381">IFERROR(INDEX(EmployeeData[Join Date], ROW() - 37), "")</f>
        <v/>
      </c>
      <c r="H4381" s="6"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6" t="str" cm="1">
        <f t="array" ref="G4382">IFERROR(INDEX(EmployeeData[Join Date], ROW() - 37), "")</f>
        <v/>
      </c>
      <c r="H4382" s="6"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6" t="str" cm="1">
        <f t="array" ref="G4383">IFERROR(INDEX(EmployeeData[Join Date], ROW() - 37), "")</f>
        <v/>
      </c>
      <c r="H4383" s="6"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6" t="str" cm="1">
        <f t="array" ref="G4384">IFERROR(INDEX(EmployeeData[Join Date], ROW() - 37), "")</f>
        <v/>
      </c>
      <c r="H4384" s="6"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6" t="str" cm="1">
        <f t="array" ref="G4385">IFERROR(INDEX(EmployeeData[Join Date], ROW() - 37), "")</f>
        <v/>
      </c>
      <c r="H4385" s="6"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6" t="str" cm="1">
        <f t="array" ref="G4386">IFERROR(INDEX(EmployeeData[Join Date], ROW() - 37), "")</f>
        <v/>
      </c>
      <c r="H4386" s="6"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6" t="str" cm="1">
        <f t="array" ref="G4387">IFERROR(INDEX(EmployeeData[Join Date], ROW() - 37), "")</f>
        <v/>
      </c>
      <c r="H4387" s="6"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6" t="str" cm="1">
        <f t="array" ref="G4388">IFERROR(INDEX(EmployeeData[Join Date], ROW() - 37), "")</f>
        <v/>
      </c>
      <c r="H4388" s="6"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6" t="str" cm="1">
        <f t="array" ref="G4389">IFERROR(INDEX(EmployeeData[Join Date], ROW() - 37), "")</f>
        <v/>
      </c>
      <c r="H4389" s="6"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6" t="str" cm="1">
        <f t="array" ref="G4390">IFERROR(INDEX(EmployeeData[Join Date], ROW() - 37), "")</f>
        <v/>
      </c>
      <c r="H4390" s="6"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6" t="str" cm="1">
        <f t="array" ref="G4391">IFERROR(INDEX(EmployeeData[Join Date], ROW() - 37), "")</f>
        <v/>
      </c>
      <c r="H4391" s="6"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6" t="str" cm="1">
        <f t="array" ref="G4392">IFERROR(INDEX(EmployeeData[Join Date], ROW() - 37), "")</f>
        <v/>
      </c>
      <c r="H4392" s="6"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6" t="str" cm="1">
        <f t="array" ref="G4393">IFERROR(INDEX(EmployeeData[Join Date], ROW() - 37), "")</f>
        <v/>
      </c>
      <c r="H4393" s="6"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6" t="str" cm="1">
        <f t="array" ref="G4394">IFERROR(INDEX(EmployeeData[Join Date], ROW() - 37), "")</f>
        <v/>
      </c>
      <c r="H4394" s="6"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6" t="str" cm="1">
        <f t="array" ref="G4395">IFERROR(INDEX(EmployeeData[Join Date], ROW() - 37), "")</f>
        <v/>
      </c>
      <c r="H4395" s="6"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6" t="str" cm="1">
        <f t="array" ref="G4396">IFERROR(INDEX(EmployeeData[Join Date], ROW() - 37), "")</f>
        <v/>
      </c>
      <c r="H4396" s="6"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6" t="str" cm="1">
        <f t="array" ref="G4397">IFERROR(INDEX(EmployeeData[Join Date], ROW() - 37), "")</f>
        <v/>
      </c>
      <c r="H4397" s="6"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6" t="str" cm="1">
        <f t="array" ref="G4398">IFERROR(INDEX(EmployeeData[Join Date], ROW() - 37), "")</f>
        <v/>
      </c>
      <c r="H4398" s="6"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6" t="str" cm="1">
        <f t="array" ref="G4399">IFERROR(INDEX(EmployeeData[Join Date], ROW() - 37), "")</f>
        <v/>
      </c>
      <c r="H4399" s="6"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6" t="str" cm="1">
        <f t="array" ref="G4400">IFERROR(INDEX(EmployeeData[Join Date], ROW() - 37), "")</f>
        <v/>
      </c>
      <c r="H4400" s="6"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6" t="str" cm="1">
        <f t="array" ref="G4401">IFERROR(INDEX(EmployeeData[Join Date], ROW() - 37), "")</f>
        <v/>
      </c>
      <c r="H4401" s="6"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6" t="str" cm="1">
        <f t="array" ref="G4402">IFERROR(INDEX(EmployeeData[Join Date], ROW() - 37), "")</f>
        <v/>
      </c>
      <c r="H4402" s="6"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6" t="str" cm="1">
        <f t="array" ref="G4403">IFERROR(INDEX(EmployeeData[Join Date], ROW() - 37), "")</f>
        <v/>
      </c>
      <c r="H4403" s="6"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6" t="str" cm="1">
        <f t="array" ref="G4404">IFERROR(INDEX(EmployeeData[Join Date], ROW() - 37), "")</f>
        <v/>
      </c>
      <c r="H4404" s="6"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6" t="str" cm="1">
        <f t="array" ref="G4405">IFERROR(INDEX(EmployeeData[Join Date], ROW() - 37), "")</f>
        <v/>
      </c>
      <c r="H4405" s="6"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6" t="str" cm="1">
        <f t="array" ref="G4406">IFERROR(INDEX(EmployeeData[Join Date], ROW() - 37), "")</f>
        <v/>
      </c>
      <c r="H4406" s="6"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6" t="str" cm="1">
        <f t="array" ref="G4407">IFERROR(INDEX(EmployeeData[Join Date], ROW() - 37), "")</f>
        <v/>
      </c>
      <c r="H4407" s="6"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6" t="str" cm="1">
        <f t="array" ref="G4408">IFERROR(INDEX(EmployeeData[Join Date], ROW() - 37), "")</f>
        <v/>
      </c>
      <c r="H4408" s="6"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6" t="str" cm="1">
        <f t="array" ref="G4409">IFERROR(INDEX(EmployeeData[Join Date], ROW() - 37), "")</f>
        <v/>
      </c>
      <c r="H4409" s="6"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6" t="str" cm="1">
        <f t="array" ref="G4410">IFERROR(INDEX(EmployeeData[Join Date], ROW() - 37), "")</f>
        <v/>
      </c>
      <c r="H4410" s="6"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6" t="str" cm="1">
        <f t="array" ref="G4411">IFERROR(INDEX(EmployeeData[Join Date], ROW() - 37), "")</f>
        <v/>
      </c>
      <c r="H4411" s="6"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6" t="str" cm="1">
        <f t="array" ref="G4412">IFERROR(INDEX(EmployeeData[Join Date], ROW() - 37), "")</f>
        <v/>
      </c>
      <c r="H4412" s="6"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6" t="str" cm="1">
        <f t="array" ref="G4413">IFERROR(INDEX(EmployeeData[Join Date], ROW() - 37), "")</f>
        <v/>
      </c>
      <c r="H4413" s="6"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6" t="str" cm="1">
        <f t="array" ref="G4414">IFERROR(INDEX(EmployeeData[Join Date], ROW() - 37), "")</f>
        <v/>
      </c>
      <c r="H4414" s="6"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6" t="str" cm="1">
        <f t="array" ref="G4415">IFERROR(INDEX(EmployeeData[Join Date], ROW() - 37), "")</f>
        <v/>
      </c>
      <c r="H4415" s="6"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6" t="str" cm="1">
        <f t="array" ref="G4416">IFERROR(INDEX(EmployeeData[Join Date], ROW() - 37), "")</f>
        <v/>
      </c>
      <c r="H4416" s="6"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6" t="str" cm="1">
        <f t="array" ref="G4417">IFERROR(INDEX(EmployeeData[Join Date], ROW() - 37), "")</f>
        <v/>
      </c>
      <c r="H4417" s="6"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6" t="str" cm="1">
        <f t="array" ref="G4418">IFERROR(INDEX(EmployeeData[Join Date], ROW() - 37), "")</f>
        <v/>
      </c>
      <c r="H4418" s="6"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6" t="str" cm="1">
        <f t="array" ref="G4419">IFERROR(INDEX(EmployeeData[Join Date], ROW() - 37), "")</f>
        <v/>
      </c>
      <c r="H4419" s="6"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6" t="str" cm="1">
        <f t="array" ref="G4420">IFERROR(INDEX(EmployeeData[Join Date], ROW() - 37), "")</f>
        <v/>
      </c>
      <c r="H4420" s="6"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6" t="str" cm="1">
        <f t="array" ref="G4421">IFERROR(INDEX(EmployeeData[Join Date], ROW() - 37), "")</f>
        <v/>
      </c>
      <c r="H4421" s="6"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6" t="str" cm="1">
        <f t="array" ref="G4422">IFERROR(INDEX(EmployeeData[Join Date], ROW() - 37), "")</f>
        <v/>
      </c>
      <c r="H4422" s="6"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6" t="str" cm="1">
        <f t="array" ref="G4423">IFERROR(INDEX(EmployeeData[Join Date], ROW() - 37), "")</f>
        <v/>
      </c>
      <c r="H4423" s="6"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6" t="str" cm="1">
        <f t="array" ref="G4424">IFERROR(INDEX(EmployeeData[Join Date], ROW() - 37), "")</f>
        <v/>
      </c>
      <c r="H4424" s="6"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6" t="str" cm="1">
        <f t="array" ref="G4425">IFERROR(INDEX(EmployeeData[Join Date], ROW() - 37), "")</f>
        <v/>
      </c>
      <c r="H4425" s="6"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6" t="str" cm="1">
        <f t="array" ref="G4426">IFERROR(INDEX(EmployeeData[Join Date], ROW() - 37), "")</f>
        <v/>
      </c>
      <c r="H4426" s="6"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6" t="str" cm="1">
        <f t="array" ref="G4427">IFERROR(INDEX(EmployeeData[Join Date], ROW() - 37), "")</f>
        <v/>
      </c>
      <c r="H4427" s="6"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6" t="str" cm="1">
        <f t="array" ref="G4428">IFERROR(INDEX(EmployeeData[Join Date], ROW() - 37), "")</f>
        <v/>
      </c>
      <c r="H4428" s="6"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6" t="str" cm="1">
        <f t="array" ref="G4429">IFERROR(INDEX(EmployeeData[Join Date], ROW() - 37), "")</f>
        <v/>
      </c>
      <c r="H4429" s="6"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6" t="str" cm="1">
        <f t="array" ref="G4430">IFERROR(INDEX(EmployeeData[Join Date], ROW() - 37), "")</f>
        <v/>
      </c>
      <c r="H4430" s="6"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6" t="str" cm="1">
        <f t="array" ref="G4431">IFERROR(INDEX(EmployeeData[Join Date], ROW() - 37), "")</f>
        <v/>
      </c>
      <c r="H4431" s="6"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6" t="str" cm="1">
        <f t="array" ref="G4432">IFERROR(INDEX(EmployeeData[Join Date], ROW() - 37), "")</f>
        <v/>
      </c>
      <c r="H4432" s="6"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6" t="str" cm="1">
        <f t="array" ref="G4433">IFERROR(INDEX(EmployeeData[Join Date], ROW() - 37), "")</f>
        <v/>
      </c>
      <c r="H4433" s="6"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6" t="str" cm="1">
        <f t="array" ref="G4434">IFERROR(INDEX(EmployeeData[Join Date], ROW() - 37), "")</f>
        <v/>
      </c>
      <c r="H4434" s="6"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6" t="str" cm="1">
        <f t="array" ref="G4435">IFERROR(INDEX(EmployeeData[Join Date], ROW() - 37), "")</f>
        <v/>
      </c>
      <c r="H4435" s="6"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6" t="str" cm="1">
        <f t="array" ref="G4436">IFERROR(INDEX(EmployeeData[Join Date], ROW() - 37), "")</f>
        <v/>
      </c>
      <c r="H4436" s="6"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6" t="str" cm="1">
        <f t="array" ref="G4437">IFERROR(INDEX(EmployeeData[Join Date], ROW() - 37), "")</f>
        <v/>
      </c>
      <c r="H4437" s="6"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6" t="str" cm="1">
        <f t="array" ref="G4438">IFERROR(INDEX(EmployeeData[Join Date], ROW() - 37), "")</f>
        <v/>
      </c>
      <c r="H4438" s="6"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6" t="str" cm="1">
        <f t="array" ref="G4439">IFERROR(INDEX(EmployeeData[Join Date], ROW() - 37), "")</f>
        <v/>
      </c>
      <c r="H4439" s="6"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6" t="str" cm="1">
        <f t="array" ref="G4440">IFERROR(INDEX(EmployeeData[Join Date], ROW() - 37), "")</f>
        <v/>
      </c>
      <c r="H4440" s="6"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6" t="str" cm="1">
        <f t="array" ref="G4441">IFERROR(INDEX(EmployeeData[Join Date], ROW() - 37), "")</f>
        <v/>
      </c>
      <c r="H4441" s="6"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6" t="str" cm="1">
        <f t="array" ref="G4442">IFERROR(INDEX(EmployeeData[Join Date], ROW() - 37), "")</f>
        <v/>
      </c>
      <c r="H4442" s="6"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6" t="str" cm="1">
        <f t="array" ref="G4443">IFERROR(INDEX(EmployeeData[Join Date], ROW() - 37), "")</f>
        <v/>
      </c>
      <c r="H4443" s="6"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6" t="str" cm="1">
        <f t="array" ref="G4444">IFERROR(INDEX(EmployeeData[Join Date], ROW() - 37), "")</f>
        <v/>
      </c>
      <c r="H4444" s="6"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6" t="str" cm="1">
        <f t="array" ref="G4445">IFERROR(INDEX(EmployeeData[Join Date], ROW() - 37), "")</f>
        <v/>
      </c>
      <c r="H4445" s="6"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6" t="str" cm="1">
        <f t="array" ref="G4446">IFERROR(INDEX(EmployeeData[Join Date], ROW() - 37), "")</f>
        <v/>
      </c>
      <c r="H4446" s="6"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6" t="str" cm="1">
        <f t="array" ref="G4447">IFERROR(INDEX(EmployeeData[Join Date], ROW() - 37), "")</f>
        <v/>
      </c>
      <c r="H4447" s="6"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6" t="str" cm="1">
        <f t="array" ref="G4448">IFERROR(INDEX(EmployeeData[Join Date], ROW() - 37), "")</f>
        <v/>
      </c>
      <c r="H4448" s="6"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6" t="str" cm="1">
        <f t="array" ref="G4449">IFERROR(INDEX(EmployeeData[Join Date], ROW() - 37), "")</f>
        <v/>
      </c>
      <c r="H4449" s="6"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6" t="str" cm="1">
        <f t="array" ref="G4450">IFERROR(INDEX(EmployeeData[Join Date], ROW() - 37), "")</f>
        <v/>
      </c>
      <c r="H4450" s="6"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6" t="str" cm="1">
        <f t="array" ref="G4451">IFERROR(INDEX(EmployeeData[Join Date], ROW() - 37), "")</f>
        <v/>
      </c>
      <c r="H4451" s="6"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6" t="str" cm="1">
        <f t="array" ref="G4452">IFERROR(INDEX(EmployeeData[Join Date], ROW() - 37), "")</f>
        <v/>
      </c>
      <c r="H4452" s="6"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6" t="str" cm="1">
        <f t="array" ref="G4453">IFERROR(INDEX(EmployeeData[Join Date], ROW() - 37), "")</f>
        <v/>
      </c>
      <c r="H4453" s="6"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6" t="str" cm="1">
        <f t="array" ref="G4454">IFERROR(INDEX(EmployeeData[Join Date], ROW() - 37), "")</f>
        <v/>
      </c>
      <c r="H4454" s="6"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6" t="str" cm="1">
        <f t="array" ref="G4455">IFERROR(INDEX(EmployeeData[Join Date], ROW() - 37), "")</f>
        <v/>
      </c>
      <c r="H4455" s="6"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6" t="str" cm="1">
        <f t="array" ref="G4456">IFERROR(INDEX(EmployeeData[Join Date], ROW() - 37), "")</f>
        <v/>
      </c>
      <c r="H4456" s="6"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6" t="str" cm="1">
        <f t="array" ref="G4457">IFERROR(INDEX(EmployeeData[Join Date], ROW() - 37), "")</f>
        <v/>
      </c>
      <c r="H4457" s="6"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6" t="str" cm="1">
        <f t="array" ref="G4458">IFERROR(INDEX(EmployeeData[Join Date], ROW() - 37), "")</f>
        <v/>
      </c>
      <c r="H4458" s="6"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6" t="str" cm="1">
        <f t="array" ref="G4459">IFERROR(INDEX(EmployeeData[Join Date], ROW() - 37), "")</f>
        <v/>
      </c>
      <c r="H4459" s="6"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6" t="str" cm="1">
        <f t="array" ref="G4460">IFERROR(INDEX(EmployeeData[Join Date], ROW() - 37), "")</f>
        <v/>
      </c>
      <c r="H4460" s="6"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6" t="str" cm="1">
        <f t="array" ref="G4461">IFERROR(INDEX(EmployeeData[Join Date], ROW() - 37), "")</f>
        <v/>
      </c>
      <c r="H4461" s="6"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6" t="str" cm="1">
        <f t="array" ref="G4462">IFERROR(INDEX(EmployeeData[Join Date], ROW() - 37), "")</f>
        <v/>
      </c>
      <c r="H4462" s="6"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6" t="str" cm="1">
        <f t="array" ref="G4463">IFERROR(INDEX(EmployeeData[Join Date], ROW() - 37), "")</f>
        <v/>
      </c>
      <c r="H4463" s="6"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6" t="str" cm="1">
        <f t="array" ref="G4464">IFERROR(INDEX(EmployeeData[Join Date], ROW() - 37), "")</f>
        <v/>
      </c>
      <c r="H4464" s="6"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6" t="str" cm="1">
        <f t="array" ref="G4465">IFERROR(INDEX(EmployeeData[Join Date], ROW() - 37), "")</f>
        <v/>
      </c>
      <c r="H4465" s="6"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6" t="str" cm="1">
        <f t="array" ref="G4466">IFERROR(INDEX(EmployeeData[Join Date], ROW() - 37), "")</f>
        <v/>
      </c>
      <c r="H4466" s="6"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6" t="str" cm="1">
        <f t="array" ref="G4467">IFERROR(INDEX(EmployeeData[Join Date], ROW() - 37), "")</f>
        <v/>
      </c>
      <c r="H4467" s="6"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6" t="str" cm="1">
        <f t="array" ref="G4468">IFERROR(INDEX(EmployeeData[Join Date], ROW() - 37), "")</f>
        <v/>
      </c>
      <c r="H4468" s="6"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6" t="str" cm="1">
        <f t="array" ref="G4469">IFERROR(INDEX(EmployeeData[Join Date], ROW() - 37), "")</f>
        <v/>
      </c>
      <c r="H4469" s="6"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6" t="str" cm="1">
        <f t="array" ref="G4470">IFERROR(INDEX(EmployeeData[Join Date], ROW() - 37), "")</f>
        <v/>
      </c>
      <c r="H4470" s="6"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6" t="str" cm="1">
        <f t="array" ref="G4471">IFERROR(INDEX(EmployeeData[Join Date], ROW() - 37), "")</f>
        <v/>
      </c>
      <c r="H4471" s="6"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6" t="str" cm="1">
        <f t="array" ref="G4472">IFERROR(INDEX(EmployeeData[Join Date], ROW() - 37), "")</f>
        <v/>
      </c>
      <c r="H4472" s="6"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6" t="str" cm="1">
        <f t="array" ref="G4473">IFERROR(INDEX(EmployeeData[Join Date], ROW() - 37), "")</f>
        <v/>
      </c>
      <c r="H4473" s="6"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6" t="str" cm="1">
        <f t="array" ref="G4474">IFERROR(INDEX(EmployeeData[Join Date], ROW() - 37), "")</f>
        <v/>
      </c>
      <c r="H4474" s="6"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6" t="str" cm="1">
        <f t="array" ref="G4475">IFERROR(INDEX(EmployeeData[Join Date], ROW() - 37), "")</f>
        <v/>
      </c>
      <c r="H4475" s="6"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6" t="str" cm="1">
        <f t="array" ref="G4476">IFERROR(INDEX(EmployeeData[Join Date], ROW() - 37), "")</f>
        <v/>
      </c>
      <c r="H4476" s="6"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6" t="str" cm="1">
        <f t="array" ref="G4477">IFERROR(INDEX(EmployeeData[Join Date], ROW() - 37), "")</f>
        <v/>
      </c>
      <c r="H4477" s="6"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6" t="str" cm="1">
        <f t="array" ref="G4478">IFERROR(INDEX(EmployeeData[Join Date], ROW() - 37), "")</f>
        <v/>
      </c>
      <c r="H4478" s="6"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6" t="str" cm="1">
        <f t="array" ref="G4479">IFERROR(INDEX(EmployeeData[Join Date], ROW() - 37), "")</f>
        <v/>
      </c>
      <c r="H4479" s="6"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6" t="str" cm="1">
        <f t="array" ref="G4480">IFERROR(INDEX(EmployeeData[Join Date], ROW() - 37), "")</f>
        <v/>
      </c>
      <c r="H4480" s="6"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6" t="str" cm="1">
        <f t="array" ref="G4481">IFERROR(INDEX(EmployeeData[Join Date], ROW() - 37), "")</f>
        <v/>
      </c>
      <c r="H4481" s="6"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6" t="str" cm="1">
        <f t="array" ref="G4482">IFERROR(INDEX(EmployeeData[Join Date], ROW() - 37), "")</f>
        <v/>
      </c>
      <c r="H4482" s="6"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6" t="str" cm="1">
        <f t="array" ref="G4483">IFERROR(INDEX(EmployeeData[Join Date], ROW() - 37), "")</f>
        <v/>
      </c>
      <c r="H4483" s="6"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6" t="str" cm="1">
        <f t="array" ref="G4484">IFERROR(INDEX(EmployeeData[Join Date], ROW() - 37), "")</f>
        <v/>
      </c>
      <c r="H4484" s="6"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6" t="str" cm="1">
        <f t="array" ref="G4485">IFERROR(INDEX(EmployeeData[Join Date], ROW() - 37), "")</f>
        <v/>
      </c>
      <c r="H4485" s="6"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6" t="str" cm="1">
        <f t="array" ref="G4486">IFERROR(INDEX(EmployeeData[Join Date], ROW() - 37), "")</f>
        <v/>
      </c>
      <c r="H4486" s="6"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6" t="str" cm="1">
        <f t="array" ref="G4487">IFERROR(INDEX(EmployeeData[Join Date], ROW() - 37), "")</f>
        <v/>
      </c>
      <c r="H4487" s="6"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6" t="str" cm="1">
        <f t="array" ref="G4488">IFERROR(INDEX(EmployeeData[Join Date], ROW() - 37), "")</f>
        <v/>
      </c>
      <c r="H4488" s="6"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6" t="str" cm="1">
        <f t="array" ref="G4489">IFERROR(INDEX(EmployeeData[Join Date], ROW() - 37), "")</f>
        <v/>
      </c>
      <c r="H4489" s="6"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6" t="str" cm="1">
        <f t="array" ref="G4490">IFERROR(INDEX(EmployeeData[Join Date], ROW() - 37), "")</f>
        <v/>
      </c>
      <c r="H4490" s="6"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6" t="str" cm="1">
        <f t="array" ref="G4491">IFERROR(INDEX(EmployeeData[Join Date], ROW() - 37), "")</f>
        <v/>
      </c>
      <c r="H4491" s="6"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6" t="str" cm="1">
        <f t="array" ref="G4492">IFERROR(INDEX(EmployeeData[Join Date], ROW() - 37), "")</f>
        <v/>
      </c>
      <c r="H4492" s="6"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6" t="str" cm="1">
        <f t="array" ref="G4493">IFERROR(INDEX(EmployeeData[Join Date], ROW() - 37), "")</f>
        <v/>
      </c>
      <c r="H4493" s="6"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6" t="str" cm="1">
        <f t="array" ref="G4494">IFERROR(INDEX(EmployeeData[Join Date], ROW() - 37), "")</f>
        <v/>
      </c>
      <c r="H4494" s="6"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6" t="str" cm="1">
        <f t="array" ref="G4495">IFERROR(INDEX(EmployeeData[Join Date], ROW() - 37), "")</f>
        <v/>
      </c>
      <c r="H4495" s="6"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6" t="str" cm="1">
        <f t="array" ref="G4496">IFERROR(INDEX(EmployeeData[Join Date], ROW() - 37), "")</f>
        <v/>
      </c>
      <c r="H4496" s="6"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6" t="str" cm="1">
        <f t="array" ref="G4497">IFERROR(INDEX(EmployeeData[Join Date], ROW() - 37), "")</f>
        <v/>
      </c>
      <c r="H4497" s="6"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6" t="str" cm="1">
        <f t="array" ref="G4498">IFERROR(INDEX(EmployeeData[Join Date], ROW() - 37), "")</f>
        <v/>
      </c>
      <c r="H4498" s="6"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6" t="str" cm="1">
        <f t="array" ref="G4499">IFERROR(INDEX(EmployeeData[Join Date], ROW() - 37), "")</f>
        <v/>
      </c>
      <c r="H4499" s="6"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6" t="str" cm="1">
        <f t="array" ref="G4500">IFERROR(INDEX(EmployeeData[Join Date], ROW() - 37), "")</f>
        <v/>
      </c>
      <c r="H4500" s="6"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6" t="str" cm="1">
        <f t="array" ref="G4501">IFERROR(INDEX(EmployeeData[Join Date], ROW() - 37), "")</f>
        <v/>
      </c>
      <c r="H4501" s="6"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6" t="str" cm="1">
        <f t="array" ref="G4502">IFERROR(INDEX(EmployeeData[Join Date], ROW() - 37), "")</f>
        <v/>
      </c>
      <c r="H4502" s="6"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6" t="str" cm="1">
        <f t="array" ref="G4503">IFERROR(INDEX(EmployeeData[Join Date], ROW() - 37), "")</f>
        <v/>
      </c>
      <c r="H4503" s="6"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6" t="str" cm="1">
        <f t="array" ref="G4504">IFERROR(INDEX(EmployeeData[Join Date], ROW() - 37), "")</f>
        <v/>
      </c>
      <c r="H4504" s="6"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6" t="str" cm="1">
        <f t="array" ref="G4505">IFERROR(INDEX(EmployeeData[Join Date], ROW() - 37), "")</f>
        <v/>
      </c>
      <c r="H4505" s="6"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6" t="str" cm="1">
        <f t="array" ref="G4506">IFERROR(INDEX(EmployeeData[Join Date], ROW() - 37), "")</f>
        <v/>
      </c>
      <c r="H4506" s="6"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6" t="str" cm="1">
        <f t="array" ref="G4507">IFERROR(INDEX(EmployeeData[Join Date], ROW() - 37), "")</f>
        <v/>
      </c>
      <c r="H4507" s="6"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6" t="str" cm="1">
        <f t="array" ref="G4508">IFERROR(INDEX(EmployeeData[Join Date], ROW() - 37), "")</f>
        <v/>
      </c>
      <c r="H4508" s="6"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6" t="str" cm="1">
        <f t="array" ref="G4509">IFERROR(INDEX(EmployeeData[Join Date], ROW() - 37), "")</f>
        <v/>
      </c>
      <c r="H4509" s="6"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6" t="str" cm="1">
        <f t="array" ref="G4510">IFERROR(INDEX(EmployeeData[Join Date], ROW() - 37), "")</f>
        <v/>
      </c>
      <c r="H4510" s="6"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6" t="str" cm="1">
        <f t="array" ref="G4511">IFERROR(INDEX(EmployeeData[Join Date], ROW() - 37), "")</f>
        <v/>
      </c>
      <c r="H4511" s="6"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6" t="str" cm="1">
        <f t="array" ref="G4512">IFERROR(INDEX(EmployeeData[Join Date], ROW() - 37), "")</f>
        <v/>
      </c>
      <c r="H4512" s="6"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6" t="str" cm="1">
        <f t="array" ref="G4513">IFERROR(INDEX(EmployeeData[Join Date], ROW() - 37), "")</f>
        <v/>
      </c>
      <c r="H4513" s="6"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6" t="str" cm="1">
        <f t="array" ref="G4514">IFERROR(INDEX(EmployeeData[Join Date], ROW() - 37), "")</f>
        <v/>
      </c>
      <c r="H4514" s="6"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6" t="str" cm="1">
        <f t="array" ref="G4515">IFERROR(INDEX(EmployeeData[Join Date], ROW() - 37), "")</f>
        <v/>
      </c>
      <c r="H4515" s="6"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6" t="str" cm="1">
        <f t="array" ref="G4516">IFERROR(INDEX(EmployeeData[Join Date], ROW() - 37), "")</f>
        <v/>
      </c>
      <c r="H4516" s="6"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6" t="str" cm="1">
        <f t="array" ref="G4517">IFERROR(INDEX(EmployeeData[Join Date], ROW() - 37), "")</f>
        <v/>
      </c>
      <c r="H4517" s="6"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6" t="str" cm="1">
        <f t="array" ref="G4518">IFERROR(INDEX(EmployeeData[Join Date], ROW() - 37), "")</f>
        <v/>
      </c>
      <c r="H4518" s="6"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6" t="str" cm="1">
        <f t="array" ref="G4519">IFERROR(INDEX(EmployeeData[Join Date], ROW() - 37), "")</f>
        <v/>
      </c>
      <c r="H4519" s="6"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6" t="str" cm="1">
        <f t="array" ref="G4520">IFERROR(INDEX(EmployeeData[Join Date], ROW() - 37), "")</f>
        <v/>
      </c>
      <c r="H4520" s="6"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6" t="str" cm="1">
        <f t="array" ref="G4521">IFERROR(INDEX(EmployeeData[Join Date], ROW() - 37), "")</f>
        <v/>
      </c>
      <c r="H4521" s="6"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6" t="str" cm="1">
        <f t="array" ref="G4522">IFERROR(INDEX(EmployeeData[Join Date], ROW() - 37), "")</f>
        <v/>
      </c>
      <c r="H4522" s="6"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6" t="str" cm="1">
        <f t="array" ref="G4523">IFERROR(INDEX(EmployeeData[Join Date], ROW() - 37), "")</f>
        <v/>
      </c>
      <c r="H4523" s="6"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6" t="str" cm="1">
        <f t="array" ref="G4524">IFERROR(INDEX(EmployeeData[Join Date], ROW() - 37), "")</f>
        <v/>
      </c>
      <c r="H4524" s="6"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6" t="str" cm="1">
        <f t="array" ref="G4525">IFERROR(INDEX(EmployeeData[Join Date], ROW() - 37), "")</f>
        <v/>
      </c>
      <c r="H4525" s="6"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6" t="str" cm="1">
        <f t="array" ref="G4526">IFERROR(INDEX(EmployeeData[Join Date], ROW() - 37), "")</f>
        <v/>
      </c>
      <c r="H4526" s="6"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6" t="str" cm="1">
        <f t="array" ref="G4527">IFERROR(INDEX(EmployeeData[Join Date], ROW() - 37), "")</f>
        <v/>
      </c>
      <c r="H4527" s="6"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6" t="str" cm="1">
        <f t="array" ref="G4528">IFERROR(INDEX(EmployeeData[Join Date], ROW() - 37), "")</f>
        <v/>
      </c>
      <c r="H4528" s="6"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6" t="str" cm="1">
        <f t="array" ref="G4529">IFERROR(INDEX(EmployeeData[Join Date], ROW() - 37), "")</f>
        <v/>
      </c>
      <c r="H4529" s="6"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6" t="str" cm="1">
        <f t="array" ref="G4530">IFERROR(INDEX(EmployeeData[Join Date], ROW() - 37), "")</f>
        <v/>
      </c>
      <c r="H4530" s="6"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6" t="str" cm="1">
        <f t="array" ref="G4531">IFERROR(INDEX(EmployeeData[Join Date], ROW() - 37), "")</f>
        <v/>
      </c>
      <c r="H4531" s="6"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6" t="str" cm="1">
        <f t="array" ref="G4532">IFERROR(INDEX(EmployeeData[Join Date], ROW() - 37), "")</f>
        <v/>
      </c>
      <c r="H4532" s="6"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6" t="str" cm="1">
        <f t="array" ref="G4533">IFERROR(INDEX(EmployeeData[Join Date], ROW() - 37), "")</f>
        <v/>
      </c>
      <c r="H4533" s="6"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6" t="str" cm="1">
        <f t="array" ref="G4534">IFERROR(INDEX(EmployeeData[Join Date], ROW() - 37), "")</f>
        <v/>
      </c>
      <c r="H4534" s="6"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6" t="str" cm="1">
        <f t="array" ref="G4535">IFERROR(INDEX(EmployeeData[Join Date], ROW() - 37), "")</f>
        <v/>
      </c>
      <c r="H4535" s="6"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6" t="str" cm="1">
        <f t="array" ref="G4536">IFERROR(INDEX(EmployeeData[Join Date], ROW() - 37), "")</f>
        <v/>
      </c>
      <c r="H4536" s="6"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6" t="str" cm="1">
        <f t="array" ref="G4537">IFERROR(INDEX(EmployeeData[Join Date], ROW() - 37), "")</f>
        <v/>
      </c>
      <c r="H4537" s="6"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6" t="str" cm="1">
        <f t="array" ref="G4538">IFERROR(INDEX(EmployeeData[Join Date], ROW() - 37), "")</f>
        <v/>
      </c>
      <c r="H4538" s="6"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6" t="str" cm="1">
        <f t="array" ref="G4539">IFERROR(INDEX(EmployeeData[Join Date], ROW() - 37), "")</f>
        <v/>
      </c>
      <c r="H4539" s="6"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6" t="str" cm="1">
        <f t="array" ref="G4540">IFERROR(INDEX(EmployeeData[Join Date], ROW() - 37), "")</f>
        <v/>
      </c>
      <c r="H4540" s="6"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6" t="str" cm="1">
        <f t="array" ref="G4541">IFERROR(INDEX(EmployeeData[Join Date], ROW() - 37), "")</f>
        <v/>
      </c>
      <c r="H4541" s="6"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6" t="str" cm="1">
        <f t="array" ref="G4542">IFERROR(INDEX(EmployeeData[Join Date], ROW() - 37), "")</f>
        <v/>
      </c>
      <c r="H4542" s="6"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6" t="str" cm="1">
        <f t="array" ref="G4543">IFERROR(INDEX(EmployeeData[Join Date], ROW() - 37), "")</f>
        <v/>
      </c>
      <c r="H4543" s="6"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6" t="str" cm="1">
        <f t="array" ref="G4544">IFERROR(INDEX(EmployeeData[Join Date], ROW() - 37), "")</f>
        <v/>
      </c>
      <c r="H4544" s="6"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6" t="str" cm="1">
        <f t="array" ref="G4545">IFERROR(INDEX(EmployeeData[Join Date], ROW() - 37), "")</f>
        <v/>
      </c>
      <c r="H4545" s="6"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6" t="str" cm="1">
        <f t="array" ref="G4546">IFERROR(INDEX(EmployeeData[Join Date], ROW() - 37), "")</f>
        <v/>
      </c>
      <c r="H4546" s="6"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6" t="str" cm="1">
        <f t="array" ref="G4547">IFERROR(INDEX(EmployeeData[Join Date], ROW() - 37), "")</f>
        <v/>
      </c>
      <c r="H4547" s="6"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6" t="str" cm="1">
        <f t="array" ref="G4548">IFERROR(INDEX(EmployeeData[Join Date], ROW() - 37), "")</f>
        <v/>
      </c>
      <c r="H4548" s="6"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6" t="str" cm="1">
        <f t="array" ref="G4549">IFERROR(INDEX(EmployeeData[Join Date], ROW() - 37), "")</f>
        <v/>
      </c>
      <c r="H4549" s="6"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6" t="str" cm="1">
        <f t="array" ref="G4550">IFERROR(INDEX(EmployeeData[Join Date], ROW() - 37), "")</f>
        <v/>
      </c>
      <c r="H4550" s="6"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6" t="str" cm="1">
        <f t="array" ref="G4551">IFERROR(INDEX(EmployeeData[Join Date], ROW() - 37), "")</f>
        <v/>
      </c>
      <c r="H4551" s="6"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6" t="str" cm="1">
        <f t="array" ref="G4552">IFERROR(INDEX(EmployeeData[Join Date], ROW() - 37), "")</f>
        <v/>
      </c>
      <c r="H4552" s="6"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6" t="str" cm="1">
        <f t="array" ref="G4553">IFERROR(INDEX(EmployeeData[Join Date], ROW() - 37), "")</f>
        <v/>
      </c>
      <c r="H4553" s="6"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6" t="str" cm="1">
        <f t="array" ref="G4554">IFERROR(INDEX(EmployeeData[Join Date], ROW() - 37), "")</f>
        <v/>
      </c>
      <c r="H4554" s="6"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6" t="str" cm="1">
        <f t="array" ref="G4555">IFERROR(INDEX(EmployeeData[Join Date], ROW() - 37), "")</f>
        <v/>
      </c>
      <c r="H4555" s="6"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6" t="str" cm="1">
        <f t="array" ref="G4556">IFERROR(INDEX(EmployeeData[Join Date], ROW() - 37), "")</f>
        <v/>
      </c>
      <c r="H4556" s="6"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6" t="str" cm="1">
        <f t="array" ref="G4557">IFERROR(INDEX(EmployeeData[Join Date], ROW() - 37), "")</f>
        <v/>
      </c>
      <c r="H4557" s="6"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6" t="str" cm="1">
        <f t="array" ref="G4558">IFERROR(INDEX(EmployeeData[Join Date], ROW() - 37), "")</f>
        <v/>
      </c>
      <c r="H4558" s="6"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6" t="str" cm="1">
        <f t="array" ref="G4559">IFERROR(INDEX(EmployeeData[Join Date], ROW() - 37), "")</f>
        <v/>
      </c>
      <c r="H4559" s="6"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6" t="str" cm="1">
        <f t="array" ref="G4560">IFERROR(INDEX(EmployeeData[Join Date], ROW() - 37), "")</f>
        <v/>
      </c>
      <c r="H4560" s="6"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6" t="str" cm="1">
        <f t="array" ref="G4561">IFERROR(INDEX(EmployeeData[Join Date], ROW() - 37), "")</f>
        <v/>
      </c>
      <c r="H4561" s="6"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6" t="str" cm="1">
        <f t="array" ref="G4562">IFERROR(INDEX(EmployeeData[Join Date], ROW() - 37), "")</f>
        <v/>
      </c>
      <c r="H4562" s="6"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6" t="str" cm="1">
        <f t="array" ref="G4563">IFERROR(INDEX(EmployeeData[Join Date], ROW() - 37), "")</f>
        <v/>
      </c>
      <c r="H4563" s="6"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6" t="str" cm="1">
        <f t="array" ref="G4564">IFERROR(INDEX(EmployeeData[Join Date], ROW() - 37), "")</f>
        <v/>
      </c>
      <c r="H4564" s="6"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6" t="str" cm="1">
        <f t="array" ref="G4565">IFERROR(INDEX(EmployeeData[Join Date], ROW() - 37), "")</f>
        <v/>
      </c>
      <c r="H4565" s="6"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6" t="str" cm="1">
        <f t="array" ref="G4566">IFERROR(INDEX(EmployeeData[Join Date], ROW() - 37), "")</f>
        <v/>
      </c>
      <c r="H4566" s="6"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6" t="str" cm="1">
        <f t="array" ref="G4567">IFERROR(INDEX(EmployeeData[Join Date], ROW() - 37), "")</f>
        <v/>
      </c>
      <c r="H4567" s="6"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6" t="str" cm="1">
        <f t="array" ref="G4568">IFERROR(INDEX(EmployeeData[Join Date], ROW() - 37), "")</f>
        <v/>
      </c>
      <c r="H4568" s="6"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6" t="str" cm="1">
        <f t="array" ref="G4569">IFERROR(INDEX(EmployeeData[Join Date], ROW() - 37), "")</f>
        <v/>
      </c>
      <c r="H4569" s="6"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6" t="str" cm="1">
        <f t="array" ref="G4570">IFERROR(INDEX(EmployeeData[Join Date], ROW() - 37), "")</f>
        <v/>
      </c>
      <c r="H4570" s="6"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6" t="str" cm="1">
        <f t="array" ref="G4571">IFERROR(INDEX(EmployeeData[Join Date], ROW() - 37), "")</f>
        <v/>
      </c>
      <c r="H4571" s="6"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6" t="str" cm="1">
        <f t="array" ref="G4572">IFERROR(INDEX(EmployeeData[Join Date], ROW() - 37), "")</f>
        <v/>
      </c>
      <c r="H4572" s="6"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6" t="str" cm="1">
        <f t="array" ref="G4573">IFERROR(INDEX(EmployeeData[Join Date], ROW() - 37), "")</f>
        <v/>
      </c>
      <c r="H4573" s="6"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6" t="str" cm="1">
        <f t="array" ref="G4574">IFERROR(INDEX(EmployeeData[Join Date], ROW() - 37), "")</f>
        <v/>
      </c>
      <c r="H4574" s="6"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6" t="str" cm="1">
        <f t="array" ref="G4575">IFERROR(INDEX(EmployeeData[Join Date], ROW() - 37), "")</f>
        <v/>
      </c>
      <c r="H4575" s="6"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6" t="str" cm="1">
        <f t="array" ref="G4576">IFERROR(INDEX(EmployeeData[Join Date], ROW() - 37), "")</f>
        <v/>
      </c>
      <c r="H4576" s="6"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6" t="str" cm="1">
        <f t="array" ref="G4577">IFERROR(INDEX(EmployeeData[Join Date], ROW() - 37), "")</f>
        <v/>
      </c>
      <c r="H4577" s="6"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6" t="str" cm="1">
        <f t="array" ref="G4578">IFERROR(INDEX(EmployeeData[Join Date], ROW() - 37), "")</f>
        <v/>
      </c>
      <c r="H4578" s="6"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6" t="str" cm="1">
        <f t="array" ref="G4579">IFERROR(INDEX(EmployeeData[Join Date], ROW() - 37), "")</f>
        <v/>
      </c>
      <c r="H4579" s="6"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6" t="str" cm="1">
        <f t="array" ref="G4580">IFERROR(INDEX(EmployeeData[Join Date], ROW() - 37), "")</f>
        <v/>
      </c>
      <c r="H4580" s="6"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6" t="str" cm="1">
        <f t="array" ref="G4581">IFERROR(INDEX(EmployeeData[Join Date], ROW() - 37), "")</f>
        <v/>
      </c>
      <c r="H4581" s="6"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6" t="str" cm="1">
        <f t="array" ref="G4582">IFERROR(INDEX(EmployeeData[Join Date], ROW() - 37), "")</f>
        <v/>
      </c>
      <c r="H4582" s="6"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6" t="str" cm="1">
        <f t="array" ref="G4583">IFERROR(INDEX(EmployeeData[Join Date], ROW() - 37), "")</f>
        <v/>
      </c>
      <c r="H4583" s="6"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6" t="str" cm="1">
        <f t="array" ref="G4584">IFERROR(INDEX(EmployeeData[Join Date], ROW() - 37), "")</f>
        <v/>
      </c>
      <c r="H4584" s="6"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6" t="str" cm="1">
        <f t="array" ref="G4585">IFERROR(INDEX(EmployeeData[Join Date], ROW() - 37), "")</f>
        <v/>
      </c>
      <c r="H4585" s="6"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6" t="str" cm="1">
        <f t="array" ref="G4586">IFERROR(INDEX(EmployeeData[Join Date], ROW() - 37), "")</f>
        <v/>
      </c>
      <c r="H4586" s="6"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6" t="str" cm="1">
        <f t="array" ref="G4587">IFERROR(INDEX(EmployeeData[Join Date], ROW() - 37), "")</f>
        <v/>
      </c>
      <c r="H4587" s="6"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6" t="str" cm="1">
        <f t="array" ref="G4588">IFERROR(INDEX(EmployeeData[Join Date], ROW() - 37), "")</f>
        <v/>
      </c>
      <c r="H4588" s="6"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6" t="str" cm="1">
        <f t="array" ref="G4589">IFERROR(INDEX(EmployeeData[Join Date], ROW() - 37), "")</f>
        <v/>
      </c>
      <c r="H4589" s="6"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6" t="str" cm="1">
        <f t="array" ref="G4590">IFERROR(INDEX(EmployeeData[Join Date], ROW() - 37), "")</f>
        <v/>
      </c>
      <c r="H4590" s="6"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6" t="str" cm="1">
        <f t="array" ref="G4591">IFERROR(INDEX(EmployeeData[Join Date], ROW() - 37), "")</f>
        <v/>
      </c>
      <c r="H4591" s="6"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6" t="str" cm="1">
        <f t="array" ref="G4592">IFERROR(INDEX(EmployeeData[Join Date], ROW() - 37), "")</f>
        <v/>
      </c>
      <c r="H4592" s="6"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6" t="str" cm="1">
        <f t="array" ref="G4593">IFERROR(INDEX(EmployeeData[Join Date], ROW() - 37), "")</f>
        <v/>
      </c>
      <c r="H4593" s="6"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6" t="str" cm="1">
        <f t="array" ref="G4594">IFERROR(INDEX(EmployeeData[Join Date], ROW() - 37), "")</f>
        <v/>
      </c>
      <c r="H4594" s="6"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6" t="str" cm="1">
        <f t="array" ref="G4595">IFERROR(INDEX(EmployeeData[Join Date], ROW() - 37), "")</f>
        <v/>
      </c>
      <c r="H4595" s="6"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6" t="str" cm="1">
        <f t="array" ref="G4596">IFERROR(INDEX(EmployeeData[Join Date], ROW() - 37), "")</f>
        <v/>
      </c>
      <c r="H4596" s="6"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6" t="str" cm="1">
        <f t="array" ref="G4597">IFERROR(INDEX(EmployeeData[Join Date], ROW() - 37), "")</f>
        <v/>
      </c>
      <c r="H4597" s="6"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6" t="str" cm="1">
        <f t="array" ref="G4598">IFERROR(INDEX(EmployeeData[Join Date], ROW() - 37), "")</f>
        <v/>
      </c>
      <c r="H4598" s="6"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6" t="str" cm="1">
        <f t="array" ref="G4599">IFERROR(INDEX(EmployeeData[Join Date], ROW() - 37), "")</f>
        <v/>
      </c>
      <c r="H4599" s="6"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6" t="str" cm="1">
        <f t="array" ref="G4600">IFERROR(INDEX(EmployeeData[Join Date], ROW() - 37), "")</f>
        <v/>
      </c>
      <c r="H4600" s="6"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6" t="str" cm="1">
        <f t="array" ref="G4601">IFERROR(INDEX(EmployeeData[Join Date], ROW() - 37), "")</f>
        <v/>
      </c>
      <c r="H4601" s="6"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6" t="str" cm="1">
        <f t="array" ref="G4602">IFERROR(INDEX(EmployeeData[Join Date], ROW() - 37), "")</f>
        <v/>
      </c>
      <c r="H4602" s="6"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6" t="str" cm="1">
        <f t="array" ref="G4603">IFERROR(INDEX(EmployeeData[Join Date], ROW() - 37), "")</f>
        <v/>
      </c>
      <c r="H4603" s="6"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6" t="str" cm="1">
        <f t="array" ref="G4604">IFERROR(INDEX(EmployeeData[Join Date], ROW() - 37), "")</f>
        <v/>
      </c>
      <c r="H4604" s="6"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6" t="str" cm="1">
        <f t="array" ref="G4605">IFERROR(INDEX(EmployeeData[Join Date], ROW() - 37), "")</f>
        <v/>
      </c>
      <c r="H4605" s="6"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6" t="str" cm="1">
        <f t="array" ref="G4606">IFERROR(INDEX(EmployeeData[Join Date], ROW() - 37), "")</f>
        <v/>
      </c>
      <c r="H4606" s="6"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6" t="str" cm="1">
        <f t="array" ref="G4607">IFERROR(INDEX(EmployeeData[Join Date], ROW() - 37), "")</f>
        <v/>
      </c>
      <c r="H4607" s="6"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6" t="str" cm="1">
        <f t="array" ref="G4608">IFERROR(INDEX(EmployeeData[Join Date], ROW() - 37), "")</f>
        <v/>
      </c>
      <c r="H4608" s="6"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6" t="str" cm="1">
        <f t="array" ref="G4609">IFERROR(INDEX(EmployeeData[Join Date], ROW() - 37), "")</f>
        <v/>
      </c>
      <c r="H4609" s="6"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6" t="str" cm="1">
        <f t="array" ref="G4610">IFERROR(INDEX(EmployeeData[Join Date], ROW() - 37), "")</f>
        <v/>
      </c>
      <c r="H4610" s="6"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6" t="str" cm="1">
        <f t="array" ref="G4611">IFERROR(INDEX(EmployeeData[Join Date], ROW() - 37), "")</f>
        <v/>
      </c>
      <c r="H4611" s="6"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6" t="str" cm="1">
        <f t="array" ref="G4612">IFERROR(INDEX(EmployeeData[Join Date], ROW() - 37), "")</f>
        <v/>
      </c>
      <c r="H4612" s="6"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6" t="str" cm="1">
        <f t="array" ref="G4613">IFERROR(INDEX(EmployeeData[Join Date], ROW() - 37), "")</f>
        <v/>
      </c>
      <c r="H4613" s="6"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6" t="str" cm="1">
        <f t="array" ref="G4614">IFERROR(INDEX(EmployeeData[Join Date], ROW() - 37), "")</f>
        <v/>
      </c>
      <c r="H4614" s="6"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6" t="str" cm="1">
        <f t="array" ref="G4615">IFERROR(INDEX(EmployeeData[Join Date], ROW() - 37), "")</f>
        <v/>
      </c>
      <c r="H4615" s="6"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6" t="str" cm="1">
        <f t="array" ref="G4616">IFERROR(INDEX(EmployeeData[Join Date], ROW() - 37), "")</f>
        <v/>
      </c>
      <c r="H4616" s="6"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6" t="str" cm="1">
        <f t="array" ref="G4617">IFERROR(INDEX(EmployeeData[Join Date], ROW() - 37), "")</f>
        <v/>
      </c>
      <c r="H4617" s="6"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6" t="str" cm="1">
        <f t="array" ref="G4618">IFERROR(INDEX(EmployeeData[Join Date], ROW() - 37), "")</f>
        <v/>
      </c>
      <c r="H4618" s="6"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6" t="str" cm="1">
        <f t="array" ref="G4619">IFERROR(INDEX(EmployeeData[Join Date], ROW() - 37), "")</f>
        <v/>
      </c>
      <c r="H4619" s="6"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6" t="str" cm="1">
        <f t="array" ref="G4620">IFERROR(INDEX(EmployeeData[Join Date], ROW() - 37), "")</f>
        <v/>
      </c>
      <c r="H4620" s="6"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6" t="str" cm="1">
        <f t="array" ref="G4621">IFERROR(INDEX(EmployeeData[Join Date], ROW() - 37), "")</f>
        <v/>
      </c>
      <c r="H4621" s="6"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6" t="str" cm="1">
        <f t="array" ref="G4622">IFERROR(INDEX(EmployeeData[Join Date], ROW() - 37), "")</f>
        <v/>
      </c>
      <c r="H4622" s="6"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6" t="str" cm="1">
        <f t="array" ref="G4623">IFERROR(INDEX(EmployeeData[Join Date], ROW() - 37), "")</f>
        <v/>
      </c>
      <c r="H4623" s="6"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6" t="str" cm="1">
        <f t="array" ref="G4624">IFERROR(INDEX(EmployeeData[Join Date], ROW() - 37), "")</f>
        <v/>
      </c>
      <c r="H4624" s="6"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6" t="str" cm="1">
        <f t="array" ref="G4625">IFERROR(INDEX(EmployeeData[Join Date], ROW() - 37), "")</f>
        <v/>
      </c>
      <c r="H4625" s="6"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6" t="str" cm="1">
        <f t="array" ref="G4626">IFERROR(INDEX(EmployeeData[Join Date], ROW() - 37), "")</f>
        <v/>
      </c>
      <c r="H4626" s="6"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6" t="str" cm="1">
        <f t="array" ref="G4627">IFERROR(INDEX(EmployeeData[Join Date], ROW() - 37), "")</f>
        <v/>
      </c>
      <c r="H4627" s="6"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6" t="str" cm="1">
        <f t="array" ref="G4628">IFERROR(INDEX(EmployeeData[Join Date], ROW() - 37), "")</f>
        <v/>
      </c>
      <c r="H4628" s="6"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6" t="str" cm="1">
        <f t="array" ref="G4629">IFERROR(INDEX(EmployeeData[Join Date], ROW() - 37), "")</f>
        <v/>
      </c>
      <c r="H4629" s="6"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6" t="str" cm="1">
        <f t="array" ref="G4630">IFERROR(INDEX(EmployeeData[Join Date], ROW() - 37), "")</f>
        <v/>
      </c>
      <c r="H4630" s="6"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6" t="str" cm="1">
        <f t="array" ref="G4631">IFERROR(INDEX(EmployeeData[Join Date], ROW() - 37), "")</f>
        <v/>
      </c>
      <c r="H4631" s="6"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6" t="str" cm="1">
        <f t="array" ref="G4632">IFERROR(INDEX(EmployeeData[Join Date], ROW() - 37), "")</f>
        <v/>
      </c>
      <c r="H4632" s="6"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6" t="str" cm="1">
        <f t="array" ref="G4633">IFERROR(INDEX(EmployeeData[Join Date], ROW() - 37), "")</f>
        <v/>
      </c>
      <c r="H4633" s="6"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6" t="str" cm="1">
        <f t="array" ref="G4634">IFERROR(INDEX(EmployeeData[Join Date], ROW() - 37), "")</f>
        <v/>
      </c>
      <c r="H4634" s="6"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6" t="str" cm="1">
        <f t="array" ref="G4635">IFERROR(INDEX(EmployeeData[Join Date], ROW() - 37), "")</f>
        <v/>
      </c>
      <c r="H4635" s="6"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6" t="str" cm="1">
        <f t="array" ref="G4636">IFERROR(INDEX(EmployeeData[Join Date], ROW() - 37), "")</f>
        <v/>
      </c>
      <c r="H4636" s="6"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6" t="str" cm="1">
        <f t="array" ref="G4637">IFERROR(INDEX(EmployeeData[Join Date], ROW() - 37), "")</f>
        <v/>
      </c>
      <c r="H4637" s="6"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6" t="str" cm="1">
        <f t="array" ref="G4638">IFERROR(INDEX(EmployeeData[Join Date], ROW() - 37), "")</f>
        <v/>
      </c>
      <c r="H4638" s="6"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6" t="str" cm="1">
        <f t="array" ref="G4639">IFERROR(INDEX(EmployeeData[Join Date], ROW() - 37), "")</f>
        <v/>
      </c>
      <c r="H4639" s="6"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6" t="str" cm="1">
        <f t="array" ref="G4640">IFERROR(INDEX(EmployeeData[Join Date], ROW() - 37), "")</f>
        <v/>
      </c>
      <c r="H4640" s="6"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6" t="str" cm="1">
        <f t="array" ref="G4641">IFERROR(INDEX(EmployeeData[Join Date], ROW() - 37), "")</f>
        <v/>
      </c>
      <c r="H4641" s="6"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6" t="str" cm="1">
        <f t="array" ref="G4642">IFERROR(INDEX(EmployeeData[Join Date], ROW() - 37), "")</f>
        <v/>
      </c>
      <c r="H4642" s="6"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6" t="str" cm="1">
        <f t="array" ref="G4643">IFERROR(INDEX(EmployeeData[Join Date], ROW() - 37), "")</f>
        <v/>
      </c>
      <c r="H4643" s="6"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6" t="str" cm="1">
        <f t="array" ref="G4644">IFERROR(INDEX(EmployeeData[Join Date], ROW() - 37), "")</f>
        <v/>
      </c>
      <c r="H4644" s="6"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6" t="str" cm="1">
        <f t="array" ref="G4645">IFERROR(INDEX(EmployeeData[Join Date], ROW() - 37), "")</f>
        <v/>
      </c>
      <c r="H4645" s="6"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6" t="str" cm="1">
        <f t="array" ref="G4646">IFERROR(INDEX(EmployeeData[Join Date], ROW() - 37), "")</f>
        <v/>
      </c>
      <c r="H4646" s="6"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6" t="str" cm="1">
        <f t="array" ref="G4647">IFERROR(INDEX(EmployeeData[Join Date], ROW() - 37), "")</f>
        <v/>
      </c>
      <c r="H4647" s="6"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6" t="str" cm="1">
        <f t="array" ref="G4648">IFERROR(INDEX(EmployeeData[Join Date], ROW() - 37), "")</f>
        <v/>
      </c>
      <c r="H4648" s="6"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6" t="str" cm="1">
        <f t="array" ref="G4649">IFERROR(INDEX(EmployeeData[Join Date], ROW() - 37), "")</f>
        <v/>
      </c>
      <c r="H4649" s="6"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6" t="str" cm="1">
        <f t="array" ref="G4650">IFERROR(INDEX(EmployeeData[Join Date], ROW() - 37), "")</f>
        <v/>
      </c>
      <c r="H4650" s="6"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6" t="str" cm="1">
        <f t="array" ref="G4651">IFERROR(INDEX(EmployeeData[Join Date], ROW() - 37), "")</f>
        <v/>
      </c>
      <c r="H4651" s="6"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6" t="str" cm="1">
        <f t="array" ref="G4652">IFERROR(INDEX(EmployeeData[Join Date], ROW() - 37), "")</f>
        <v/>
      </c>
      <c r="H4652" s="6"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6" t="str" cm="1">
        <f t="array" ref="G4653">IFERROR(INDEX(EmployeeData[Join Date], ROW() - 37), "")</f>
        <v/>
      </c>
      <c r="H4653" s="6"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6" t="str" cm="1">
        <f t="array" ref="G4654">IFERROR(INDEX(EmployeeData[Join Date], ROW() - 37), "")</f>
        <v/>
      </c>
      <c r="H4654" s="6"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6" t="str" cm="1">
        <f t="array" ref="G4655">IFERROR(INDEX(EmployeeData[Join Date], ROW() - 37), "")</f>
        <v/>
      </c>
      <c r="H4655" s="6"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6" t="str" cm="1">
        <f t="array" ref="G4656">IFERROR(INDEX(EmployeeData[Join Date], ROW() - 37), "")</f>
        <v/>
      </c>
      <c r="H4656" s="6"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6" t="str" cm="1">
        <f t="array" ref="G4657">IFERROR(INDEX(EmployeeData[Join Date], ROW() - 37), "")</f>
        <v/>
      </c>
      <c r="H4657" s="6"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6" t="str" cm="1">
        <f t="array" ref="G4658">IFERROR(INDEX(EmployeeData[Join Date], ROW() - 37), "")</f>
        <v/>
      </c>
      <c r="H4658" s="6"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6" t="str" cm="1">
        <f t="array" ref="G4659">IFERROR(INDEX(EmployeeData[Join Date], ROW() - 37), "")</f>
        <v/>
      </c>
      <c r="H4659" s="6"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6" t="str" cm="1">
        <f t="array" ref="G4660">IFERROR(INDEX(EmployeeData[Join Date], ROW() - 37), "")</f>
        <v/>
      </c>
      <c r="H4660" s="6"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6" t="str" cm="1">
        <f t="array" ref="G4661">IFERROR(INDEX(EmployeeData[Join Date], ROW() - 37), "")</f>
        <v/>
      </c>
      <c r="H4661" s="6"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6" t="str" cm="1">
        <f t="array" ref="G4662">IFERROR(INDEX(EmployeeData[Join Date], ROW() - 37), "")</f>
        <v/>
      </c>
      <c r="H4662" s="6"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6" t="str" cm="1">
        <f t="array" ref="G4663">IFERROR(INDEX(EmployeeData[Join Date], ROW() - 37), "")</f>
        <v/>
      </c>
      <c r="H4663" s="6"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6" t="str" cm="1">
        <f t="array" ref="G4664">IFERROR(INDEX(EmployeeData[Join Date], ROW() - 37), "")</f>
        <v/>
      </c>
      <c r="H4664" s="6"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6" t="str" cm="1">
        <f t="array" ref="G4665">IFERROR(INDEX(EmployeeData[Join Date], ROW() - 37), "")</f>
        <v/>
      </c>
      <c r="H4665" s="6"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6" t="str" cm="1">
        <f t="array" ref="G4666">IFERROR(INDEX(EmployeeData[Join Date], ROW() - 37), "")</f>
        <v/>
      </c>
      <c r="H4666" s="6"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6" t="str" cm="1">
        <f t="array" ref="G4667">IFERROR(INDEX(EmployeeData[Join Date], ROW() - 37), "")</f>
        <v/>
      </c>
      <c r="H4667" s="6"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6" t="str" cm="1">
        <f t="array" ref="G4668">IFERROR(INDEX(EmployeeData[Join Date], ROW() - 37), "")</f>
        <v/>
      </c>
      <c r="H4668" s="6"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6" t="str" cm="1">
        <f t="array" ref="G4669">IFERROR(INDEX(EmployeeData[Join Date], ROW() - 37), "")</f>
        <v/>
      </c>
      <c r="H4669" s="6"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6" t="str" cm="1">
        <f t="array" ref="G4670">IFERROR(INDEX(EmployeeData[Join Date], ROW() - 37), "")</f>
        <v/>
      </c>
      <c r="H4670" s="6"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6" t="str" cm="1">
        <f t="array" ref="G4671">IFERROR(INDEX(EmployeeData[Join Date], ROW() - 37), "")</f>
        <v/>
      </c>
      <c r="H4671" s="6"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6" t="str" cm="1">
        <f t="array" ref="G4672">IFERROR(INDEX(EmployeeData[Join Date], ROW() - 37), "")</f>
        <v/>
      </c>
      <c r="H4672" s="6"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6" t="str" cm="1">
        <f t="array" ref="G4673">IFERROR(INDEX(EmployeeData[Join Date], ROW() - 37), "")</f>
        <v/>
      </c>
      <c r="H4673" s="6"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6" t="str" cm="1">
        <f t="array" ref="G4674">IFERROR(INDEX(EmployeeData[Join Date], ROW() - 37), "")</f>
        <v/>
      </c>
      <c r="H4674" s="6"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6" t="str" cm="1">
        <f t="array" ref="G4675">IFERROR(INDEX(EmployeeData[Join Date], ROW() - 37), "")</f>
        <v/>
      </c>
      <c r="H4675" s="6"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6" t="str" cm="1">
        <f t="array" ref="G4676">IFERROR(INDEX(EmployeeData[Join Date], ROW() - 37), "")</f>
        <v/>
      </c>
      <c r="H4676" s="6"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6" t="str" cm="1">
        <f t="array" ref="G4677">IFERROR(INDEX(EmployeeData[Join Date], ROW() - 37), "")</f>
        <v/>
      </c>
      <c r="H4677" s="6"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6" t="str" cm="1">
        <f t="array" ref="G4678">IFERROR(INDEX(EmployeeData[Join Date], ROW() - 37), "")</f>
        <v/>
      </c>
      <c r="H4678" s="6"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6" t="str" cm="1">
        <f t="array" ref="G4679">IFERROR(INDEX(EmployeeData[Join Date], ROW() - 37), "")</f>
        <v/>
      </c>
      <c r="H4679" s="6"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6" t="str" cm="1">
        <f t="array" ref="G4680">IFERROR(INDEX(EmployeeData[Join Date], ROW() - 37), "")</f>
        <v/>
      </c>
      <c r="H4680" s="6"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6" t="str" cm="1">
        <f t="array" ref="G4681">IFERROR(INDEX(EmployeeData[Join Date], ROW() - 37), "")</f>
        <v/>
      </c>
      <c r="H4681" s="6"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6" t="str" cm="1">
        <f t="array" ref="G4682">IFERROR(INDEX(EmployeeData[Join Date], ROW() - 37), "")</f>
        <v/>
      </c>
      <c r="H4682" s="6"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6" t="str" cm="1">
        <f t="array" ref="G4683">IFERROR(INDEX(EmployeeData[Join Date], ROW() - 37), "")</f>
        <v/>
      </c>
      <c r="H4683" s="6"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6" t="str" cm="1">
        <f t="array" ref="G4684">IFERROR(INDEX(EmployeeData[Join Date], ROW() - 37), "")</f>
        <v/>
      </c>
      <c r="H4684" s="6"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6" t="str" cm="1">
        <f t="array" ref="G4685">IFERROR(INDEX(EmployeeData[Join Date], ROW() - 37), "")</f>
        <v/>
      </c>
      <c r="H4685" s="6"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6" t="str" cm="1">
        <f t="array" ref="G4686">IFERROR(INDEX(EmployeeData[Join Date], ROW() - 37), "")</f>
        <v/>
      </c>
      <c r="H4686" s="6"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6" t="str" cm="1">
        <f t="array" ref="G4687">IFERROR(INDEX(EmployeeData[Join Date], ROW() - 37), "")</f>
        <v/>
      </c>
      <c r="H4687" s="6"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6" t="str" cm="1">
        <f t="array" ref="G4688">IFERROR(INDEX(EmployeeData[Join Date], ROW() - 37), "")</f>
        <v/>
      </c>
      <c r="H4688" s="6"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6" t="str" cm="1">
        <f t="array" ref="G4689">IFERROR(INDEX(EmployeeData[Join Date], ROW() - 37), "")</f>
        <v/>
      </c>
      <c r="H4689" s="6"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6" t="str" cm="1">
        <f t="array" ref="G4690">IFERROR(INDEX(EmployeeData[Join Date], ROW() - 37), "")</f>
        <v/>
      </c>
      <c r="H4690" s="6"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6" t="str" cm="1">
        <f t="array" ref="G4691">IFERROR(INDEX(EmployeeData[Join Date], ROW() - 37), "")</f>
        <v/>
      </c>
      <c r="H4691" s="6"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6" t="str" cm="1">
        <f t="array" ref="G4692">IFERROR(INDEX(EmployeeData[Join Date], ROW() - 37), "")</f>
        <v/>
      </c>
      <c r="H4692" s="6"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6" t="str" cm="1">
        <f t="array" ref="G4693">IFERROR(INDEX(EmployeeData[Join Date], ROW() - 37), "")</f>
        <v/>
      </c>
      <c r="H4693" s="6"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6" t="str" cm="1">
        <f t="array" ref="G4694">IFERROR(INDEX(EmployeeData[Join Date], ROW() - 37), "")</f>
        <v/>
      </c>
      <c r="H4694" s="6"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6" t="str" cm="1">
        <f t="array" ref="G4695">IFERROR(INDEX(EmployeeData[Join Date], ROW() - 37), "")</f>
        <v/>
      </c>
      <c r="H4695" s="6"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6" t="str" cm="1">
        <f t="array" ref="G4696">IFERROR(INDEX(EmployeeData[Join Date], ROW() - 37), "")</f>
        <v/>
      </c>
      <c r="H4696" s="6"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6" t="str" cm="1">
        <f t="array" ref="G4697">IFERROR(INDEX(EmployeeData[Join Date], ROW() - 37), "")</f>
        <v/>
      </c>
      <c r="H4697" s="6"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6" t="str" cm="1">
        <f t="array" ref="G4698">IFERROR(INDEX(EmployeeData[Join Date], ROW() - 37), "")</f>
        <v/>
      </c>
      <c r="H4698" s="6"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6" t="str" cm="1">
        <f t="array" ref="G4699">IFERROR(INDEX(EmployeeData[Join Date], ROW() - 37), "")</f>
        <v/>
      </c>
      <c r="H4699" s="6"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6" t="str" cm="1">
        <f t="array" ref="G4700">IFERROR(INDEX(EmployeeData[Join Date], ROW() - 37), "")</f>
        <v/>
      </c>
      <c r="H4700" s="6"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6" t="str" cm="1">
        <f t="array" ref="G4701">IFERROR(INDEX(EmployeeData[Join Date], ROW() - 37), "")</f>
        <v/>
      </c>
      <c r="H4701" s="6"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6" t="str" cm="1">
        <f t="array" ref="G4702">IFERROR(INDEX(EmployeeData[Join Date], ROW() - 37), "")</f>
        <v/>
      </c>
      <c r="H4702" s="6"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6" t="str" cm="1">
        <f t="array" ref="G4703">IFERROR(INDEX(EmployeeData[Join Date], ROW() - 37), "")</f>
        <v/>
      </c>
      <c r="H4703" s="6"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6" t="str" cm="1">
        <f t="array" ref="G4704">IFERROR(INDEX(EmployeeData[Join Date], ROW() - 37), "")</f>
        <v/>
      </c>
      <c r="H4704" s="6"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6" t="str" cm="1">
        <f t="array" ref="G4705">IFERROR(INDEX(EmployeeData[Join Date], ROW() - 37), "")</f>
        <v/>
      </c>
      <c r="H4705" s="6"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6" t="str" cm="1">
        <f t="array" ref="G4706">IFERROR(INDEX(EmployeeData[Join Date], ROW() - 37), "")</f>
        <v/>
      </c>
      <c r="H4706" s="6"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6" t="str" cm="1">
        <f t="array" ref="G4707">IFERROR(INDEX(EmployeeData[Join Date], ROW() - 37), "")</f>
        <v/>
      </c>
      <c r="H4707" s="6"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6" t="str" cm="1">
        <f t="array" ref="G4708">IFERROR(INDEX(EmployeeData[Join Date], ROW() - 37), "")</f>
        <v/>
      </c>
      <c r="H4708" s="6"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6" t="str" cm="1">
        <f t="array" ref="G4709">IFERROR(INDEX(EmployeeData[Join Date], ROW() - 37), "")</f>
        <v/>
      </c>
      <c r="H4709" s="6"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6" t="str" cm="1">
        <f t="array" ref="G4710">IFERROR(INDEX(EmployeeData[Join Date], ROW() - 37), "")</f>
        <v/>
      </c>
      <c r="H4710" s="6"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6" t="str" cm="1">
        <f t="array" ref="G4711">IFERROR(INDEX(EmployeeData[Join Date], ROW() - 37), "")</f>
        <v/>
      </c>
      <c r="H4711" s="6"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6" t="str" cm="1">
        <f t="array" ref="G4712">IFERROR(INDEX(EmployeeData[Join Date], ROW() - 37), "")</f>
        <v/>
      </c>
      <c r="H4712" s="6"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6" t="str" cm="1">
        <f t="array" ref="G4713">IFERROR(INDEX(EmployeeData[Join Date], ROW() - 37), "")</f>
        <v/>
      </c>
      <c r="H4713" s="6"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6" t="str" cm="1">
        <f t="array" ref="G4714">IFERROR(INDEX(EmployeeData[Join Date], ROW() - 37), "")</f>
        <v/>
      </c>
      <c r="H4714" s="6"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6" t="str" cm="1">
        <f t="array" ref="G4715">IFERROR(INDEX(EmployeeData[Join Date], ROW() - 37), "")</f>
        <v/>
      </c>
      <c r="H4715" s="6"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6" t="str" cm="1">
        <f t="array" ref="G4716">IFERROR(INDEX(EmployeeData[Join Date], ROW() - 37), "")</f>
        <v/>
      </c>
      <c r="H4716" s="6"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6" t="str" cm="1">
        <f t="array" ref="G4717">IFERROR(INDEX(EmployeeData[Join Date], ROW() - 37), "")</f>
        <v/>
      </c>
      <c r="H4717" s="6"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6" t="str" cm="1">
        <f t="array" ref="G4718">IFERROR(INDEX(EmployeeData[Join Date], ROW() - 37), "")</f>
        <v/>
      </c>
      <c r="H4718" s="6"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6" t="str" cm="1">
        <f t="array" ref="G4719">IFERROR(INDEX(EmployeeData[Join Date], ROW() - 37), "")</f>
        <v/>
      </c>
      <c r="H4719" s="6"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6" t="str" cm="1">
        <f t="array" ref="G4720">IFERROR(INDEX(EmployeeData[Join Date], ROW() - 37), "")</f>
        <v/>
      </c>
      <c r="H4720" s="6"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6" t="str" cm="1">
        <f t="array" ref="G4721">IFERROR(INDEX(EmployeeData[Join Date], ROW() - 37), "")</f>
        <v/>
      </c>
      <c r="H4721" s="6"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6" t="str" cm="1">
        <f t="array" ref="G4722">IFERROR(INDEX(EmployeeData[Join Date], ROW() - 37), "")</f>
        <v/>
      </c>
      <c r="H4722" s="6"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6" t="str" cm="1">
        <f t="array" ref="G4723">IFERROR(INDEX(EmployeeData[Join Date], ROW() - 37), "")</f>
        <v/>
      </c>
      <c r="H4723" s="6"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6" t="str" cm="1">
        <f t="array" ref="G4724">IFERROR(INDEX(EmployeeData[Join Date], ROW() - 37), "")</f>
        <v/>
      </c>
      <c r="H4724" s="6"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6" t="str" cm="1">
        <f t="array" ref="G4725">IFERROR(INDEX(EmployeeData[Join Date], ROW() - 37), "")</f>
        <v/>
      </c>
      <c r="H4725" s="6"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6" t="str" cm="1">
        <f t="array" ref="G4726">IFERROR(INDEX(EmployeeData[Join Date], ROW() - 37), "")</f>
        <v/>
      </c>
      <c r="H4726" s="6"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6" t="str" cm="1">
        <f t="array" ref="G4727">IFERROR(INDEX(EmployeeData[Join Date], ROW() - 37), "")</f>
        <v/>
      </c>
      <c r="H4727" s="6"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6" t="str" cm="1">
        <f t="array" ref="G4728">IFERROR(INDEX(EmployeeData[Join Date], ROW() - 37), "")</f>
        <v/>
      </c>
      <c r="H4728" s="6"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6" t="str" cm="1">
        <f t="array" ref="G4729">IFERROR(INDEX(EmployeeData[Join Date], ROW() - 37), "")</f>
        <v/>
      </c>
      <c r="H4729" s="6"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6" t="str" cm="1">
        <f t="array" ref="G4730">IFERROR(INDEX(EmployeeData[Join Date], ROW() - 37), "")</f>
        <v/>
      </c>
      <c r="H4730" s="6"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6" t="str" cm="1">
        <f t="array" ref="G4731">IFERROR(INDEX(EmployeeData[Join Date], ROW() - 37), "")</f>
        <v/>
      </c>
      <c r="H4731" s="6"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6" t="str" cm="1">
        <f t="array" ref="G4732">IFERROR(INDEX(EmployeeData[Join Date], ROW() - 37), "")</f>
        <v/>
      </c>
      <c r="H4732" s="6"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6" t="str" cm="1">
        <f t="array" ref="G4733">IFERROR(INDEX(EmployeeData[Join Date], ROW() - 37), "")</f>
        <v/>
      </c>
      <c r="H4733" s="6"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6" t="str" cm="1">
        <f t="array" ref="G4734">IFERROR(INDEX(EmployeeData[Join Date], ROW() - 37), "")</f>
        <v/>
      </c>
      <c r="H4734" s="6"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6" t="str" cm="1">
        <f t="array" ref="G4735">IFERROR(INDEX(EmployeeData[Join Date], ROW() - 37), "")</f>
        <v/>
      </c>
      <c r="H4735" s="6"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6" t="str" cm="1">
        <f t="array" ref="G4736">IFERROR(INDEX(EmployeeData[Join Date], ROW() - 37), "")</f>
        <v/>
      </c>
      <c r="H4736" s="6"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6" t="str" cm="1">
        <f t="array" ref="G4737">IFERROR(INDEX(EmployeeData[Join Date], ROW() - 37), "")</f>
        <v/>
      </c>
      <c r="H4737" s="6"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6" t="str" cm="1">
        <f t="array" ref="G4738">IFERROR(INDEX(EmployeeData[Join Date], ROW() - 37), "")</f>
        <v/>
      </c>
      <c r="H4738" s="6"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6" t="str" cm="1">
        <f t="array" ref="G4739">IFERROR(INDEX(EmployeeData[Join Date], ROW() - 37), "")</f>
        <v/>
      </c>
      <c r="H4739" s="6"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6" t="str" cm="1">
        <f t="array" ref="G4740">IFERROR(INDEX(EmployeeData[Join Date], ROW() - 37), "")</f>
        <v/>
      </c>
      <c r="H4740" s="6"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6" t="str" cm="1">
        <f t="array" ref="G4741">IFERROR(INDEX(EmployeeData[Join Date], ROW() - 37), "")</f>
        <v/>
      </c>
      <c r="H4741" s="6"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6" t="str" cm="1">
        <f t="array" ref="G4742">IFERROR(INDEX(EmployeeData[Join Date], ROW() - 37), "")</f>
        <v/>
      </c>
      <c r="H4742" s="6"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6" t="str" cm="1">
        <f t="array" ref="G4743">IFERROR(INDEX(EmployeeData[Join Date], ROW() - 37), "")</f>
        <v/>
      </c>
      <c r="H4743" s="6"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6" t="str" cm="1">
        <f t="array" ref="G4744">IFERROR(INDEX(EmployeeData[Join Date], ROW() - 37), "")</f>
        <v/>
      </c>
      <c r="H4744" s="6"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6" t="str" cm="1">
        <f t="array" ref="G4745">IFERROR(INDEX(EmployeeData[Join Date], ROW() - 37), "")</f>
        <v/>
      </c>
      <c r="H4745" s="6"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6" t="str" cm="1">
        <f t="array" ref="G4746">IFERROR(INDEX(EmployeeData[Join Date], ROW() - 37), "")</f>
        <v/>
      </c>
      <c r="H4746" s="6"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6" t="str" cm="1">
        <f t="array" ref="G4747">IFERROR(INDEX(EmployeeData[Join Date], ROW() - 37), "")</f>
        <v/>
      </c>
      <c r="H4747" s="6"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6" t="str" cm="1">
        <f t="array" ref="G4748">IFERROR(INDEX(EmployeeData[Join Date], ROW() - 37), "")</f>
        <v/>
      </c>
      <c r="H4748" s="6"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6" t="str" cm="1">
        <f t="array" ref="G4749">IFERROR(INDEX(EmployeeData[Join Date], ROW() - 37), "")</f>
        <v/>
      </c>
      <c r="H4749" s="6"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6" t="str" cm="1">
        <f t="array" ref="G4750">IFERROR(INDEX(EmployeeData[Join Date], ROW() - 37), "")</f>
        <v/>
      </c>
      <c r="H4750" s="6"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6" t="str" cm="1">
        <f t="array" ref="G4751">IFERROR(INDEX(EmployeeData[Join Date], ROW() - 37), "")</f>
        <v/>
      </c>
      <c r="H4751" s="6"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6" t="str" cm="1">
        <f t="array" ref="G4752">IFERROR(INDEX(EmployeeData[Join Date], ROW() - 37), "")</f>
        <v/>
      </c>
      <c r="H4752" s="6"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6" t="str" cm="1">
        <f t="array" ref="G4753">IFERROR(INDEX(EmployeeData[Join Date], ROW() - 37), "")</f>
        <v/>
      </c>
      <c r="H4753" s="6"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6" t="str" cm="1">
        <f t="array" ref="G4754">IFERROR(INDEX(EmployeeData[Join Date], ROW() - 37), "")</f>
        <v/>
      </c>
      <c r="H4754" s="6"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6" t="str" cm="1">
        <f t="array" ref="G4755">IFERROR(INDEX(EmployeeData[Join Date], ROW() - 37), "")</f>
        <v/>
      </c>
      <c r="H4755" s="6"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6" t="str" cm="1">
        <f t="array" ref="G4756">IFERROR(INDEX(EmployeeData[Join Date], ROW() - 37), "")</f>
        <v/>
      </c>
      <c r="H4756" s="6"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6" t="str" cm="1">
        <f t="array" ref="G4757">IFERROR(INDEX(EmployeeData[Join Date], ROW() - 37), "")</f>
        <v/>
      </c>
      <c r="H4757" s="6"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6" t="str" cm="1">
        <f t="array" ref="G4758">IFERROR(INDEX(EmployeeData[Join Date], ROW() - 37), "")</f>
        <v/>
      </c>
      <c r="H4758" s="6"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6" t="str" cm="1">
        <f t="array" ref="G4759">IFERROR(INDEX(EmployeeData[Join Date], ROW() - 37), "")</f>
        <v/>
      </c>
      <c r="H4759" s="6"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6" t="str" cm="1">
        <f t="array" ref="G4760">IFERROR(INDEX(EmployeeData[Join Date], ROW() - 37), "")</f>
        <v/>
      </c>
      <c r="H4760" s="6"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6" t="str" cm="1">
        <f t="array" ref="G4761">IFERROR(INDEX(EmployeeData[Join Date], ROW() - 37), "")</f>
        <v/>
      </c>
      <c r="H4761" s="6"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6" t="str" cm="1">
        <f t="array" ref="G4762">IFERROR(INDEX(EmployeeData[Join Date], ROW() - 37), "")</f>
        <v/>
      </c>
      <c r="H4762" s="6"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6" t="str" cm="1">
        <f t="array" ref="G4763">IFERROR(INDEX(EmployeeData[Join Date], ROW() - 37), "")</f>
        <v/>
      </c>
      <c r="H4763" s="6"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6" t="str" cm="1">
        <f t="array" ref="G4764">IFERROR(INDEX(EmployeeData[Join Date], ROW() - 37), "")</f>
        <v/>
      </c>
      <c r="H4764" s="6"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6" t="str" cm="1">
        <f t="array" ref="G4765">IFERROR(INDEX(EmployeeData[Join Date], ROW() - 37), "")</f>
        <v/>
      </c>
      <c r="H4765" s="6"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6" t="str" cm="1">
        <f t="array" ref="G4766">IFERROR(INDEX(EmployeeData[Join Date], ROW() - 37), "")</f>
        <v/>
      </c>
      <c r="H4766" s="6"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6" t="str" cm="1">
        <f t="array" ref="G4767">IFERROR(INDEX(EmployeeData[Join Date], ROW() - 37), "")</f>
        <v/>
      </c>
      <c r="H4767" s="6"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6" t="str" cm="1">
        <f t="array" ref="G4768">IFERROR(INDEX(EmployeeData[Join Date], ROW() - 37), "")</f>
        <v/>
      </c>
      <c r="H4768" s="6"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6" t="str" cm="1">
        <f t="array" ref="G4769">IFERROR(INDEX(EmployeeData[Join Date], ROW() - 37), "")</f>
        <v/>
      </c>
      <c r="H4769" s="6"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6" t="str" cm="1">
        <f t="array" ref="G4770">IFERROR(INDEX(EmployeeData[Join Date], ROW() - 37), "")</f>
        <v/>
      </c>
      <c r="H4770" s="6"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6" t="str" cm="1">
        <f t="array" ref="G4771">IFERROR(INDEX(EmployeeData[Join Date], ROW() - 37), "")</f>
        <v/>
      </c>
      <c r="H4771" s="6"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6" t="str" cm="1">
        <f t="array" ref="G4772">IFERROR(INDEX(EmployeeData[Join Date], ROW() - 37), "")</f>
        <v/>
      </c>
      <c r="H4772" s="6"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6" t="str" cm="1">
        <f t="array" ref="G4773">IFERROR(INDEX(EmployeeData[Join Date], ROW() - 37), "")</f>
        <v/>
      </c>
      <c r="H4773" s="6"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6" t="str" cm="1">
        <f t="array" ref="G4774">IFERROR(INDEX(EmployeeData[Join Date], ROW() - 37), "")</f>
        <v/>
      </c>
      <c r="H4774" s="6"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6" t="str" cm="1">
        <f t="array" ref="G4775">IFERROR(INDEX(EmployeeData[Join Date], ROW() - 37), "")</f>
        <v/>
      </c>
      <c r="H4775" s="6"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6" t="str" cm="1">
        <f t="array" ref="G4776">IFERROR(INDEX(EmployeeData[Join Date], ROW() - 37), "")</f>
        <v/>
      </c>
      <c r="H4776" s="6"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6" t="str" cm="1">
        <f t="array" ref="G4777">IFERROR(INDEX(EmployeeData[Join Date], ROW() - 37), "")</f>
        <v/>
      </c>
      <c r="H4777" s="6"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6" t="str" cm="1">
        <f t="array" ref="G4778">IFERROR(INDEX(EmployeeData[Join Date], ROW() - 37), "")</f>
        <v/>
      </c>
      <c r="H4778" s="6"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6" t="str" cm="1">
        <f t="array" ref="G4779">IFERROR(INDEX(EmployeeData[Join Date], ROW() - 37), "")</f>
        <v/>
      </c>
      <c r="H4779" s="6"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6" t="str" cm="1">
        <f t="array" ref="G4780">IFERROR(INDEX(EmployeeData[Join Date], ROW() - 37), "")</f>
        <v/>
      </c>
      <c r="H4780" s="6"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6" t="str" cm="1">
        <f t="array" ref="G4781">IFERROR(INDEX(EmployeeData[Join Date], ROW() - 37), "")</f>
        <v/>
      </c>
      <c r="H4781" s="6"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6" t="str" cm="1">
        <f t="array" ref="G4782">IFERROR(INDEX(EmployeeData[Join Date], ROW() - 37), "")</f>
        <v/>
      </c>
      <c r="H4782" s="6"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6" t="str" cm="1">
        <f t="array" ref="G4783">IFERROR(INDEX(EmployeeData[Join Date], ROW() - 37), "")</f>
        <v/>
      </c>
      <c r="H4783" s="6"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6" t="str" cm="1">
        <f t="array" ref="G4784">IFERROR(INDEX(EmployeeData[Join Date], ROW() - 37), "")</f>
        <v/>
      </c>
      <c r="H4784" s="6"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6" t="str" cm="1">
        <f t="array" ref="G4785">IFERROR(INDEX(EmployeeData[Join Date], ROW() - 37), "")</f>
        <v/>
      </c>
      <c r="H4785" s="6"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6" t="str" cm="1">
        <f t="array" ref="G4786">IFERROR(INDEX(EmployeeData[Join Date], ROW() - 37), "")</f>
        <v/>
      </c>
      <c r="H4786" s="6"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6" t="str" cm="1">
        <f t="array" ref="G4787">IFERROR(INDEX(EmployeeData[Join Date], ROW() - 37), "")</f>
        <v/>
      </c>
      <c r="H4787" s="6"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6" t="str" cm="1">
        <f t="array" ref="G4788">IFERROR(INDEX(EmployeeData[Join Date], ROW() - 37), "")</f>
        <v/>
      </c>
      <c r="H4788" s="6"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6" t="str" cm="1">
        <f t="array" ref="G4789">IFERROR(INDEX(EmployeeData[Join Date], ROW() - 37), "")</f>
        <v/>
      </c>
      <c r="H4789" s="6"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6" t="str" cm="1">
        <f t="array" ref="G4790">IFERROR(INDEX(EmployeeData[Join Date], ROW() - 37), "")</f>
        <v/>
      </c>
      <c r="H4790" s="6"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6" t="str" cm="1">
        <f t="array" ref="G4791">IFERROR(INDEX(EmployeeData[Join Date], ROW() - 37), "")</f>
        <v/>
      </c>
      <c r="H4791" s="6"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6" t="str" cm="1">
        <f t="array" ref="G4792">IFERROR(INDEX(EmployeeData[Join Date], ROW() - 37), "")</f>
        <v/>
      </c>
      <c r="H4792" s="6"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6" t="str" cm="1">
        <f t="array" ref="G4793">IFERROR(INDEX(EmployeeData[Join Date], ROW() - 37), "")</f>
        <v/>
      </c>
      <c r="H4793" s="6"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6" t="str" cm="1">
        <f t="array" ref="G4794">IFERROR(INDEX(EmployeeData[Join Date], ROW() - 37), "")</f>
        <v/>
      </c>
      <c r="H4794" s="6"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6" t="str" cm="1">
        <f t="array" ref="G4795">IFERROR(INDEX(EmployeeData[Join Date], ROW() - 37), "")</f>
        <v/>
      </c>
      <c r="H4795" s="6"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6" t="str" cm="1">
        <f t="array" ref="G4796">IFERROR(INDEX(EmployeeData[Join Date], ROW() - 37), "")</f>
        <v/>
      </c>
      <c r="H4796" s="6"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6" t="str" cm="1">
        <f t="array" ref="G4797">IFERROR(INDEX(EmployeeData[Join Date], ROW() - 37), "")</f>
        <v/>
      </c>
      <c r="H4797" s="6"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6" t="str" cm="1">
        <f t="array" ref="G4798">IFERROR(INDEX(EmployeeData[Join Date], ROW() - 37), "")</f>
        <v/>
      </c>
      <c r="H4798" s="6"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6" t="str" cm="1">
        <f t="array" ref="G4799">IFERROR(INDEX(EmployeeData[Join Date], ROW() - 37), "")</f>
        <v/>
      </c>
      <c r="H4799" s="6"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6" t="str" cm="1">
        <f t="array" ref="G4800">IFERROR(INDEX(EmployeeData[Join Date], ROW() - 37), "")</f>
        <v/>
      </c>
      <c r="H4800" s="6"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6" t="str" cm="1">
        <f t="array" ref="G4801">IFERROR(INDEX(EmployeeData[Join Date], ROW() - 37), "")</f>
        <v/>
      </c>
      <c r="H4801" s="6"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6" t="str" cm="1">
        <f t="array" ref="G4802">IFERROR(INDEX(EmployeeData[Join Date], ROW() - 37), "")</f>
        <v/>
      </c>
      <c r="H4802" s="6"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6" t="str" cm="1">
        <f t="array" ref="G4803">IFERROR(INDEX(EmployeeData[Join Date], ROW() - 37), "")</f>
        <v/>
      </c>
      <c r="H4803" s="6"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6" t="str" cm="1">
        <f t="array" ref="G4804">IFERROR(INDEX(EmployeeData[Join Date], ROW() - 37), "")</f>
        <v/>
      </c>
      <c r="H4804" s="6"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6" t="str" cm="1">
        <f t="array" ref="G4805">IFERROR(INDEX(EmployeeData[Join Date], ROW() - 37), "")</f>
        <v/>
      </c>
      <c r="H4805" s="6"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6" t="str" cm="1">
        <f t="array" ref="G4806">IFERROR(INDEX(EmployeeData[Join Date], ROW() - 37), "")</f>
        <v/>
      </c>
      <c r="H4806" s="6"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6" t="str" cm="1">
        <f t="array" ref="G4807">IFERROR(INDEX(EmployeeData[Join Date], ROW() - 37), "")</f>
        <v/>
      </c>
      <c r="H4807" s="6"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6" t="str" cm="1">
        <f t="array" ref="G4808">IFERROR(INDEX(EmployeeData[Join Date], ROW() - 37), "")</f>
        <v/>
      </c>
      <c r="H4808" s="6"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6" t="str" cm="1">
        <f t="array" ref="G4809">IFERROR(INDEX(EmployeeData[Join Date], ROW() - 37), "")</f>
        <v/>
      </c>
      <c r="H4809" s="6"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6" t="str" cm="1">
        <f t="array" ref="G4810">IFERROR(INDEX(EmployeeData[Join Date], ROW() - 37), "")</f>
        <v/>
      </c>
      <c r="H4810" s="6"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6" t="str" cm="1">
        <f t="array" ref="G4811">IFERROR(INDEX(EmployeeData[Join Date], ROW() - 37), "")</f>
        <v/>
      </c>
      <c r="H4811" s="6"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6" t="str" cm="1">
        <f t="array" ref="G4812">IFERROR(INDEX(EmployeeData[Join Date], ROW() - 37), "")</f>
        <v/>
      </c>
      <c r="H4812" s="6"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6" t="str" cm="1">
        <f t="array" ref="G4813">IFERROR(INDEX(EmployeeData[Join Date], ROW() - 37), "")</f>
        <v/>
      </c>
      <c r="H4813" s="6"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6" t="str" cm="1">
        <f t="array" ref="G4814">IFERROR(INDEX(EmployeeData[Join Date], ROW() - 37), "")</f>
        <v/>
      </c>
      <c r="H4814" s="6"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6" t="str" cm="1">
        <f t="array" ref="G4815">IFERROR(INDEX(EmployeeData[Join Date], ROW() - 37), "")</f>
        <v/>
      </c>
      <c r="H4815" s="6"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6" t="str" cm="1">
        <f t="array" ref="G4816">IFERROR(INDEX(EmployeeData[Join Date], ROW() - 37), "")</f>
        <v/>
      </c>
      <c r="H4816" s="6"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6" t="str" cm="1">
        <f t="array" ref="G4817">IFERROR(INDEX(EmployeeData[Join Date], ROW() - 37), "")</f>
        <v/>
      </c>
      <c r="H4817" s="6"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6" t="str" cm="1">
        <f t="array" ref="G4818">IFERROR(INDEX(EmployeeData[Join Date], ROW() - 37), "")</f>
        <v/>
      </c>
      <c r="H4818" s="6"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6" t="str" cm="1">
        <f t="array" ref="G4819">IFERROR(INDEX(EmployeeData[Join Date], ROW() - 37), "")</f>
        <v/>
      </c>
      <c r="H4819" s="6"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6" t="str" cm="1">
        <f t="array" ref="G4820">IFERROR(INDEX(EmployeeData[Join Date], ROW() - 37), "")</f>
        <v/>
      </c>
      <c r="H4820" s="6"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6" t="str" cm="1">
        <f t="array" ref="G4821">IFERROR(INDEX(EmployeeData[Join Date], ROW() - 37), "")</f>
        <v/>
      </c>
      <c r="H4821" s="6"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6" t="str" cm="1">
        <f t="array" ref="G4822">IFERROR(INDEX(EmployeeData[Join Date], ROW() - 37), "")</f>
        <v/>
      </c>
      <c r="H4822" s="6"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6" t="str" cm="1">
        <f t="array" ref="G4823">IFERROR(INDEX(EmployeeData[Join Date], ROW() - 37), "")</f>
        <v/>
      </c>
      <c r="H4823" s="6"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6" t="str" cm="1">
        <f t="array" ref="G4824">IFERROR(INDEX(EmployeeData[Join Date], ROW() - 37), "")</f>
        <v/>
      </c>
      <c r="H4824" s="6"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6" t="str" cm="1">
        <f t="array" ref="G4825">IFERROR(INDEX(EmployeeData[Join Date], ROW() - 37), "")</f>
        <v/>
      </c>
      <c r="H4825" s="6"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6" t="str" cm="1">
        <f t="array" ref="G4826">IFERROR(INDEX(EmployeeData[Join Date], ROW() - 37), "")</f>
        <v/>
      </c>
      <c r="H4826" s="6"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6" t="str" cm="1">
        <f t="array" ref="G4827">IFERROR(INDEX(EmployeeData[Join Date], ROW() - 37), "")</f>
        <v/>
      </c>
      <c r="H4827" s="6"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6" t="str" cm="1">
        <f t="array" ref="G4828">IFERROR(INDEX(EmployeeData[Join Date], ROW() - 37), "")</f>
        <v/>
      </c>
      <c r="H4828" s="6"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6" t="str" cm="1">
        <f t="array" ref="G4829">IFERROR(INDEX(EmployeeData[Join Date], ROW() - 37), "")</f>
        <v/>
      </c>
      <c r="H4829" s="6"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6" t="str" cm="1">
        <f t="array" ref="G4830">IFERROR(INDEX(EmployeeData[Join Date], ROW() - 37), "")</f>
        <v/>
      </c>
      <c r="H4830" s="6"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6" t="str" cm="1">
        <f t="array" ref="G4831">IFERROR(INDEX(EmployeeData[Join Date], ROW() - 37), "")</f>
        <v/>
      </c>
      <c r="H4831" s="6"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6" t="str" cm="1">
        <f t="array" ref="G4832">IFERROR(INDEX(EmployeeData[Join Date], ROW() - 37), "")</f>
        <v/>
      </c>
      <c r="H4832" s="6"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6" t="str" cm="1">
        <f t="array" ref="G4833">IFERROR(INDEX(EmployeeData[Join Date], ROW() - 37), "")</f>
        <v/>
      </c>
      <c r="H4833" s="6"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6" t="str" cm="1">
        <f t="array" ref="G4834">IFERROR(INDEX(EmployeeData[Join Date], ROW() - 37), "")</f>
        <v/>
      </c>
      <c r="H4834" s="6"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6" t="str" cm="1">
        <f t="array" ref="G4835">IFERROR(INDEX(EmployeeData[Join Date], ROW() - 37), "")</f>
        <v/>
      </c>
      <c r="H4835" s="6"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6" t="str" cm="1">
        <f t="array" ref="G4836">IFERROR(INDEX(EmployeeData[Join Date], ROW() - 37), "")</f>
        <v/>
      </c>
      <c r="H4836" s="6"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6" t="str" cm="1">
        <f t="array" ref="G4837">IFERROR(INDEX(EmployeeData[Join Date], ROW() - 37), "")</f>
        <v/>
      </c>
      <c r="H4837" s="6"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6" t="str" cm="1">
        <f t="array" ref="G4838">IFERROR(INDEX(EmployeeData[Join Date], ROW() - 37), "")</f>
        <v/>
      </c>
      <c r="H4838" s="6"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6" t="str" cm="1">
        <f t="array" ref="G4839">IFERROR(INDEX(EmployeeData[Join Date], ROW() - 37), "")</f>
        <v/>
      </c>
      <c r="H4839" s="6"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6" t="str" cm="1">
        <f t="array" ref="G4840">IFERROR(INDEX(EmployeeData[Join Date], ROW() - 37), "")</f>
        <v/>
      </c>
      <c r="H4840" s="6"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6" t="str" cm="1">
        <f t="array" ref="G4841">IFERROR(INDEX(EmployeeData[Join Date], ROW() - 37), "")</f>
        <v/>
      </c>
      <c r="H4841" s="6"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6" t="str" cm="1">
        <f t="array" ref="G4842">IFERROR(INDEX(EmployeeData[Join Date], ROW() - 37), "")</f>
        <v/>
      </c>
      <c r="H4842" s="6"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6" t="str" cm="1">
        <f t="array" ref="G4843">IFERROR(INDEX(EmployeeData[Join Date], ROW() - 37), "")</f>
        <v/>
      </c>
      <c r="H4843" s="6"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6" t="str" cm="1">
        <f t="array" ref="G4844">IFERROR(INDEX(EmployeeData[Join Date], ROW() - 37), "")</f>
        <v/>
      </c>
      <c r="H4844" s="6"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6" t="str" cm="1">
        <f t="array" ref="G4845">IFERROR(INDEX(EmployeeData[Join Date], ROW() - 37), "")</f>
        <v/>
      </c>
      <c r="H4845" s="6"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6" t="str" cm="1">
        <f t="array" ref="G4846">IFERROR(INDEX(EmployeeData[Join Date], ROW() - 37), "")</f>
        <v/>
      </c>
      <c r="H4846" s="6"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6" t="str" cm="1">
        <f t="array" ref="G4847">IFERROR(INDEX(EmployeeData[Join Date], ROW() - 37), "")</f>
        <v/>
      </c>
      <c r="H4847" s="6"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6" t="str" cm="1">
        <f t="array" ref="G4848">IFERROR(INDEX(EmployeeData[Join Date], ROW() - 37), "")</f>
        <v/>
      </c>
      <c r="H4848" s="6"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6" t="str" cm="1">
        <f t="array" ref="G4849">IFERROR(INDEX(EmployeeData[Join Date], ROW() - 37), "")</f>
        <v/>
      </c>
      <c r="H4849" s="6"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6" t="str" cm="1">
        <f t="array" ref="G4850">IFERROR(INDEX(EmployeeData[Join Date], ROW() - 37), "")</f>
        <v/>
      </c>
      <c r="H4850" s="6"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6" t="str" cm="1">
        <f t="array" ref="G4851">IFERROR(INDEX(EmployeeData[Join Date], ROW() - 37), "")</f>
        <v/>
      </c>
      <c r="H4851" s="6"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6" t="str" cm="1">
        <f t="array" ref="G4852">IFERROR(INDEX(EmployeeData[Join Date], ROW() - 37), "")</f>
        <v/>
      </c>
      <c r="H4852" s="6"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6" t="str" cm="1">
        <f t="array" ref="G4853">IFERROR(INDEX(EmployeeData[Join Date], ROW() - 37), "")</f>
        <v/>
      </c>
      <c r="H4853" s="6"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6" t="str" cm="1">
        <f t="array" ref="G4854">IFERROR(INDEX(EmployeeData[Join Date], ROW() - 37), "")</f>
        <v/>
      </c>
      <c r="H4854" s="6"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6" t="str" cm="1">
        <f t="array" ref="G4855">IFERROR(INDEX(EmployeeData[Join Date], ROW() - 37), "")</f>
        <v/>
      </c>
      <c r="H4855" s="6"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6" t="str" cm="1">
        <f t="array" ref="G4856">IFERROR(INDEX(EmployeeData[Join Date], ROW() - 37), "")</f>
        <v/>
      </c>
      <c r="H4856" s="6"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6" t="str" cm="1">
        <f t="array" ref="G4857">IFERROR(INDEX(EmployeeData[Join Date], ROW() - 37), "")</f>
        <v/>
      </c>
      <c r="H4857" s="6"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6" t="str" cm="1">
        <f t="array" ref="G4858">IFERROR(INDEX(EmployeeData[Join Date], ROW() - 37), "")</f>
        <v/>
      </c>
      <c r="H4858" s="6"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6" t="str" cm="1">
        <f t="array" ref="G4859">IFERROR(INDEX(EmployeeData[Join Date], ROW() - 37), "")</f>
        <v/>
      </c>
      <c r="H4859" s="6"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6" t="str" cm="1">
        <f t="array" ref="G4860">IFERROR(INDEX(EmployeeData[Join Date], ROW() - 37), "")</f>
        <v/>
      </c>
      <c r="H4860" s="6"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6" t="str" cm="1">
        <f t="array" ref="G4861">IFERROR(INDEX(EmployeeData[Join Date], ROW() - 37), "")</f>
        <v/>
      </c>
      <c r="H4861" s="6"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6" t="str" cm="1">
        <f t="array" ref="G4862">IFERROR(INDEX(EmployeeData[Join Date], ROW() - 37), "")</f>
        <v/>
      </c>
      <c r="H4862" s="6"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6" t="str" cm="1">
        <f t="array" ref="G4863">IFERROR(INDEX(EmployeeData[Join Date], ROW() - 37), "")</f>
        <v/>
      </c>
      <c r="H4863" s="6"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6" t="str" cm="1">
        <f t="array" ref="G4864">IFERROR(INDEX(EmployeeData[Join Date], ROW() - 37), "")</f>
        <v/>
      </c>
      <c r="H4864" s="6"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6" t="str" cm="1">
        <f t="array" ref="G4865">IFERROR(INDEX(EmployeeData[Join Date], ROW() - 37), "")</f>
        <v/>
      </c>
      <c r="H4865" s="6"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6" t="str" cm="1">
        <f t="array" ref="G4866">IFERROR(INDEX(EmployeeData[Join Date], ROW() - 37), "")</f>
        <v/>
      </c>
      <c r="H4866" s="6"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6" t="str" cm="1">
        <f t="array" ref="G4867">IFERROR(INDEX(EmployeeData[Join Date], ROW() - 37), "")</f>
        <v/>
      </c>
      <c r="H4867" s="6"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6" t="str" cm="1">
        <f t="array" ref="G4868">IFERROR(INDEX(EmployeeData[Join Date], ROW() - 37), "")</f>
        <v/>
      </c>
      <c r="H4868" s="6"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6" t="str" cm="1">
        <f t="array" ref="G4869">IFERROR(INDEX(EmployeeData[Join Date], ROW() - 37), "")</f>
        <v/>
      </c>
      <c r="H4869" s="6"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6" t="str" cm="1">
        <f t="array" ref="G4870">IFERROR(INDEX(EmployeeData[Join Date], ROW() - 37), "")</f>
        <v/>
      </c>
      <c r="H4870" s="6"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6" t="str" cm="1">
        <f t="array" ref="G4871">IFERROR(INDEX(EmployeeData[Join Date], ROW() - 37), "")</f>
        <v/>
      </c>
      <c r="H4871" s="6"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6" t="str" cm="1">
        <f t="array" ref="G4872">IFERROR(INDEX(EmployeeData[Join Date], ROW() - 37), "")</f>
        <v/>
      </c>
      <c r="H4872" s="6"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6" t="str" cm="1">
        <f t="array" ref="G4873">IFERROR(INDEX(EmployeeData[Join Date], ROW() - 37), "")</f>
        <v/>
      </c>
      <c r="H4873" s="6"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6" t="str" cm="1">
        <f t="array" ref="G4874">IFERROR(INDEX(EmployeeData[Join Date], ROW() - 37), "")</f>
        <v/>
      </c>
      <c r="H4874" s="6"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6" t="str" cm="1">
        <f t="array" ref="G4875">IFERROR(INDEX(EmployeeData[Join Date], ROW() - 37), "")</f>
        <v/>
      </c>
      <c r="H4875" s="6"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6" t="str" cm="1">
        <f t="array" ref="G4876">IFERROR(INDEX(EmployeeData[Join Date], ROW() - 37), "")</f>
        <v/>
      </c>
      <c r="H4876" s="6"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6" t="str" cm="1">
        <f t="array" ref="G4877">IFERROR(INDEX(EmployeeData[Join Date], ROW() - 37), "")</f>
        <v/>
      </c>
      <c r="H4877" s="6"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6" t="str" cm="1">
        <f t="array" ref="G4878">IFERROR(INDEX(EmployeeData[Join Date], ROW() - 37), "")</f>
        <v/>
      </c>
      <c r="H4878" s="6"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6" t="str" cm="1">
        <f t="array" ref="G4879">IFERROR(INDEX(EmployeeData[Join Date], ROW() - 37), "")</f>
        <v/>
      </c>
      <c r="H4879" s="6"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6" t="str" cm="1">
        <f t="array" ref="G4880">IFERROR(INDEX(EmployeeData[Join Date], ROW() - 37), "")</f>
        <v/>
      </c>
      <c r="H4880" s="6"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6" t="str" cm="1">
        <f t="array" ref="G4881">IFERROR(INDEX(EmployeeData[Join Date], ROW() - 37), "")</f>
        <v/>
      </c>
      <c r="H4881" s="6"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6" t="str" cm="1">
        <f t="array" ref="G4882">IFERROR(INDEX(EmployeeData[Join Date], ROW() - 37), "")</f>
        <v/>
      </c>
      <c r="H4882" s="6"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6" t="str" cm="1">
        <f t="array" ref="G4883">IFERROR(INDEX(EmployeeData[Join Date], ROW() - 37), "")</f>
        <v/>
      </c>
      <c r="H4883" s="6"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6" t="str" cm="1">
        <f t="array" ref="G4884">IFERROR(INDEX(EmployeeData[Join Date], ROW() - 37), "")</f>
        <v/>
      </c>
      <c r="H4884" s="6"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6" t="str" cm="1">
        <f t="array" ref="G4885">IFERROR(INDEX(EmployeeData[Join Date], ROW() - 37), "")</f>
        <v/>
      </c>
      <c r="H4885" s="6"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6" t="str" cm="1">
        <f t="array" ref="G4886">IFERROR(INDEX(EmployeeData[Join Date], ROW() - 37), "")</f>
        <v/>
      </c>
      <c r="H4886" s="6"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6" t="str" cm="1">
        <f t="array" ref="G4887">IFERROR(INDEX(EmployeeData[Join Date], ROW() - 37), "")</f>
        <v/>
      </c>
      <c r="H4887" s="6"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6" t="str" cm="1">
        <f t="array" ref="G4888">IFERROR(INDEX(EmployeeData[Join Date], ROW() - 37), "")</f>
        <v/>
      </c>
      <c r="H4888" s="6"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6" t="str" cm="1">
        <f t="array" ref="G4889">IFERROR(INDEX(EmployeeData[Join Date], ROW() - 37), "")</f>
        <v/>
      </c>
      <c r="H4889" s="6"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6" t="str" cm="1">
        <f t="array" ref="G4890">IFERROR(INDEX(EmployeeData[Join Date], ROW() - 37), "")</f>
        <v/>
      </c>
      <c r="H4890" s="6"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6" t="str" cm="1">
        <f t="array" ref="G4891">IFERROR(INDEX(EmployeeData[Join Date], ROW() - 37), "")</f>
        <v/>
      </c>
      <c r="H4891" s="6"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6" t="str" cm="1">
        <f t="array" ref="G4892">IFERROR(INDEX(EmployeeData[Join Date], ROW() - 37), "")</f>
        <v/>
      </c>
      <c r="H4892" s="6"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6" t="str" cm="1">
        <f t="array" ref="G4893">IFERROR(INDEX(EmployeeData[Join Date], ROW() - 37), "")</f>
        <v/>
      </c>
      <c r="H4893" s="6"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6" t="str" cm="1">
        <f t="array" ref="G4894">IFERROR(INDEX(EmployeeData[Join Date], ROW() - 37), "")</f>
        <v/>
      </c>
      <c r="H4894" s="6"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6" t="str" cm="1">
        <f t="array" ref="G4895">IFERROR(INDEX(EmployeeData[Join Date], ROW() - 37), "")</f>
        <v/>
      </c>
      <c r="H4895" s="6"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6" t="str" cm="1">
        <f t="array" ref="G4896">IFERROR(INDEX(EmployeeData[Join Date], ROW() - 37), "")</f>
        <v/>
      </c>
      <c r="H4896" s="6"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6" t="str" cm="1">
        <f t="array" ref="G4897">IFERROR(INDEX(EmployeeData[Join Date], ROW() - 37), "")</f>
        <v/>
      </c>
      <c r="H4897" s="6"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6" t="str" cm="1">
        <f t="array" ref="G4898">IFERROR(INDEX(EmployeeData[Join Date], ROW() - 37), "")</f>
        <v/>
      </c>
      <c r="H4898" s="6"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6" t="str" cm="1">
        <f t="array" ref="G4899">IFERROR(INDEX(EmployeeData[Join Date], ROW() - 37), "")</f>
        <v/>
      </c>
      <c r="H4899" s="6"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6" t="str" cm="1">
        <f t="array" ref="G4900">IFERROR(INDEX(EmployeeData[Join Date], ROW() - 37), "")</f>
        <v/>
      </c>
      <c r="H4900" s="6"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6" t="str" cm="1">
        <f t="array" ref="G4901">IFERROR(INDEX(EmployeeData[Join Date], ROW() - 37), "")</f>
        <v/>
      </c>
      <c r="H4901" s="6"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6" t="str" cm="1">
        <f t="array" ref="G4902">IFERROR(INDEX(EmployeeData[Join Date], ROW() - 37), "")</f>
        <v/>
      </c>
      <c r="H4902" s="6"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6" t="str" cm="1">
        <f t="array" ref="G4903">IFERROR(INDEX(EmployeeData[Join Date], ROW() - 37), "")</f>
        <v/>
      </c>
      <c r="H4903" s="6"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6" t="str" cm="1">
        <f t="array" ref="G4904">IFERROR(INDEX(EmployeeData[Join Date], ROW() - 37), "")</f>
        <v/>
      </c>
      <c r="H4904" s="6"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6" t="str" cm="1">
        <f t="array" ref="G4905">IFERROR(INDEX(EmployeeData[Join Date], ROW() - 37), "")</f>
        <v/>
      </c>
      <c r="H4905" s="6"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6" t="str" cm="1">
        <f t="array" ref="G4906">IFERROR(INDEX(EmployeeData[Join Date], ROW() - 37), "")</f>
        <v/>
      </c>
      <c r="H4906" s="6"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6" t="str" cm="1">
        <f t="array" ref="G4907">IFERROR(INDEX(EmployeeData[Join Date], ROW() - 37), "")</f>
        <v/>
      </c>
      <c r="H4907" s="6"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6" t="str" cm="1">
        <f t="array" ref="G4908">IFERROR(INDEX(EmployeeData[Join Date], ROW() - 37), "")</f>
        <v/>
      </c>
      <c r="H4908" s="6"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6" t="str" cm="1">
        <f t="array" ref="G4909">IFERROR(INDEX(EmployeeData[Join Date], ROW() - 37), "")</f>
        <v/>
      </c>
      <c r="H4909" s="6"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6" t="str" cm="1">
        <f t="array" ref="G4910">IFERROR(INDEX(EmployeeData[Join Date], ROW() - 37), "")</f>
        <v/>
      </c>
      <c r="H4910" s="6"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6" t="str" cm="1">
        <f t="array" ref="G4911">IFERROR(INDEX(EmployeeData[Join Date], ROW() - 37), "")</f>
        <v/>
      </c>
      <c r="H4911" s="6"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6" t="str" cm="1">
        <f t="array" ref="G4912">IFERROR(INDEX(EmployeeData[Join Date], ROW() - 37), "")</f>
        <v/>
      </c>
      <c r="H4912" s="6"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6" t="str" cm="1">
        <f t="array" ref="G4913">IFERROR(INDEX(EmployeeData[Join Date], ROW() - 37), "")</f>
        <v/>
      </c>
      <c r="H4913" s="6"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6" t="str" cm="1">
        <f t="array" ref="G4914">IFERROR(INDEX(EmployeeData[Join Date], ROW() - 37), "")</f>
        <v/>
      </c>
      <c r="H4914" s="6"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6" t="str" cm="1">
        <f t="array" ref="G4915">IFERROR(INDEX(EmployeeData[Join Date], ROW() - 37), "")</f>
        <v/>
      </c>
      <c r="H4915" s="6"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6" t="str" cm="1">
        <f t="array" ref="G4916">IFERROR(INDEX(EmployeeData[Join Date], ROW() - 37), "")</f>
        <v/>
      </c>
      <c r="H4916" s="6"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6" t="str" cm="1">
        <f t="array" ref="G4917">IFERROR(INDEX(EmployeeData[Join Date], ROW() - 37), "")</f>
        <v/>
      </c>
      <c r="H4917" s="6"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6" t="str" cm="1">
        <f t="array" ref="G4918">IFERROR(INDEX(EmployeeData[Join Date], ROW() - 37), "")</f>
        <v/>
      </c>
      <c r="H4918" s="6"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6" t="str" cm="1">
        <f t="array" ref="G4919">IFERROR(INDEX(EmployeeData[Join Date], ROW() - 37), "")</f>
        <v/>
      </c>
      <c r="H4919" s="6"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6" t="str" cm="1">
        <f t="array" ref="G4920">IFERROR(INDEX(EmployeeData[Join Date], ROW() - 37), "")</f>
        <v/>
      </c>
      <c r="H4920" s="6"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6" t="str" cm="1">
        <f t="array" ref="G4921">IFERROR(INDEX(EmployeeData[Join Date], ROW() - 37), "")</f>
        <v/>
      </c>
      <c r="H4921" s="6"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6" t="str" cm="1">
        <f t="array" ref="G4922">IFERROR(INDEX(EmployeeData[Join Date], ROW() - 37), "")</f>
        <v/>
      </c>
      <c r="H4922" s="6"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6" t="str" cm="1">
        <f t="array" ref="G4923">IFERROR(INDEX(EmployeeData[Join Date], ROW() - 37), "")</f>
        <v/>
      </c>
      <c r="H4923" s="6"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6" t="str" cm="1">
        <f t="array" ref="G4924">IFERROR(INDEX(EmployeeData[Join Date], ROW() - 37), "")</f>
        <v/>
      </c>
      <c r="H4924" s="6"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6" t="str" cm="1">
        <f t="array" ref="G4925">IFERROR(INDEX(EmployeeData[Join Date], ROW() - 37), "")</f>
        <v/>
      </c>
      <c r="H4925" s="6"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6" t="str" cm="1">
        <f t="array" ref="G4926">IFERROR(INDEX(EmployeeData[Join Date], ROW() - 37), "")</f>
        <v/>
      </c>
      <c r="H4926" s="6"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6" t="str" cm="1">
        <f t="array" ref="G4927">IFERROR(INDEX(EmployeeData[Join Date], ROW() - 37), "")</f>
        <v/>
      </c>
      <c r="H4927" s="6"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6" t="str" cm="1">
        <f t="array" ref="G4928">IFERROR(INDEX(EmployeeData[Join Date], ROW() - 37), "")</f>
        <v/>
      </c>
      <c r="H4928" s="6"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6" t="str" cm="1">
        <f t="array" ref="G4929">IFERROR(INDEX(EmployeeData[Join Date], ROW() - 37), "")</f>
        <v/>
      </c>
      <c r="H4929" s="6"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6" t="str" cm="1">
        <f t="array" ref="G4930">IFERROR(INDEX(EmployeeData[Join Date], ROW() - 37), "")</f>
        <v/>
      </c>
      <c r="H4930" s="6"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6" t="str" cm="1">
        <f t="array" ref="G4931">IFERROR(INDEX(EmployeeData[Join Date], ROW() - 37), "")</f>
        <v/>
      </c>
      <c r="H4931" s="6"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6" t="str" cm="1">
        <f t="array" ref="G4932">IFERROR(INDEX(EmployeeData[Join Date], ROW() - 37), "")</f>
        <v/>
      </c>
      <c r="H4932" s="6"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6" t="str" cm="1">
        <f t="array" ref="G4933">IFERROR(INDEX(EmployeeData[Join Date], ROW() - 37), "")</f>
        <v/>
      </c>
      <c r="H4933" s="6"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6" t="str" cm="1">
        <f t="array" ref="G4934">IFERROR(INDEX(EmployeeData[Join Date], ROW() - 37), "")</f>
        <v/>
      </c>
      <c r="H4934" s="6"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6" t="str" cm="1">
        <f t="array" ref="G4935">IFERROR(INDEX(EmployeeData[Join Date], ROW() - 37), "")</f>
        <v/>
      </c>
      <c r="H4935" s="6"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6" t="str" cm="1">
        <f t="array" ref="G4936">IFERROR(INDEX(EmployeeData[Join Date], ROW() - 37), "")</f>
        <v/>
      </c>
      <c r="H4936" s="6"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6" t="str" cm="1">
        <f t="array" ref="G4937">IFERROR(INDEX(EmployeeData[Join Date], ROW() - 37), "")</f>
        <v/>
      </c>
      <c r="H4937" s="6"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6" t="str" cm="1">
        <f t="array" ref="G4938">IFERROR(INDEX(EmployeeData[Join Date], ROW() - 37), "")</f>
        <v/>
      </c>
      <c r="H4938" s="6"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6" t="str" cm="1">
        <f t="array" ref="G4939">IFERROR(INDEX(EmployeeData[Join Date], ROW() - 37), "")</f>
        <v/>
      </c>
      <c r="H4939" s="6"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6" t="str" cm="1">
        <f t="array" ref="G4940">IFERROR(INDEX(EmployeeData[Join Date], ROW() - 37), "")</f>
        <v/>
      </c>
      <c r="H4940" s="6"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6" t="str" cm="1">
        <f t="array" ref="G4941">IFERROR(INDEX(EmployeeData[Join Date], ROW() - 37), "")</f>
        <v/>
      </c>
      <c r="H4941" s="6"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6" t="str" cm="1">
        <f t="array" ref="G4942">IFERROR(INDEX(EmployeeData[Join Date], ROW() - 37), "")</f>
        <v/>
      </c>
      <c r="H4942" s="6"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6" t="str" cm="1">
        <f t="array" ref="G4943">IFERROR(INDEX(EmployeeData[Join Date], ROW() - 37), "")</f>
        <v/>
      </c>
      <c r="H4943" s="6"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6" t="str" cm="1">
        <f t="array" ref="G4944">IFERROR(INDEX(EmployeeData[Join Date], ROW() - 37), "")</f>
        <v/>
      </c>
      <c r="H4944" s="6"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6" t="str" cm="1">
        <f t="array" ref="G4945">IFERROR(INDEX(EmployeeData[Join Date], ROW() - 37), "")</f>
        <v/>
      </c>
      <c r="H4945" s="6"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6" t="str" cm="1">
        <f t="array" ref="G4946">IFERROR(INDEX(EmployeeData[Join Date], ROW() - 37), "")</f>
        <v/>
      </c>
      <c r="H4946" s="6"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6" t="str" cm="1">
        <f t="array" ref="G4947">IFERROR(INDEX(EmployeeData[Join Date], ROW() - 37), "")</f>
        <v/>
      </c>
      <c r="H4947" s="6"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6" t="str" cm="1">
        <f t="array" ref="G4948">IFERROR(INDEX(EmployeeData[Join Date], ROW() - 37), "")</f>
        <v/>
      </c>
      <c r="H4948" s="6"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6" t="str" cm="1">
        <f t="array" ref="G4949">IFERROR(INDEX(EmployeeData[Join Date], ROW() - 37), "")</f>
        <v/>
      </c>
      <c r="H4949" s="6"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6" t="str" cm="1">
        <f t="array" ref="G4950">IFERROR(INDEX(EmployeeData[Join Date], ROW() - 37), "")</f>
        <v/>
      </c>
      <c r="H4950" s="6"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6" t="str" cm="1">
        <f t="array" ref="G4951">IFERROR(INDEX(EmployeeData[Join Date], ROW() - 37), "")</f>
        <v/>
      </c>
      <c r="H4951" s="6"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6" t="str" cm="1">
        <f t="array" ref="G4952">IFERROR(INDEX(EmployeeData[Join Date], ROW() - 37), "")</f>
        <v/>
      </c>
      <c r="H4952" s="6"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6" t="str" cm="1">
        <f t="array" ref="G4953">IFERROR(INDEX(EmployeeData[Join Date], ROW() - 37), "")</f>
        <v/>
      </c>
      <c r="H4953" s="6"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6" t="str" cm="1">
        <f t="array" ref="G4954">IFERROR(INDEX(EmployeeData[Join Date], ROW() - 37), "")</f>
        <v/>
      </c>
      <c r="H4954" s="6"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6" t="str" cm="1">
        <f t="array" ref="G4955">IFERROR(INDEX(EmployeeData[Join Date], ROW() - 37), "")</f>
        <v/>
      </c>
      <c r="H4955" s="6"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6" t="str" cm="1">
        <f t="array" ref="G4956">IFERROR(INDEX(EmployeeData[Join Date], ROW() - 37), "")</f>
        <v/>
      </c>
      <c r="H4956" s="6"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6" t="str" cm="1">
        <f t="array" ref="G4957">IFERROR(INDEX(EmployeeData[Join Date], ROW() - 37), "")</f>
        <v/>
      </c>
      <c r="H4957" s="6"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6" t="str" cm="1">
        <f t="array" ref="G4958">IFERROR(INDEX(EmployeeData[Join Date], ROW() - 37), "")</f>
        <v/>
      </c>
      <c r="H4958" s="6"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6" t="str" cm="1">
        <f t="array" ref="G4959">IFERROR(INDEX(EmployeeData[Join Date], ROW() - 37), "")</f>
        <v/>
      </c>
      <c r="H4959" s="6"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6" t="str" cm="1">
        <f t="array" ref="G4960">IFERROR(INDEX(EmployeeData[Join Date], ROW() - 37), "")</f>
        <v/>
      </c>
      <c r="H4960" s="6"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6" t="str" cm="1">
        <f t="array" ref="G4961">IFERROR(INDEX(EmployeeData[Join Date], ROW() - 37), "")</f>
        <v/>
      </c>
      <c r="H4961" s="6"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6" t="str" cm="1">
        <f t="array" ref="G4962">IFERROR(INDEX(EmployeeData[Join Date], ROW() - 37), "")</f>
        <v/>
      </c>
      <c r="H4962" s="6"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6" t="str" cm="1">
        <f t="array" ref="G4963">IFERROR(INDEX(EmployeeData[Join Date], ROW() - 37), "")</f>
        <v/>
      </c>
      <c r="H4963" s="6"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6" t="str" cm="1">
        <f t="array" ref="G4964">IFERROR(INDEX(EmployeeData[Join Date], ROW() - 37), "")</f>
        <v/>
      </c>
      <c r="H4964" s="6"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6" t="str" cm="1">
        <f t="array" ref="G4965">IFERROR(INDEX(EmployeeData[Join Date], ROW() - 37), "")</f>
        <v/>
      </c>
      <c r="H4965" s="6"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6" t="str" cm="1">
        <f t="array" ref="G4966">IFERROR(INDEX(EmployeeData[Join Date], ROW() - 37), "")</f>
        <v/>
      </c>
      <c r="H4966" s="6"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6" t="str" cm="1">
        <f t="array" ref="G4967">IFERROR(INDEX(EmployeeData[Join Date], ROW() - 37), "")</f>
        <v/>
      </c>
      <c r="H4967" s="6"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6" t="str" cm="1">
        <f t="array" ref="G4968">IFERROR(INDEX(EmployeeData[Join Date], ROW() - 37), "")</f>
        <v/>
      </c>
      <c r="H4968" s="6"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6" t="str" cm="1">
        <f t="array" ref="G4969">IFERROR(INDEX(EmployeeData[Join Date], ROW() - 37), "")</f>
        <v/>
      </c>
      <c r="H4969" s="6"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6" t="str" cm="1">
        <f t="array" ref="G4970">IFERROR(INDEX(EmployeeData[Join Date], ROW() - 37), "")</f>
        <v/>
      </c>
      <c r="H4970" s="6"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6" t="str" cm="1">
        <f t="array" ref="G4971">IFERROR(INDEX(EmployeeData[Join Date], ROW() - 37), "")</f>
        <v/>
      </c>
      <c r="H4971" s="6"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6" t="str" cm="1">
        <f t="array" ref="G4972">IFERROR(INDEX(EmployeeData[Join Date], ROW() - 37), "")</f>
        <v/>
      </c>
      <c r="H4972" s="6"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6" t="str" cm="1">
        <f t="array" ref="G4973">IFERROR(INDEX(EmployeeData[Join Date], ROW() - 37), "")</f>
        <v/>
      </c>
      <c r="H4973" s="6"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6" t="str" cm="1">
        <f t="array" ref="G4974">IFERROR(INDEX(EmployeeData[Join Date], ROW() - 37), "")</f>
        <v/>
      </c>
      <c r="H4974" s="6"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6" t="str" cm="1">
        <f t="array" ref="G4975">IFERROR(INDEX(EmployeeData[Join Date], ROW() - 37), "")</f>
        <v/>
      </c>
      <c r="H4975" s="6"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6" t="str" cm="1">
        <f t="array" ref="G4976">IFERROR(INDEX(EmployeeData[Join Date], ROW() - 37), "")</f>
        <v/>
      </c>
      <c r="H4976" s="6"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6" t="str" cm="1">
        <f t="array" ref="G4977">IFERROR(INDEX(EmployeeData[Join Date], ROW() - 37), "")</f>
        <v/>
      </c>
      <c r="H4977" s="6"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6" t="str" cm="1">
        <f t="array" ref="G4978">IFERROR(INDEX(EmployeeData[Join Date], ROW() - 37), "")</f>
        <v/>
      </c>
      <c r="H4978" s="6"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6" t="str" cm="1">
        <f t="array" ref="G4979">IFERROR(INDEX(EmployeeData[Join Date], ROW() - 37), "")</f>
        <v/>
      </c>
      <c r="H4979" s="6"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6" t="str" cm="1">
        <f t="array" ref="G4980">IFERROR(INDEX(EmployeeData[Join Date], ROW() - 37), "")</f>
        <v/>
      </c>
      <c r="H4980" s="6"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6" t="str" cm="1">
        <f t="array" ref="G4981">IFERROR(INDEX(EmployeeData[Join Date], ROW() - 37), "")</f>
        <v/>
      </c>
      <c r="H4981" s="6"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6" t="str" cm="1">
        <f t="array" ref="G4982">IFERROR(INDEX(EmployeeData[Join Date], ROW() - 37), "")</f>
        <v/>
      </c>
      <c r="H4982" s="6"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6" t="str" cm="1">
        <f t="array" ref="G4983">IFERROR(INDEX(EmployeeData[Join Date], ROW() - 37), "")</f>
        <v/>
      </c>
      <c r="H4983" s="6"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6" t="str" cm="1">
        <f t="array" ref="G4984">IFERROR(INDEX(EmployeeData[Join Date], ROW() - 37), "")</f>
        <v/>
      </c>
      <c r="H4984" s="6"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6" t="str" cm="1">
        <f t="array" ref="G4985">IFERROR(INDEX(EmployeeData[Join Date], ROW() - 37), "")</f>
        <v/>
      </c>
      <c r="H4985" s="6"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6" t="str" cm="1">
        <f t="array" ref="G4986">IFERROR(INDEX(EmployeeData[Join Date], ROW() - 37), "")</f>
        <v/>
      </c>
      <c r="H4986" s="6"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6" t="str" cm="1">
        <f t="array" ref="G4987">IFERROR(INDEX(EmployeeData[Join Date], ROW() - 37), "")</f>
        <v/>
      </c>
      <c r="H4987" s="6"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6" t="str" cm="1">
        <f t="array" ref="G4988">IFERROR(INDEX(EmployeeData[Join Date], ROW() - 37), "")</f>
        <v/>
      </c>
      <c r="H4988" s="6"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6" t="str" cm="1">
        <f t="array" ref="G4989">IFERROR(INDEX(EmployeeData[Join Date], ROW() - 37), "")</f>
        <v/>
      </c>
      <c r="H4989" s="6"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6" t="str" cm="1">
        <f t="array" ref="G4990">IFERROR(INDEX(EmployeeData[Join Date], ROW() - 37), "")</f>
        <v/>
      </c>
      <c r="H4990" s="6"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6" t="str" cm="1">
        <f t="array" ref="G4991">IFERROR(INDEX(EmployeeData[Join Date], ROW() - 37), "")</f>
        <v/>
      </c>
      <c r="H4991" s="6"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6" t="str" cm="1">
        <f t="array" ref="G4992">IFERROR(INDEX(EmployeeData[Join Date], ROW() - 37), "")</f>
        <v/>
      </c>
      <c r="H4992" s="6"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6" t="str" cm="1">
        <f t="array" ref="G4993">IFERROR(INDEX(EmployeeData[Join Date], ROW() - 37), "")</f>
        <v/>
      </c>
      <c r="H4993" s="6"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6" t="str" cm="1">
        <f t="array" ref="G4994">IFERROR(INDEX(EmployeeData[Join Date], ROW() - 37), "")</f>
        <v/>
      </c>
      <c r="H4994" s="6"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6" t="str" cm="1">
        <f t="array" ref="G4995">IFERROR(INDEX(EmployeeData[Join Date], ROW() - 37), "")</f>
        <v/>
      </c>
      <c r="H4995" s="6"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6" t="str" cm="1">
        <f t="array" ref="G4996">IFERROR(INDEX(EmployeeData[Join Date], ROW() - 37), "")</f>
        <v/>
      </c>
      <c r="H4996" s="6"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6" t="str" cm="1">
        <f t="array" ref="G4997">IFERROR(INDEX(EmployeeData[Join Date], ROW() - 37), "")</f>
        <v/>
      </c>
      <c r="H4997" s="6"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6" t="str" cm="1">
        <f t="array" ref="G4998">IFERROR(INDEX(EmployeeData[Join Date], ROW() - 37), "")</f>
        <v/>
      </c>
      <c r="H4998" s="6"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6" t="str" cm="1">
        <f t="array" ref="G4999">IFERROR(INDEX(EmployeeData[Join Date], ROW() - 37), "")</f>
        <v/>
      </c>
      <c r="H4999" s="6"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6" t="str" cm="1">
        <f t="array" ref="G5000">IFERROR(INDEX(EmployeeData[Join Date], ROW() - 37), "")</f>
        <v/>
      </c>
      <c r="H5000" s="6"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6" t="str" cm="1">
        <f t="array" ref="G5001">IFERROR(INDEX(EmployeeData[Join Date], ROW() - 37), "")</f>
        <v/>
      </c>
      <c r="H5001" s="6"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6" t="str" cm="1">
        <f t="array" ref="G5002">IFERROR(INDEX(EmployeeData[Join Date], ROW() - 37), "")</f>
        <v/>
      </c>
      <c r="H5002" s="6"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6" t="str" cm="1">
        <f t="array" ref="G5003">IFERROR(INDEX(EmployeeData[Join Date], ROW() - 37), "")</f>
        <v/>
      </c>
      <c r="H5003" s="6"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6" t="str" cm="1">
        <f t="array" ref="G5004">IFERROR(INDEX(EmployeeData[Join Date], ROW() - 37), "")</f>
        <v/>
      </c>
      <c r="H5004" s="6"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6" t="str" cm="1">
        <f t="array" ref="G5005">IFERROR(INDEX(EmployeeData[Join Date], ROW() - 37), "")</f>
        <v/>
      </c>
      <c r="H5005" s="6"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6" t="str" cm="1">
        <f t="array" ref="G5006">IFERROR(INDEX(EmployeeData[Join Date], ROW() - 37), "")</f>
        <v/>
      </c>
      <c r="H5006" s="6"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6" t="str" cm="1">
        <f t="array" ref="G5007">IFERROR(INDEX(EmployeeData[Join Date], ROW() - 37), "")</f>
        <v/>
      </c>
      <c r="H5007" s="6"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6" t="str" cm="1">
        <f t="array" ref="G5008">IFERROR(INDEX(EmployeeData[Join Date], ROW() - 37), "")</f>
        <v/>
      </c>
      <c r="H5008" s="6"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6" t="str" cm="1">
        <f t="array" ref="G5009">IFERROR(INDEX(EmployeeData[Join Date], ROW() - 37), "")</f>
        <v/>
      </c>
      <c r="H5009" s="6"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6" t="str" cm="1">
        <f t="array" ref="G5010">IFERROR(INDEX(EmployeeData[Join Date], ROW() - 37), "")</f>
        <v/>
      </c>
      <c r="H5010" s="6"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6" t="str" cm="1">
        <f t="array" ref="G5011">IFERROR(INDEX(EmployeeData[Join Date], ROW() - 37), "")</f>
        <v/>
      </c>
      <c r="H5011" s="6"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6" t="str" cm="1">
        <f t="array" ref="G5012">IFERROR(INDEX(EmployeeData[Join Date], ROW() - 37), "")</f>
        <v/>
      </c>
      <c r="H5012" s="6"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6" t="str" cm="1">
        <f t="array" ref="G5013">IFERROR(INDEX(EmployeeData[Join Date], ROW() - 37), "")</f>
        <v/>
      </c>
      <c r="H5013" s="6"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6" t="str" cm="1">
        <f t="array" ref="G5014">IFERROR(INDEX(EmployeeData[Join Date], ROW() - 37), "")</f>
        <v/>
      </c>
      <c r="H5014" s="6"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6" t="str" cm="1">
        <f t="array" ref="G5015">IFERROR(INDEX(EmployeeData[Join Date], ROW() - 37), "")</f>
        <v/>
      </c>
      <c r="H5015" s="6"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6" t="str" cm="1">
        <f t="array" ref="G5016">IFERROR(INDEX(EmployeeData[Join Date], ROW() - 37), "")</f>
        <v/>
      </c>
      <c r="H5016" s="6"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6" t="str" cm="1">
        <f t="array" ref="G5017">IFERROR(INDEX(EmployeeData[Join Date], ROW() - 37), "")</f>
        <v/>
      </c>
      <c r="H5017" s="6"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6" t="str" cm="1">
        <f t="array" ref="G5018">IFERROR(INDEX(EmployeeData[Join Date], ROW() - 37), "")</f>
        <v/>
      </c>
      <c r="H5018" s="6"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6" t="str" cm="1">
        <f t="array" ref="G5019">IFERROR(INDEX(EmployeeData[Join Date], ROW() - 37), "")</f>
        <v/>
      </c>
      <c r="H5019" s="6"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6" t="str" cm="1">
        <f t="array" ref="G5020">IFERROR(INDEX(EmployeeData[Join Date], ROW() - 37), "")</f>
        <v/>
      </c>
      <c r="H5020" s="6"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6" t="str" cm="1">
        <f t="array" ref="G5021">IFERROR(INDEX(EmployeeData[Join Date], ROW() - 37), "")</f>
        <v/>
      </c>
      <c r="H5021" s="6"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6" t="str" cm="1">
        <f t="array" ref="G5022">IFERROR(INDEX(EmployeeData[Join Date], ROW() - 37), "")</f>
        <v/>
      </c>
      <c r="H5022" s="6"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6" t="str" cm="1">
        <f t="array" ref="G5023">IFERROR(INDEX(EmployeeData[Join Date], ROW() - 37), "")</f>
        <v/>
      </c>
      <c r="H5023" s="6"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6" t="str" cm="1">
        <f t="array" ref="G5024">IFERROR(INDEX(EmployeeData[Join Date], ROW() - 37), "")</f>
        <v/>
      </c>
      <c r="H5024" s="6"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6" t="str" cm="1">
        <f t="array" ref="G5025">IFERROR(INDEX(EmployeeData[Join Date], ROW() - 37), "")</f>
        <v/>
      </c>
      <c r="H5025" s="6"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6" t="str" cm="1">
        <f t="array" ref="G5026">IFERROR(INDEX(EmployeeData[Join Date], ROW() - 37), "")</f>
        <v/>
      </c>
      <c r="H5026" s="6"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6" t="str" cm="1">
        <f t="array" ref="G5027">IFERROR(INDEX(EmployeeData[Join Date], ROW() - 37), "")</f>
        <v/>
      </c>
      <c r="H5027" s="6"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6" t="str" cm="1">
        <f t="array" ref="G5028">IFERROR(INDEX(EmployeeData[Join Date], ROW() - 37), "")</f>
        <v/>
      </c>
      <c r="H5028" s="6"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6" t="str" cm="1">
        <f t="array" ref="G5029">IFERROR(INDEX(EmployeeData[Join Date], ROW() - 37), "")</f>
        <v/>
      </c>
      <c r="H5029" s="6"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6" t="str" cm="1">
        <f t="array" ref="G5030">IFERROR(INDEX(EmployeeData[Join Date], ROW() - 37), "")</f>
        <v/>
      </c>
      <c r="H5030" s="6"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6" t="str" cm="1">
        <f t="array" ref="G5031">IFERROR(INDEX(EmployeeData[Join Date], ROW() - 37), "")</f>
        <v/>
      </c>
      <c r="H5031" s="6"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6" t="str" cm="1">
        <f t="array" ref="G5032">IFERROR(INDEX(EmployeeData[Join Date], ROW() - 37), "")</f>
        <v/>
      </c>
      <c r="H5032" s="6"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6" t="str" cm="1">
        <f t="array" ref="G5033">IFERROR(INDEX(EmployeeData[Join Date], ROW() - 37), "")</f>
        <v/>
      </c>
      <c r="H5033" s="6"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6" t="str" cm="1">
        <f t="array" ref="G5034">IFERROR(INDEX(EmployeeData[Join Date], ROW() - 37), "")</f>
        <v/>
      </c>
      <c r="H5034" s="6"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6" t="str" cm="1">
        <f t="array" ref="G5035">IFERROR(INDEX(EmployeeData[Join Date], ROW() - 37), "")</f>
        <v/>
      </c>
      <c r="H5035" s="6"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6" t="str" cm="1">
        <f t="array" ref="G5036">IFERROR(INDEX(EmployeeData[Join Date], ROW() - 37), "")</f>
        <v/>
      </c>
      <c r="H5036" s="6"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6" t="str" cm="1">
        <f t="array" ref="G5037">IFERROR(INDEX(EmployeeData[Join Date], ROW() - 37), "")</f>
        <v/>
      </c>
      <c r="H5037" s="6"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6" t="str" cm="1">
        <f t="array" ref="G5038">IFERROR(INDEX(EmployeeData[Join Date], ROW() - 37), "")</f>
        <v/>
      </c>
      <c r="H5038" s="6"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3" priority="1" operator="equal">
      <formula>"Active"</formula>
    </cfRule>
    <cfRule type="cellIs" dxfId="2" priority="2" operator="equal">
      <formula>"Exited"</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tabColor theme="4" tint="0.39997558519241921"/>
  </sheetPr>
  <dimension ref="B2:AM46"/>
  <sheetViews>
    <sheetView showGridLines="0" topLeftCell="A10" zoomScaleNormal="100" workbookViewId="0">
      <selection activeCell="G25" sqref="G25"/>
    </sheetView>
  </sheetViews>
  <sheetFormatPr defaultRowHeight="14.4" x14ac:dyDescent="0.3"/>
  <cols>
    <col min="2" max="2" width="10.77734375" bestFit="1" customWidth="1"/>
    <col min="3" max="3" width="15" customWidth="1"/>
    <col min="4" max="4" width="11.33203125" customWidth="1"/>
    <col min="5" max="5" width="15" customWidth="1"/>
    <col min="6" max="6" width="14.5546875" bestFit="1" customWidth="1"/>
    <col min="7" max="7" width="13.88671875" bestFit="1" customWidth="1"/>
    <col min="8" max="8" width="12.88671875" bestFit="1" customWidth="1"/>
    <col min="9" max="9" width="10.77734375" style="9" customWidth="1"/>
    <col min="10" max="10" width="10.77734375" customWidth="1"/>
    <col min="11" max="11" width="16.44140625" bestFit="1" customWidth="1"/>
    <col min="12" max="12" width="9.5546875" bestFit="1" customWidth="1"/>
    <col min="13" max="13" width="10.77734375" style="9" customWidth="1"/>
    <col min="14" max="14" width="10.77734375" customWidth="1"/>
    <col min="15" max="15" width="33.6640625" customWidth="1"/>
    <col min="16" max="17" width="7" bestFit="1" customWidth="1"/>
    <col min="18" max="18" width="10.77734375" style="9" customWidth="1"/>
    <col min="19" max="20" width="10.77734375" customWidth="1"/>
    <col min="21" max="22" width="10.5546875" bestFit="1" customWidth="1"/>
    <col min="23" max="23" width="18.44140625" style="39" customWidth="1"/>
    <col min="24" max="24" width="14.77734375" bestFit="1" customWidth="1"/>
    <col min="25" max="25" width="17" bestFit="1" customWidth="1"/>
    <col min="26" max="26" width="14.5546875" bestFit="1" customWidth="1"/>
    <col min="27" max="27" width="10.77734375" style="9" customWidth="1"/>
    <col min="28" max="28" width="10.77734375" customWidth="1"/>
    <col min="29" max="29" width="10.77734375" bestFit="1" customWidth="1"/>
    <col min="30" max="30" width="20.109375" bestFit="1" customWidth="1"/>
    <col min="31" max="31" width="1.33203125" customWidth="1"/>
    <col min="32" max="32" width="15.44140625" bestFit="1" customWidth="1"/>
    <col min="33" max="33" width="6.21875" bestFit="1" customWidth="1"/>
    <col min="34" max="34" width="10.77734375" style="9" customWidth="1"/>
    <col min="35" max="35" width="10.77734375" customWidth="1"/>
    <col min="36" max="36" width="14.6640625" bestFit="1" customWidth="1"/>
    <col min="37" max="37" width="6.21875" bestFit="1" customWidth="1"/>
    <col min="38" max="38" width="6.109375" bestFit="1" customWidth="1"/>
    <col min="39" max="39" width="10.77734375" style="9" customWidth="1"/>
  </cols>
  <sheetData>
    <row r="2" spans="2:39" x14ac:dyDescent="0.3">
      <c r="B2" s="8" t="s">
        <v>1102</v>
      </c>
      <c r="K2" s="8" t="s">
        <v>1110</v>
      </c>
      <c r="O2" s="74" t="s">
        <v>1113</v>
      </c>
      <c r="T2" s="8" t="s">
        <v>1176</v>
      </c>
      <c r="AC2" s="8" t="s">
        <v>1114</v>
      </c>
      <c r="AJ2" s="8" t="s">
        <v>1177</v>
      </c>
    </row>
    <row r="3" spans="2:39" x14ac:dyDescent="0.3">
      <c r="W3" s="40"/>
    </row>
    <row r="4" spans="2:39" s="46" customFormat="1" ht="43.2" x14ac:dyDescent="0.3">
      <c r="B4" s="45" t="s">
        <v>1109</v>
      </c>
      <c r="I4" s="55"/>
      <c r="K4" s="47" t="s">
        <v>1111</v>
      </c>
      <c r="L4" s="48" t="s">
        <v>1112</v>
      </c>
      <c r="M4" s="55"/>
      <c r="O4" s="49" t="s">
        <v>1136</v>
      </c>
      <c r="P4" s="50" t="s">
        <v>17</v>
      </c>
      <c r="Q4" s="51"/>
      <c r="R4" s="55"/>
      <c r="T4" s="52" t="s">
        <v>1186</v>
      </c>
      <c r="U4" s="42" t="s">
        <v>1187</v>
      </c>
      <c r="V4" s="42" t="s">
        <v>1188</v>
      </c>
      <c r="W4" s="43" t="s">
        <v>1169</v>
      </c>
      <c r="X4" s="42" t="s">
        <v>1173</v>
      </c>
      <c r="Y4" s="42" t="s">
        <v>1174</v>
      </c>
      <c r="Z4" s="44" t="s">
        <v>1175</v>
      </c>
      <c r="AA4" s="55"/>
      <c r="AC4" s="49" t="s">
        <v>8</v>
      </c>
      <c r="AD4" s="48" t="s">
        <v>1120</v>
      </c>
      <c r="AH4" s="55"/>
      <c r="AJ4" s="47" t="s">
        <v>1184</v>
      </c>
      <c r="AK4" s="16" t="s">
        <v>17</v>
      </c>
      <c r="AL4" s="28"/>
      <c r="AM4" s="9"/>
    </row>
    <row r="5" spans="2:39" x14ac:dyDescent="0.3">
      <c r="B5" s="58">
        <v>1081</v>
      </c>
      <c r="K5" s="17" t="s">
        <v>31</v>
      </c>
      <c r="L5" s="61">
        <v>81</v>
      </c>
      <c r="O5" s="22" t="s">
        <v>17</v>
      </c>
      <c r="P5" s="66" t="s">
        <v>18</v>
      </c>
      <c r="Q5" s="9" t="s">
        <v>13</v>
      </c>
      <c r="T5" s="33" t="s">
        <v>1137</v>
      </c>
      <c r="U5" s="34">
        <f>DATE(2018,3,31)</f>
        <v>43190</v>
      </c>
      <c r="V5" s="34">
        <f>DATE(2018,1,1)</f>
        <v>43101</v>
      </c>
      <c r="W5" s="39">
        <f>COUNTIFS(EmployeeData[Join Date], "&lt;="&amp;U5, EmployeeData[Exit Date], "&gt;"&amp;U5) + COUNTIFS(EmployeeData[Join Date], "&lt;="&amp;U5, EmployeeData[Exit Date], "")</f>
        <v>28</v>
      </c>
      <c r="X5">
        <f>COUNTIFS(EmployeeData[Exit Date], "&gt;="&amp;V5, EmployeeData[Exit Date], "&lt;="&amp;U5)</f>
        <v>0</v>
      </c>
      <c r="Z5" s="35">
        <v>0</v>
      </c>
      <c r="AC5" s="12" t="s">
        <v>18</v>
      </c>
      <c r="AD5" s="61">
        <v>1662.5067466266867</v>
      </c>
      <c r="AJ5" s="16" t="s">
        <v>1183</v>
      </c>
      <c r="AK5" s="53" t="s">
        <v>18</v>
      </c>
      <c r="AL5" s="54" t="s">
        <v>13</v>
      </c>
    </row>
    <row r="6" spans="2:39" x14ac:dyDescent="0.3">
      <c r="K6" s="20" t="s">
        <v>12</v>
      </c>
      <c r="L6" s="62">
        <v>68</v>
      </c>
      <c r="O6" s="12" t="s">
        <v>1124</v>
      </c>
      <c r="P6" s="64">
        <v>82</v>
      </c>
      <c r="Q6" s="59">
        <v>64</v>
      </c>
      <c r="T6" s="33" t="s">
        <v>1138</v>
      </c>
      <c r="U6" s="34">
        <f>DATE(2018,6,30)</f>
        <v>43281</v>
      </c>
      <c r="V6" s="34">
        <f>DATE(2018,4,1)</f>
        <v>43191</v>
      </c>
      <c r="W6" s="39">
        <f>COUNTIFS(EmployeeData[Join Date], "&lt;="&amp;U6, EmployeeData[Exit Date], "&gt;"&amp;U6) + COUNTIFS(EmployeeData[Join Date], "&lt;="&amp;U6, EmployeeData[Exit Date], "")</f>
        <v>58</v>
      </c>
      <c r="X6">
        <f>COUNTIFS(EmployeeData[Exit Date], "&gt;="&amp;V6, EmployeeData[Exit Date], "&lt;="&amp;U6)</f>
        <v>1</v>
      </c>
      <c r="Y6">
        <f>SUM(W6,W5)/2</f>
        <v>43</v>
      </c>
      <c r="Z6" s="35">
        <f>X6/Y6</f>
        <v>2.3255813953488372E-2</v>
      </c>
      <c r="AC6" s="12" t="s">
        <v>13</v>
      </c>
      <c r="AD6" s="62">
        <v>800.89613526570054</v>
      </c>
      <c r="AJ6" s="17" t="s">
        <v>1178</v>
      </c>
      <c r="AK6" s="68">
        <v>153</v>
      </c>
      <c r="AL6" s="65">
        <v>92</v>
      </c>
    </row>
    <row r="7" spans="2:39" x14ac:dyDescent="0.3">
      <c r="K7" s="20" t="s">
        <v>52</v>
      </c>
      <c r="L7" s="62">
        <v>64</v>
      </c>
      <c r="O7" s="31" t="s">
        <v>1132</v>
      </c>
      <c r="P7" s="64">
        <v>18</v>
      </c>
      <c r="Q7" s="59">
        <v>10</v>
      </c>
      <c r="T7" s="33" t="s">
        <v>1139</v>
      </c>
      <c r="U7" s="34">
        <f>DATE(2018,9,30)</f>
        <v>43373</v>
      </c>
      <c r="V7" s="34">
        <f>DATE(2018,7,1)</f>
        <v>43282</v>
      </c>
      <c r="W7" s="39">
        <f>COUNTIFS(EmployeeData[Join Date], "&lt;="&amp;U7, EmployeeData[Exit Date], "&gt;"&amp;U7) + COUNTIFS(EmployeeData[Join Date], "&lt;="&amp;U7, EmployeeData[Exit Date], "")</f>
        <v>98</v>
      </c>
      <c r="X7">
        <f>COUNTIFS(EmployeeData[Exit Date], "&gt;="&amp;V7, EmployeeData[Exit Date], "&lt;="&amp;U7)</f>
        <v>2</v>
      </c>
      <c r="Y7">
        <f>SUM(W7,W6)/2</f>
        <v>78</v>
      </c>
      <c r="Z7" s="35">
        <f t="shared" ref="Z7:Z38" si="0">X7/Y7</f>
        <v>2.564102564102564E-2</v>
      </c>
      <c r="AC7" s="13" t="s">
        <v>1099</v>
      </c>
      <c r="AD7" s="63">
        <v>1332.5282146160962</v>
      </c>
      <c r="AJ7" s="20" t="s">
        <v>1179</v>
      </c>
      <c r="AK7" s="69">
        <v>162</v>
      </c>
      <c r="AL7" s="59">
        <v>83</v>
      </c>
    </row>
    <row r="8" spans="2:39" x14ac:dyDescent="0.3">
      <c r="B8" s="8" t="s">
        <v>1103</v>
      </c>
      <c r="K8" s="20" t="s">
        <v>34</v>
      </c>
      <c r="L8" s="62">
        <v>46</v>
      </c>
      <c r="O8" s="31" t="s">
        <v>1133</v>
      </c>
      <c r="P8" s="64">
        <v>21</v>
      </c>
      <c r="Q8" s="59">
        <v>10</v>
      </c>
      <c r="T8" s="33" t="s">
        <v>1140</v>
      </c>
      <c r="U8" s="34">
        <f>DATE(2018,12,31)</f>
        <v>43465</v>
      </c>
      <c r="V8" s="34">
        <f>DATE(2018,10,1)</f>
        <v>43374</v>
      </c>
      <c r="W8" s="39">
        <f>COUNTIFS(EmployeeData[Join Date], "&lt;="&amp;U8, EmployeeData[Exit Date], "&gt;"&amp;U8) + COUNTIFS(EmployeeData[Join Date], "&lt;="&amp;U8, EmployeeData[Exit Date], "")</f>
        <v>143</v>
      </c>
      <c r="X8">
        <f>COUNTIFS(EmployeeData[Exit Date], "&gt;="&amp;V8, EmployeeData[Exit Date], "&lt;="&amp;U8)</f>
        <v>0</v>
      </c>
      <c r="Y8">
        <f>SUM(W8,W7)/2</f>
        <v>120.5</v>
      </c>
      <c r="Z8" s="35">
        <f t="shared" si="0"/>
        <v>0</v>
      </c>
      <c r="AJ8" s="20" t="s">
        <v>1180</v>
      </c>
      <c r="AK8" s="69">
        <v>198</v>
      </c>
      <c r="AL8" s="59">
        <v>101</v>
      </c>
    </row>
    <row r="9" spans="2:39" x14ac:dyDescent="0.3">
      <c r="K9" s="20" t="s">
        <v>26</v>
      </c>
      <c r="L9" s="62">
        <v>44</v>
      </c>
      <c r="O9" s="31" t="s">
        <v>1134</v>
      </c>
      <c r="P9" s="64">
        <v>19</v>
      </c>
      <c r="Q9" s="59">
        <v>23</v>
      </c>
      <c r="T9" s="33" t="s">
        <v>1141</v>
      </c>
      <c r="U9" s="34">
        <f>DATE(2019,3,31)</f>
        <v>43555</v>
      </c>
      <c r="V9" s="34">
        <f>DATE(2019,1,1)</f>
        <v>43466</v>
      </c>
      <c r="W9" s="39">
        <f>COUNTIFS(EmployeeData[Join Date], "&lt;="&amp;U9, EmployeeData[Exit Date], "&gt;"&amp;U9) + COUNTIFS(EmployeeData[Join Date], "&lt;="&amp;U9, EmployeeData[Exit Date], "")</f>
        <v>186</v>
      </c>
      <c r="X9">
        <f>COUNTIFS(EmployeeData[Exit Date], "&gt;="&amp;V9, EmployeeData[Exit Date], "&lt;="&amp;U9)</f>
        <v>0</v>
      </c>
      <c r="Y9">
        <f t="shared" ref="Y9:Y38" si="1">SUM(W9,W8)/2</f>
        <v>164.5</v>
      </c>
      <c r="Z9" s="35">
        <f t="shared" si="0"/>
        <v>0</v>
      </c>
      <c r="AC9" s="23" t="s">
        <v>1119</v>
      </c>
      <c r="AD9" s="25" t="str">
        <f>DATEDIF(0,GETPIVOTDATA("Tenure (days)",$AC$4,"Status","Active"),"Y") &amp; " years " &amp; DATEDIF(0,GETPIVOTDATA("Tenure (days)",$AC$4,"Status","Active"),"YM") &amp; " months"</f>
        <v>4 years 6 months</v>
      </c>
      <c r="AJ9" s="20" t="s">
        <v>1181</v>
      </c>
      <c r="AK9" s="69">
        <v>154</v>
      </c>
      <c r="AL9" s="59">
        <v>119</v>
      </c>
    </row>
    <row r="10" spans="2:39" x14ac:dyDescent="0.3">
      <c r="B10" s="16" t="s">
        <v>8</v>
      </c>
      <c r="C10" s="7" t="s">
        <v>1109</v>
      </c>
      <c r="D10" s="66"/>
      <c r="E10" s="66"/>
      <c r="F10" s="66"/>
      <c r="G10" s="66"/>
      <c r="H10" s="66"/>
      <c r="K10" s="20" t="s">
        <v>65</v>
      </c>
      <c r="L10" s="62">
        <v>39</v>
      </c>
      <c r="O10" s="31" t="s">
        <v>1135</v>
      </c>
      <c r="P10" s="64">
        <v>24</v>
      </c>
      <c r="Q10" s="59">
        <v>21</v>
      </c>
      <c r="T10" s="33" t="s">
        <v>1142</v>
      </c>
      <c r="U10" s="34">
        <f>DATE(2019,6,30)</f>
        <v>43646</v>
      </c>
      <c r="V10" s="34">
        <f>DATE(2019,4,1)</f>
        <v>43556</v>
      </c>
      <c r="W10" s="39">
        <f>COUNTIFS(EmployeeData[Join Date], "&lt;="&amp;U10, EmployeeData[Exit Date], "&gt;"&amp;U10) + COUNTIFS(EmployeeData[Join Date], "&lt;="&amp;U10, EmployeeData[Exit Date], "")</f>
        <v>213</v>
      </c>
      <c r="X10">
        <f>COUNTIFS(EmployeeData[Exit Date], "&gt;="&amp;V10, EmployeeData[Exit Date], "&lt;="&amp;U10)</f>
        <v>1</v>
      </c>
      <c r="Y10">
        <f t="shared" si="1"/>
        <v>199.5</v>
      </c>
      <c r="Z10" s="35">
        <f t="shared" si="0"/>
        <v>5.0125313283208017E-3</v>
      </c>
      <c r="AC10" s="24" t="s">
        <v>1121</v>
      </c>
      <c r="AD10" s="26" t="str">
        <f>DATEDIF(0,GETPIVOTDATA("Tenure (days)",$AC$4,"Status","Exited"),"Y") &amp; " years " &amp; DATEDIF(0,GETPIVOTDATA("Tenure (days)",$AC$4,"Status","Exited"),"YM") &amp; " months"</f>
        <v>2 years 2 months</v>
      </c>
      <c r="AJ10" s="18" t="s">
        <v>1182</v>
      </c>
      <c r="AK10" s="69"/>
      <c r="AL10" s="59">
        <v>19</v>
      </c>
    </row>
    <row r="11" spans="2:39" x14ac:dyDescent="0.3">
      <c r="B11" s="17" t="s">
        <v>18</v>
      </c>
      <c r="C11" s="61">
        <v>667</v>
      </c>
      <c r="D11" s="64"/>
      <c r="E11" s="64"/>
      <c r="F11" s="64"/>
      <c r="G11" s="64"/>
      <c r="H11" s="64"/>
      <c r="K11" s="20" t="s">
        <v>21</v>
      </c>
      <c r="L11" s="62">
        <v>36</v>
      </c>
      <c r="O11" s="12" t="s">
        <v>1125</v>
      </c>
      <c r="P11" s="64">
        <v>96</v>
      </c>
      <c r="Q11" s="59">
        <v>49</v>
      </c>
      <c r="T11" s="33" t="s">
        <v>1143</v>
      </c>
      <c r="U11" s="34">
        <f>DATE(2019,9,30)</f>
        <v>43738</v>
      </c>
      <c r="V11" s="34">
        <f>DATE(2019,7,1)</f>
        <v>43647</v>
      </c>
      <c r="W11" s="39">
        <f>COUNTIFS(EmployeeData[Join Date], "&lt;="&amp;U11, EmployeeData[Exit Date], "&gt;"&amp;U11) + COUNTIFS(EmployeeData[Join Date], "&lt;="&amp;U11, EmployeeData[Exit Date], "")</f>
        <v>241</v>
      </c>
      <c r="X11">
        <f>COUNTIFS(EmployeeData[Exit Date], "&gt;="&amp;V11, EmployeeData[Exit Date], "&lt;="&amp;U11)</f>
        <v>6</v>
      </c>
      <c r="Y11">
        <f t="shared" si="1"/>
        <v>227</v>
      </c>
      <c r="Z11" s="35">
        <f t="shared" si="0"/>
        <v>2.643171806167401E-2</v>
      </c>
      <c r="AJ11" s="19" t="s">
        <v>1099</v>
      </c>
      <c r="AK11" s="70">
        <v>667</v>
      </c>
      <c r="AL11" s="60">
        <v>414</v>
      </c>
    </row>
    <row r="12" spans="2:39" x14ac:dyDescent="0.3">
      <c r="B12" s="20" t="s">
        <v>13</v>
      </c>
      <c r="C12" s="62">
        <v>414</v>
      </c>
      <c r="D12" s="64"/>
      <c r="E12" s="64"/>
      <c r="F12" s="64"/>
      <c r="G12" s="64"/>
      <c r="H12" s="64"/>
      <c r="K12" s="18" t="s">
        <v>28</v>
      </c>
      <c r="L12" s="62">
        <v>36</v>
      </c>
      <c r="O12" s="31" t="s">
        <v>1132</v>
      </c>
      <c r="P12" s="64">
        <v>30</v>
      </c>
      <c r="Q12" s="59">
        <v>13</v>
      </c>
      <c r="T12" s="33" t="s">
        <v>1144</v>
      </c>
      <c r="U12" s="34">
        <f>DATE(2019,12,31)</f>
        <v>43830</v>
      </c>
      <c r="V12" s="34">
        <f>DATE(2019,10,1)</f>
        <v>43739</v>
      </c>
      <c r="W12" s="39">
        <f>COUNTIFS(EmployeeData[Join Date], "&lt;="&amp;U12, EmployeeData[Exit Date], "&gt;"&amp;U12) + COUNTIFS(EmployeeData[Join Date], "&lt;="&amp;U12, EmployeeData[Exit Date], "")</f>
        <v>277</v>
      </c>
      <c r="X12">
        <f>COUNTIFS(EmployeeData[Exit Date], "&gt;="&amp;V12, EmployeeData[Exit Date], "&lt;="&amp;U12)</f>
        <v>4</v>
      </c>
      <c r="Y12">
        <f t="shared" si="1"/>
        <v>259</v>
      </c>
      <c r="Z12" s="35">
        <f t="shared" si="0"/>
        <v>1.5444015444015444E-2</v>
      </c>
      <c r="AC12" s="11" t="s">
        <v>1122</v>
      </c>
      <c r="AD12" s="21" t="s">
        <v>17</v>
      </c>
      <c r="AF12" s="11" t="s">
        <v>1123</v>
      </c>
      <c r="AG12" s="21" t="s">
        <v>17</v>
      </c>
      <c r="AH12" s="56"/>
    </row>
    <row r="13" spans="2:39" x14ac:dyDescent="0.3">
      <c r="B13" s="19" t="s">
        <v>1099</v>
      </c>
      <c r="C13" s="63">
        <v>1081</v>
      </c>
      <c r="D13" s="64"/>
      <c r="E13" s="64"/>
      <c r="F13" s="64"/>
      <c r="G13" s="64"/>
      <c r="H13" s="64"/>
      <c r="K13" s="19" t="s">
        <v>1099</v>
      </c>
      <c r="L13" s="63">
        <v>414</v>
      </c>
      <c r="O13" s="31" t="s">
        <v>1133</v>
      </c>
      <c r="P13" s="64">
        <v>14</v>
      </c>
      <c r="Q13" s="59">
        <v>14</v>
      </c>
      <c r="T13" s="33" t="s">
        <v>1145</v>
      </c>
      <c r="U13" s="34">
        <f>DATE(2020,3,31)</f>
        <v>43921</v>
      </c>
      <c r="V13" s="34">
        <f>DATE(2020,1,1)</f>
        <v>43831</v>
      </c>
      <c r="W13" s="39">
        <f>COUNTIFS(EmployeeData[Join Date], "&lt;="&amp;U13, EmployeeData[Exit Date], "&gt;"&amp;U13) + COUNTIFS(EmployeeData[Join Date], "&lt;="&amp;U13, EmployeeData[Exit Date], "")</f>
        <v>300</v>
      </c>
      <c r="X13">
        <f>COUNTIFS(EmployeeData[Exit Date], "&gt;="&amp;V13, EmployeeData[Exit Date], "&lt;="&amp;U13)</f>
        <v>9</v>
      </c>
      <c r="Y13">
        <f t="shared" si="1"/>
        <v>288.5</v>
      </c>
      <c r="Z13" s="35">
        <f t="shared" si="0"/>
        <v>3.1195840554592721E-2</v>
      </c>
      <c r="AC13" s="22" t="s">
        <v>1118</v>
      </c>
      <c r="AD13" s="27" t="s">
        <v>13</v>
      </c>
      <c r="AF13" s="22" t="s">
        <v>1118</v>
      </c>
      <c r="AG13" s="9" t="s">
        <v>18</v>
      </c>
    </row>
    <row r="14" spans="2:39" x14ac:dyDescent="0.3">
      <c r="O14" s="31" t="s">
        <v>1134</v>
      </c>
      <c r="P14" s="64">
        <v>25</v>
      </c>
      <c r="Q14" s="59">
        <v>9</v>
      </c>
      <c r="T14" s="33" t="s">
        <v>1146</v>
      </c>
      <c r="U14" s="34">
        <f>DATE(2020,6,30)</f>
        <v>44012</v>
      </c>
      <c r="V14" s="34">
        <f>DATE(2020,4,1)</f>
        <v>43922</v>
      </c>
      <c r="W14" s="39">
        <f>COUNTIFS(EmployeeData[Join Date], "&lt;="&amp;U14, EmployeeData[Exit Date], "&gt;"&amp;U14) + COUNTIFS(EmployeeData[Join Date], "&lt;="&amp;U14, EmployeeData[Exit Date], "")</f>
        <v>323</v>
      </c>
      <c r="X14">
        <f>COUNTIFS(EmployeeData[Exit Date], "&gt;="&amp;V14, EmployeeData[Exit Date], "&lt;="&amp;U14)</f>
        <v>7</v>
      </c>
      <c r="Y14">
        <f t="shared" si="1"/>
        <v>311.5</v>
      </c>
      <c r="Z14" s="35">
        <f t="shared" si="0"/>
        <v>2.247191011235955E-2</v>
      </c>
      <c r="AC14" s="12">
        <v>0</v>
      </c>
      <c r="AD14" s="59">
        <v>121</v>
      </c>
      <c r="AF14" s="12">
        <v>0</v>
      </c>
      <c r="AG14" s="59">
        <v>42</v>
      </c>
    </row>
    <row r="15" spans="2:39" x14ac:dyDescent="0.3">
      <c r="B15" s="14" t="s">
        <v>1101</v>
      </c>
      <c r="C15" s="15">
        <f>GETPIVOTDATA("Employee ID",$B$10,"Status","Exited")/GETPIVOTDATA("Employee ID",$B$10)</f>
        <v>0.38297872340425532</v>
      </c>
      <c r="D15" s="75"/>
      <c r="E15" s="75"/>
      <c r="F15" s="75"/>
      <c r="G15" s="75"/>
      <c r="H15" s="75"/>
      <c r="O15" s="31" t="s">
        <v>1135</v>
      </c>
      <c r="P15" s="64">
        <v>27</v>
      </c>
      <c r="Q15" s="59">
        <v>13</v>
      </c>
      <c r="T15" s="33" t="s">
        <v>1147</v>
      </c>
      <c r="U15" s="34">
        <f>DATE(2020,9,30)</f>
        <v>44104</v>
      </c>
      <c r="V15" s="34">
        <f>DATE(2020,7,1)</f>
        <v>44013</v>
      </c>
      <c r="W15" s="39">
        <f>COUNTIFS(EmployeeData[Join Date], "&lt;="&amp;U15, EmployeeData[Exit Date], "&gt;"&amp;U15) + COUNTIFS(EmployeeData[Join Date], "&lt;="&amp;U15, EmployeeData[Exit Date], "")</f>
        <v>356</v>
      </c>
      <c r="X15">
        <f>COUNTIFS(EmployeeData[Exit Date], "&gt;="&amp;V15, EmployeeData[Exit Date], "&lt;="&amp;U15)</f>
        <v>5</v>
      </c>
      <c r="Y15">
        <f t="shared" si="1"/>
        <v>339.5</v>
      </c>
      <c r="Z15" s="35">
        <f t="shared" si="0"/>
        <v>1.4727540500736377E-2</v>
      </c>
      <c r="AC15" s="12">
        <v>1</v>
      </c>
      <c r="AD15" s="59">
        <v>100</v>
      </c>
      <c r="AF15" s="12">
        <v>1</v>
      </c>
      <c r="AG15" s="59">
        <v>79</v>
      </c>
    </row>
    <row r="16" spans="2:39" x14ac:dyDescent="0.3">
      <c r="O16" s="12" t="s">
        <v>1126</v>
      </c>
      <c r="P16" s="64">
        <v>80</v>
      </c>
      <c r="Q16" s="59">
        <v>48</v>
      </c>
      <c r="T16" s="33" t="s">
        <v>1148</v>
      </c>
      <c r="U16" s="34">
        <f>DATE(2020,12,31)</f>
        <v>44196</v>
      </c>
      <c r="V16" s="34">
        <f>DATE(2020,10,1)</f>
        <v>44105</v>
      </c>
      <c r="W16" s="39">
        <f>COUNTIFS(EmployeeData[Join Date], "&lt;="&amp;U16, EmployeeData[Exit Date], "&gt;"&amp;U16) + COUNTIFS(EmployeeData[Join Date], "&lt;="&amp;U16, EmployeeData[Exit Date], "")</f>
        <v>382</v>
      </c>
      <c r="X16">
        <f>COUNTIFS(EmployeeData[Exit Date], "&gt;="&amp;V16, EmployeeData[Exit Date], "&lt;="&amp;U16)</f>
        <v>2</v>
      </c>
      <c r="Y16">
        <f t="shared" si="1"/>
        <v>369</v>
      </c>
      <c r="Z16" s="35">
        <f t="shared" si="0"/>
        <v>5.4200542005420054E-3</v>
      </c>
      <c r="AC16" s="12">
        <v>2</v>
      </c>
      <c r="AD16" s="59">
        <v>76</v>
      </c>
      <c r="AF16" s="12">
        <v>2</v>
      </c>
      <c r="AG16" s="59">
        <v>80</v>
      </c>
    </row>
    <row r="17" spans="2:33" x14ac:dyDescent="0.3">
      <c r="B17" s="8" t="s">
        <v>1107</v>
      </c>
      <c r="O17" s="31" t="s">
        <v>1132</v>
      </c>
      <c r="P17" s="64">
        <v>21</v>
      </c>
      <c r="Q17" s="59">
        <v>11</v>
      </c>
      <c r="T17" s="33" t="s">
        <v>1149</v>
      </c>
      <c r="U17" s="34">
        <f>DATE(2021,3,31)</f>
        <v>44286</v>
      </c>
      <c r="V17" s="34">
        <f>DATE(2021,1,1)</f>
        <v>44197</v>
      </c>
      <c r="W17" s="39">
        <f>COUNTIFS(EmployeeData[Join Date], "&lt;="&amp;U17, EmployeeData[Exit Date], "&gt;"&amp;U17) + COUNTIFS(EmployeeData[Join Date], "&lt;="&amp;U17, EmployeeData[Exit Date], "")</f>
        <v>412</v>
      </c>
      <c r="X17">
        <f>COUNTIFS(EmployeeData[Exit Date], "&gt;="&amp;V17, EmployeeData[Exit Date], "&lt;="&amp;U17)</f>
        <v>7</v>
      </c>
      <c r="Y17">
        <f t="shared" si="1"/>
        <v>397</v>
      </c>
      <c r="Z17" s="35">
        <f t="shared" si="0"/>
        <v>1.7632241813602016E-2</v>
      </c>
      <c r="AC17" s="12">
        <v>3</v>
      </c>
      <c r="AD17" s="59">
        <v>46</v>
      </c>
      <c r="AF17" s="12">
        <v>3</v>
      </c>
      <c r="AG17" s="59">
        <v>80</v>
      </c>
    </row>
    <row r="18" spans="2:33" x14ac:dyDescent="0.3">
      <c r="O18" s="31" t="s">
        <v>1133</v>
      </c>
      <c r="P18" s="64">
        <v>24</v>
      </c>
      <c r="Q18" s="59">
        <v>6</v>
      </c>
      <c r="T18" s="33" t="s">
        <v>1150</v>
      </c>
      <c r="U18" s="34">
        <f>DATE(2021,6,30)</f>
        <v>44377</v>
      </c>
      <c r="V18" s="34">
        <f>DATE(2021,4,1)</f>
        <v>44287</v>
      </c>
      <c r="W18" s="39">
        <f>COUNTIFS(EmployeeData[Join Date], "&lt;="&amp;U18, EmployeeData[Exit Date], "&gt;"&amp;U18) + COUNTIFS(EmployeeData[Join Date], "&lt;="&amp;U18, EmployeeData[Exit Date], "")</f>
        <v>448</v>
      </c>
      <c r="X18">
        <f>COUNTIFS(EmployeeData[Exit Date], "&gt;="&amp;V18, EmployeeData[Exit Date], "&lt;="&amp;U18)</f>
        <v>3</v>
      </c>
      <c r="Y18">
        <f t="shared" si="1"/>
        <v>430</v>
      </c>
      <c r="Z18" s="35">
        <f t="shared" si="0"/>
        <v>6.9767441860465115E-3</v>
      </c>
      <c r="AC18" s="12">
        <v>4</v>
      </c>
      <c r="AD18" s="59">
        <v>50</v>
      </c>
      <c r="AF18" s="12">
        <v>4</v>
      </c>
      <c r="AG18" s="59">
        <v>82</v>
      </c>
    </row>
    <row r="19" spans="2:33" x14ac:dyDescent="0.3">
      <c r="B19" s="11" t="s">
        <v>1108</v>
      </c>
      <c r="C19" s="21" t="s">
        <v>17</v>
      </c>
      <c r="D19" s="76"/>
      <c r="E19" s="76"/>
      <c r="F19" s="76"/>
      <c r="G19" s="76"/>
      <c r="H19" s="76"/>
      <c r="O19" s="31" t="s">
        <v>1134</v>
      </c>
      <c r="P19" s="64">
        <v>22</v>
      </c>
      <c r="Q19" s="59">
        <v>16</v>
      </c>
      <c r="T19" s="33" t="s">
        <v>1151</v>
      </c>
      <c r="U19" s="34">
        <f>DATE(2021,9,30)</f>
        <v>44469</v>
      </c>
      <c r="V19" s="34">
        <f>DATE(2021,7,1)</f>
        <v>44378</v>
      </c>
      <c r="W19" s="39">
        <f>COUNTIFS(EmployeeData[Join Date], "&lt;="&amp;U19, EmployeeData[Exit Date], "&gt;"&amp;U19) + COUNTIFS(EmployeeData[Join Date], "&lt;="&amp;U19, EmployeeData[Exit Date], "")</f>
        <v>471</v>
      </c>
      <c r="X19">
        <f>COUNTIFS(EmployeeData[Exit Date], "&gt;="&amp;V19, EmployeeData[Exit Date], "&lt;="&amp;U19)</f>
        <v>6</v>
      </c>
      <c r="Y19">
        <f t="shared" si="1"/>
        <v>459.5</v>
      </c>
      <c r="Z19" s="35">
        <f t="shared" si="0"/>
        <v>1.3057671381936888E-2</v>
      </c>
      <c r="AC19" s="12">
        <v>5</v>
      </c>
      <c r="AD19" s="59">
        <v>21</v>
      </c>
      <c r="AF19" s="12">
        <v>5</v>
      </c>
      <c r="AG19" s="59">
        <v>83</v>
      </c>
    </row>
    <row r="20" spans="2:33" x14ac:dyDescent="0.3">
      <c r="B20" s="22" t="s">
        <v>2</v>
      </c>
      <c r="C20" s="9" t="s">
        <v>13</v>
      </c>
      <c r="D20" s="66"/>
      <c r="E20" s="66"/>
      <c r="F20" s="66"/>
      <c r="G20" s="66"/>
      <c r="H20" s="66"/>
      <c r="O20" s="31" t="s">
        <v>1135</v>
      </c>
      <c r="P20" s="64">
        <v>13</v>
      </c>
      <c r="Q20" s="59">
        <v>15</v>
      </c>
      <c r="T20" s="33" t="s">
        <v>1152</v>
      </c>
      <c r="U20" s="34">
        <f>DATE(2021,12,31)</f>
        <v>44561</v>
      </c>
      <c r="V20" s="34">
        <f>DATE(2021,10,1)</f>
        <v>44470</v>
      </c>
      <c r="W20" s="39">
        <f>COUNTIFS(EmployeeData[Join Date], "&lt;="&amp;U20, EmployeeData[Exit Date], "&gt;"&amp;U20) + COUNTIFS(EmployeeData[Join Date], "&lt;="&amp;U20, EmployeeData[Exit Date], "")</f>
        <v>492</v>
      </c>
      <c r="X20">
        <f>COUNTIFS(EmployeeData[Exit Date], "&gt;="&amp;V20, EmployeeData[Exit Date], "&lt;="&amp;U20)</f>
        <v>8</v>
      </c>
      <c r="Y20">
        <f t="shared" si="1"/>
        <v>481.5</v>
      </c>
      <c r="Z20" s="35">
        <f t="shared" si="0"/>
        <v>1.6614745586708203E-2</v>
      </c>
      <c r="AC20" s="13" t="s">
        <v>1099</v>
      </c>
      <c r="AD20" s="60">
        <v>414</v>
      </c>
      <c r="AF20" s="12">
        <v>6</v>
      </c>
      <c r="AG20" s="59">
        <v>96</v>
      </c>
    </row>
    <row r="21" spans="2:33" x14ac:dyDescent="0.3">
      <c r="B21" s="12" t="s">
        <v>15</v>
      </c>
      <c r="C21" s="59">
        <v>100</v>
      </c>
      <c r="D21" s="64"/>
      <c r="E21" s="64"/>
      <c r="F21" s="64"/>
      <c r="G21" s="64"/>
      <c r="H21" s="64"/>
      <c r="O21" s="12" t="s">
        <v>1127</v>
      </c>
      <c r="P21" s="64">
        <v>87</v>
      </c>
      <c r="Q21" s="59">
        <v>47</v>
      </c>
      <c r="T21" s="33" t="s">
        <v>1153</v>
      </c>
      <c r="U21" s="34">
        <f>DATE(2022,3,31)</f>
        <v>44651</v>
      </c>
      <c r="V21" s="34">
        <f>DATE(2022,1,1)</f>
        <v>44562</v>
      </c>
      <c r="W21" s="39">
        <f>COUNTIFS(EmployeeData[Join Date], "&lt;="&amp;U21, EmployeeData[Exit Date], "&gt;"&amp;U21) + COUNTIFS(EmployeeData[Join Date], "&lt;="&amp;U21, EmployeeData[Exit Date], "")</f>
        <v>519</v>
      </c>
      <c r="X21">
        <f>COUNTIFS(EmployeeData[Exit Date], "&gt;="&amp;V21, EmployeeData[Exit Date], "&lt;="&amp;U21)</f>
        <v>7</v>
      </c>
      <c r="Y21">
        <f t="shared" si="1"/>
        <v>505.5</v>
      </c>
      <c r="Z21" s="35">
        <f t="shared" si="0"/>
        <v>1.3847675568743818E-2</v>
      </c>
      <c r="AF21" s="12">
        <v>7</v>
      </c>
      <c r="AG21" s="59">
        <v>91</v>
      </c>
    </row>
    <row r="22" spans="2:33" x14ac:dyDescent="0.3">
      <c r="B22" s="12" t="s">
        <v>10</v>
      </c>
      <c r="C22" s="59">
        <v>96</v>
      </c>
      <c r="D22" s="64"/>
      <c r="E22" s="64"/>
      <c r="F22" s="64"/>
      <c r="G22" s="64"/>
      <c r="H22" s="64"/>
      <c r="O22" s="31" t="s">
        <v>1132</v>
      </c>
      <c r="P22" s="64">
        <v>24</v>
      </c>
      <c r="Q22" s="59">
        <v>13</v>
      </c>
      <c r="T22" s="33" t="s">
        <v>1154</v>
      </c>
      <c r="U22" s="34">
        <f>DATE(2022,6,30)</f>
        <v>44742</v>
      </c>
      <c r="V22" s="34">
        <f>DATE(2022,4,1)</f>
        <v>44652</v>
      </c>
      <c r="W22" s="39">
        <f>COUNTIFS(EmployeeData[Join Date], "&lt;="&amp;U22, EmployeeData[Exit Date], "&gt;"&amp;U22) + COUNTIFS(EmployeeData[Join Date], "&lt;="&amp;U22, EmployeeData[Exit Date], "")</f>
        <v>541</v>
      </c>
      <c r="X22">
        <f>COUNTIFS(EmployeeData[Exit Date], "&gt;="&amp;V22, EmployeeData[Exit Date], "&lt;="&amp;U22)</f>
        <v>15</v>
      </c>
      <c r="Y22">
        <f t="shared" si="1"/>
        <v>530</v>
      </c>
      <c r="Z22" s="35">
        <f t="shared" si="0"/>
        <v>2.8301886792452831E-2</v>
      </c>
      <c r="AF22" s="12">
        <v>8</v>
      </c>
      <c r="AG22" s="59">
        <v>34</v>
      </c>
    </row>
    <row r="23" spans="2:33" x14ac:dyDescent="0.3">
      <c r="B23" s="12" t="s">
        <v>23</v>
      </c>
      <c r="C23" s="59">
        <v>71</v>
      </c>
      <c r="D23" s="64"/>
      <c r="E23" s="64"/>
      <c r="F23" s="64"/>
      <c r="G23" s="64"/>
      <c r="H23" s="64"/>
      <c r="O23" s="31" t="s">
        <v>1133</v>
      </c>
      <c r="P23" s="64">
        <v>27</v>
      </c>
      <c r="Q23" s="59">
        <v>12</v>
      </c>
      <c r="T23" s="33" t="s">
        <v>1155</v>
      </c>
      <c r="U23" s="34">
        <f>DATE(2022,9,30)</f>
        <v>44834</v>
      </c>
      <c r="V23" s="34">
        <f>DATE(2022,7,1)</f>
        <v>44743</v>
      </c>
      <c r="W23" s="39">
        <f>COUNTIFS(EmployeeData[Join Date], "&lt;="&amp;U23, EmployeeData[Exit Date], "&gt;"&amp;U23) + COUNTIFS(EmployeeData[Join Date], "&lt;="&amp;U23, EmployeeData[Exit Date], "")</f>
        <v>561</v>
      </c>
      <c r="X23">
        <f>COUNTIFS(EmployeeData[Exit Date], "&gt;="&amp;V23, EmployeeData[Exit Date], "&lt;="&amp;U23)</f>
        <v>13</v>
      </c>
      <c r="Y23">
        <f t="shared" si="1"/>
        <v>551</v>
      </c>
      <c r="Z23" s="35">
        <f t="shared" si="0"/>
        <v>2.3593466424682397E-2</v>
      </c>
      <c r="AF23" s="13" t="s">
        <v>1099</v>
      </c>
      <c r="AG23" s="60">
        <v>667</v>
      </c>
    </row>
    <row r="24" spans="2:33" x14ac:dyDescent="0.3">
      <c r="B24" s="12" t="s">
        <v>20</v>
      </c>
      <c r="C24" s="59">
        <v>58</v>
      </c>
      <c r="D24" s="64"/>
      <c r="E24" s="64"/>
      <c r="F24" s="64"/>
      <c r="G24" s="64"/>
      <c r="H24" s="64"/>
      <c r="O24" s="31" t="s">
        <v>1134</v>
      </c>
      <c r="P24" s="64">
        <v>17</v>
      </c>
      <c r="Q24" s="59">
        <v>12</v>
      </c>
      <c r="T24" s="33" t="s">
        <v>1156</v>
      </c>
      <c r="U24" s="34">
        <f>DATE(2022,12,31)</f>
        <v>44926</v>
      </c>
      <c r="V24" s="34">
        <f>DATE(2022,10,1)</f>
        <v>44835</v>
      </c>
      <c r="W24" s="39">
        <f>COUNTIFS(EmployeeData[Join Date], "&lt;="&amp;U24, EmployeeData[Exit Date], "&gt;"&amp;U24) + COUNTIFS(EmployeeData[Join Date], "&lt;="&amp;U24, EmployeeData[Exit Date], "")</f>
        <v>583</v>
      </c>
      <c r="X24">
        <f>COUNTIFS(EmployeeData[Exit Date], "&gt;="&amp;V24, EmployeeData[Exit Date], "&lt;="&amp;U24)</f>
        <v>14</v>
      </c>
      <c r="Y24">
        <f t="shared" si="1"/>
        <v>572</v>
      </c>
      <c r="Z24" s="35">
        <f t="shared" si="0"/>
        <v>2.4475524475524476E-2</v>
      </c>
    </row>
    <row r="25" spans="2:33" x14ac:dyDescent="0.3">
      <c r="B25" s="12" t="s">
        <v>33</v>
      </c>
      <c r="C25" s="59">
        <v>46</v>
      </c>
      <c r="D25" s="64"/>
      <c r="E25" s="64"/>
      <c r="F25" s="64"/>
      <c r="G25" s="64"/>
      <c r="H25" s="64"/>
      <c r="O25" s="31" t="s">
        <v>1135</v>
      </c>
      <c r="P25" s="64">
        <v>19</v>
      </c>
      <c r="Q25" s="59">
        <v>10</v>
      </c>
      <c r="T25" s="33" t="s">
        <v>1157</v>
      </c>
      <c r="U25" s="34">
        <f>DATE(2023,3,31)</f>
        <v>45016</v>
      </c>
      <c r="V25" s="34">
        <f>DATE(2023,1,1)</f>
        <v>44927</v>
      </c>
      <c r="W25" s="39">
        <f>COUNTIFS(EmployeeData[Join Date], "&lt;="&amp;U25, EmployeeData[Exit Date], "&gt;"&amp;U25) + COUNTIFS(EmployeeData[Join Date], "&lt;="&amp;U25, EmployeeData[Exit Date], "")</f>
        <v>598</v>
      </c>
      <c r="X25">
        <f>COUNTIFS(EmployeeData[Exit Date], "&gt;="&amp;V25, EmployeeData[Exit Date], "&lt;="&amp;U25)</f>
        <v>13</v>
      </c>
      <c r="Y25">
        <f t="shared" si="1"/>
        <v>590.5</v>
      </c>
      <c r="Z25" s="35">
        <f t="shared" si="0"/>
        <v>2.201524132091448E-2</v>
      </c>
    </row>
    <row r="26" spans="2:33" x14ac:dyDescent="0.3">
      <c r="B26" s="13" t="s">
        <v>46</v>
      </c>
      <c r="C26" s="60">
        <v>43</v>
      </c>
      <c r="D26" s="64"/>
      <c r="E26" s="64"/>
      <c r="F26" s="64"/>
      <c r="G26" s="64"/>
      <c r="H26" s="64"/>
      <c r="O26" s="12" t="s">
        <v>1128</v>
      </c>
      <c r="P26" s="64">
        <v>83</v>
      </c>
      <c r="Q26" s="59">
        <v>57</v>
      </c>
      <c r="T26" s="33" t="s">
        <v>1158</v>
      </c>
      <c r="U26" s="34">
        <f>DATE(2023,6,30)</f>
        <v>45107</v>
      </c>
      <c r="V26" s="34">
        <f>DATE(2023,4,1)</f>
        <v>45017</v>
      </c>
      <c r="W26" s="39">
        <f>COUNTIFS(EmployeeData[Join Date], "&lt;="&amp;U26, EmployeeData[Exit Date], "&gt;"&amp;U26) + COUNTIFS(EmployeeData[Join Date], "&lt;="&amp;U26, EmployeeData[Exit Date], "")</f>
        <v>624</v>
      </c>
      <c r="X26">
        <f>COUNTIFS(EmployeeData[Exit Date], "&gt;="&amp;V26, EmployeeData[Exit Date], "&lt;="&amp;U26)</f>
        <v>11</v>
      </c>
      <c r="Y26">
        <f t="shared" si="1"/>
        <v>611</v>
      </c>
      <c r="Z26" s="35">
        <f t="shared" si="0"/>
        <v>1.8003273322422259E-2</v>
      </c>
    </row>
    <row r="27" spans="2:33" x14ac:dyDescent="0.3">
      <c r="O27" s="31" t="s">
        <v>1132</v>
      </c>
      <c r="P27" s="64">
        <v>26</v>
      </c>
      <c r="Q27" s="59">
        <v>8</v>
      </c>
      <c r="T27" s="33" t="s">
        <v>1159</v>
      </c>
      <c r="U27" s="34">
        <f>DATE(2023,9,30)</f>
        <v>45199</v>
      </c>
      <c r="V27" s="34">
        <f>DATE(2023,7,1)</f>
        <v>45108</v>
      </c>
      <c r="W27" s="39">
        <f>COUNTIFS(EmployeeData[Join Date], "&lt;="&amp;U27, EmployeeData[Exit Date], "&gt;"&amp;U27) + COUNTIFS(EmployeeData[Join Date], "&lt;="&amp;U27, EmployeeData[Exit Date], "")</f>
        <v>646</v>
      </c>
      <c r="X27">
        <f>COUNTIFS(EmployeeData[Exit Date], "&gt;="&amp;V27, EmployeeData[Exit Date], "&lt;="&amp;U27)</f>
        <v>15</v>
      </c>
      <c r="Y27">
        <f t="shared" si="1"/>
        <v>635</v>
      </c>
      <c r="Z27" s="35">
        <f t="shared" si="0"/>
        <v>2.3622047244094488E-2</v>
      </c>
    </row>
    <row r="28" spans="2:33" x14ac:dyDescent="0.3">
      <c r="B28" s="73" t="s">
        <v>1189</v>
      </c>
      <c r="O28" s="31" t="s">
        <v>1133</v>
      </c>
      <c r="P28" s="64">
        <v>16</v>
      </c>
      <c r="Q28" s="59">
        <v>21</v>
      </c>
      <c r="T28" s="33" t="s">
        <v>1160</v>
      </c>
      <c r="U28" s="34">
        <f>DATE(2023,12,31)</f>
        <v>45291</v>
      </c>
      <c r="V28" s="34">
        <f>DATE(2023,10,1)</f>
        <v>45200</v>
      </c>
      <c r="W28" s="39">
        <f>COUNTIFS(EmployeeData[Join Date], "&lt;="&amp;U28, EmployeeData[Exit Date], "&gt;"&amp;U28) + COUNTIFS(EmployeeData[Join Date], "&lt;="&amp;U28, EmployeeData[Exit Date], "")</f>
        <v>664</v>
      </c>
      <c r="X28">
        <f>COUNTIFS(EmployeeData[Exit Date], "&gt;="&amp;V28, EmployeeData[Exit Date], "&lt;="&amp;U28)</f>
        <v>20</v>
      </c>
      <c r="Y28">
        <f t="shared" si="1"/>
        <v>655</v>
      </c>
      <c r="Z28" s="35">
        <f t="shared" si="0"/>
        <v>3.0534351145038167E-2</v>
      </c>
    </row>
    <row r="29" spans="2:33" x14ac:dyDescent="0.3">
      <c r="O29" s="31" t="s">
        <v>1134</v>
      </c>
      <c r="P29" s="64">
        <v>18</v>
      </c>
      <c r="Q29" s="59">
        <v>15</v>
      </c>
      <c r="T29" s="33" t="s">
        <v>1161</v>
      </c>
      <c r="U29" s="34">
        <f>DATE(2024,3,31)</f>
        <v>45382</v>
      </c>
      <c r="V29" s="34">
        <f>DATE(2024,1,1)</f>
        <v>45292</v>
      </c>
      <c r="W29" s="39">
        <f>COUNTIFS(EmployeeData[Join Date], "&lt;="&amp;U29, EmployeeData[Exit Date], "&gt;"&amp;U29) + COUNTIFS(EmployeeData[Join Date], "&lt;="&amp;U29, EmployeeData[Exit Date], "")</f>
        <v>674</v>
      </c>
      <c r="X29">
        <f>COUNTIFS(EmployeeData[Exit Date], "&gt;="&amp;V29, EmployeeData[Exit Date], "&lt;="&amp;U29)</f>
        <v>18</v>
      </c>
      <c r="Y29">
        <f t="shared" si="1"/>
        <v>669</v>
      </c>
      <c r="Z29" s="35">
        <f t="shared" si="0"/>
        <v>2.6905829596412557E-2</v>
      </c>
    </row>
    <row r="30" spans="2:33" x14ac:dyDescent="0.3">
      <c r="B30" s="79" t="s">
        <v>1190</v>
      </c>
      <c r="C30" s="77" t="s">
        <v>1194</v>
      </c>
      <c r="D30" s="77" t="s">
        <v>1191</v>
      </c>
      <c r="E30" s="77" t="s">
        <v>1192</v>
      </c>
      <c r="F30" s="77" t="s">
        <v>1196</v>
      </c>
      <c r="G30" s="77" t="s">
        <v>1193</v>
      </c>
      <c r="H30" s="78" t="s">
        <v>1195</v>
      </c>
      <c r="O30" s="31" t="s">
        <v>1135</v>
      </c>
      <c r="P30" s="64">
        <v>23</v>
      </c>
      <c r="Q30" s="59">
        <v>13</v>
      </c>
      <c r="T30" s="33" t="s">
        <v>1162</v>
      </c>
      <c r="U30" s="34">
        <f>DATE(2024,6,30)</f>
        <v>45473</v>
      </c>
      <c r="V30" s="34">
        <f>DATE(2024,4,1)</f>
        <v>45383</v>
      </c>
      <c r="W30" s="39">
        <f>COUNTIFS(EmployeeData[Join Date], "&lt;="&amp;U30, EmployeeData[Exit Date], "&gt;"&amp;U30) + COUNTIFS(EmployeeData[Join Date], "&lt;="&amp;U30, EmployeeData[Exit Date], "")</f>
        <v>688</v>
      </c>
      <c r="X30">
        <f>COUNTIFS(EmployeeData[Exit Date], "&gt;="&amp;V30, EmployeeData[Exit Date], "&lt;="&amp;U30)</f>
        <v>16</v>
      </c>
      <c r="Y30">
        <f t="shared" si="1"/>
        <v>681</v>
      </c>
      <c r="Z30" s="35">
        <f t="shared" si="0"/>
        <v>2.3494860499265784E-2</v>
      </c>
    </row>
    <row r="31" spans="2:33" x14ac:dyDescent="0.3">
      <c r="B31" s="29">
        <v>2018</v>
      </c>
      <c r="C31" s="66">
        <v>146</v>
      </c>
      <c r="D31" s="66">
        <v>3</v>
      </c>
      <c r="E31" s="66">
        <f>C31-D31</f>
        <v>143</v>
      </c>
      <c r="F31" s="66">
        <f>E31</f>
        <v>143</v>
      </c>
      <c r="G31" s="83">
        <v>1</v>
      </c>
      <c r="H31" s="35">
        <f>D31/F31</f>
        <v>2.097902097902098E-2</v>
      </c>
      <c r="O31" s="12" t="s">
        <v>1129</v>
      </c>
      <c r="P31" s="64">
        <v>84</v>
      </c>
      <c r="Q31" s="59">
        <v>56</v>
      </c>
      <c r="T31" s="33" t="s">
        <v>1163</v>
      </c>
      <c r="U31" s="34">
        <f>DATE(2024,9,30)</f>
        <v>45565</v>
      </c>
      <c r="V31" s="34">
        <f>DATE(2024,7,1)</f>
        <v>45474</v>
      </c>
      <c r="W31" s="39">
        <f>COUNTIFS(EmployeeData[Join Date], "&lt;="&amp;U31, EmployeeData[Exit Date], "&gt;"&amp;U31) + COUNTIFS(EmployeeData[Join Date], "&lt;="&amp;U31, EmployeeData[Exit Date], "")</f>
        <v>701</v>
      </c>
      <c r="X31">
        <f>COUNTIFS(EmployeeData[Exit Date], "&gt;="&amp;V31, EmployeeData[Exit Date], "&lt;="&amp;U31)</f>
        <v>16</v>
      </c>
      <c r="Y31">
        <f t="shared" si="1"/>
        <v>694.5</v>
      </c>
      <c r="Z31" s="35">
        <f t="shared" si="0"/>
        <v>2.3038156947444204E-2</v>
      </c>
    </row>
    <row r="32" spans="2:33" x14ac:dyDescent="0.3">
      <c r="B32" s="29">
        <v>2019</v>
      </c>
      <c r="C32" s="66">
        <v>288</v>
      </c>
      <c r="D32" s="66">
        <v>11</v>
      </c>
      <c r="E32" s="66">
        <f t="shared" ref="E32:E39" si="2">C32-D32</f>
        <v>277</v>
      </c>
      <c r="F32" s="66">
        <f>SUM(E32,E31)/2</f>
        <v>210</v>
      </c>
      <c r="G32" s="83">
        <f>(E32-E31)/E31</f>
        <v>0.93706293706293708</v>
      </c>
      <c r="H32" s="35">
        <f t="shared" ref="H32:H39" si="3">D32/F32</f>
        <v>5.2380952380952382E-2</v>
      </c>
      <c r="O32" s="31" t="s">
        <v>1132</v>
      </c>
      <c r="P32" s="64">
        <v>18</v>
      </c>
      <c r="Q32" s="59">
        <v>10</v>
      </c>
      <c r="T32" s="33" t="s">
        <v>1164</v>
      </c>
      <c r="U32" s="34">
        <f>DATE(2024,12,31)</f>
        <v>45657</v>
      </c>
      <c r="V32" s="34">
        <f>DATE(2024,10,1)</f>
        <v>45566</v>
      </c>
      <c r="W32" s="39">
        <f>COUNTIFS(EmployeeData[Join Date], "&lt;="&amp;U32, EmployeeData[Exit Date], "&gt;"&amp;U32) + COUNTIFS(EmployeeData[Join Date], "&lt;="&amp;U32, EmployeeData[Exit Date], "")</f>
        <v>712</v>
      </c>
      <c r="X32">
        <f>COUNTIFS(EmployeeData[Exit Date], "&gt;="&amp;V32, EmployeeData[Exit Date], "&lt;="&amp;U32)</f>
        <v>21</v>
      </c>
      <c r="Y32">
        <f t="shared" si="1"/>
        <v>706.5</v>
      </c>
      <c r="Z32" s="35">
        <f t="shared" si="0"/>
        <v>2.9723991507430998E-2</v>
      </c>
    </row>
    <row r="33" spans="2:26" x14ac:dyDescent="0.3">
      <c r="B33" s="29">
        <v>2020</v>
      </c>
      <c r="C33" s="66">
        <v>405</v>
      </c>
      <c r="D33" s="66">
        <v>23</v>
      </c>
      <c r="E33" s="66">
        <f t="shared" si="2"/>
        <v>382</v>
      </c>
      <c r="F33" s="66">
        <f t="shared" ref="F33:F39" si="4">SUM(E33,E32)/2</f>
        <v>329.5</v>
      </c>
      <c r="G33" s="83">
        <f t="shared" ref="G33:G39" si="5">(E33-E32)/E32</f>
        <v>0.37906137184115524</v>
      </c>
      <c r="H33" s="35">
        <f t="shared" si="3"/>
        <v>6.9802731411229141E-2</v>
      </c>
      <c r="O33" s="31" t="s">
        <v>1133</v>
      </c>
      <c r="P33" s="64">
        <v>22</v>
      </c>
      <c r="Q33" s="59">
        <v>15</v>
      </c>
      <c r="T33" s="33" t="s">
        <v>1165</v>
      </c>
      <c r="U33" s="34">
        <f>DATE(2025,3,31)</f>
        <v>45747</v>
      </c>
      <c r="V33" s="34">
        <f>DATE(2025,1,1)</f>
        <v>45658</v>
      </c>
      <c r="W33" s="39">
        <f>COUNTIFS(EmployeeData[Join Date], "&lt;="&amp;U33, EmployeeData[Exit Date], "&gt;"&amp;U33) + COUNTIFS(EmployeeData[Join Date], "&lt;="&amp;U33, EmployeeData[Exit Date], "")</f>
        <v>710</v>
      </c>
      <c r="X33">
        <f>COUNTIFS(EmployeeData[Exit Date], "&gt;="&amp;V33, EmployeeData[Exit Date], "&lt;="&amp;U33)</f>
        <v>31</v>
      </c>
      <c r="Y33">
        <f t="shared" si="1"/>
        <v>711</v>
      </c>
      <c r="Z33" s="35">
        <f t="shared" si="0"/>
        <v>4.360056258790436E-2</v>
      </c>
    </row>
    <row r="34" spans="2:26" x14ac:dyDescent="0.3">
      <c r="B34" s="29">
        <v>2021</v>
      </c>
      <c r="C34" s="66">
        <v>516</v>
      </c>
      <c r="D34" s="66">
        <v>24</v>
      </c>
      <c r="E34" s="66">
        <f t="shared" si="2"/>
        <v>492</v>
      </c>
      <c r="F34" s="66">
        <f t="shared" si="4"/>
        <v>437</v>
      </c>
      <c r="G34" s="83">
        <f t="shared" si="5"/>
        <v>0.2879581151832461</v>
      </c>
      <c r="H34" s="35">
        <f t="shared" si="3"/>
        <v>5.4919908466819219E-2</v>
      </c>
      <c r="O34" s="31" t="s">
        <v>1134</v>
      </c>
      <c r="P34" s="64">
        <v>22</v>
      </c>
      <c r="Q34" s="59">
        <v>15</v>
      </c>
      <c r="T34" s="33" t="s">
        <v>1166</v>
      </c>
      <c r="U34" s="34">
        <f>DATE(2025,6,30)</f>
        <v>45838</v>
      </c>
      <c r="V34" s="34">
        <f>DATE(2025,4,1)</f>
        <v>45748</v>
      </c>
      <c r="W34" s="39">
        <f>COUNTIFS(EmployeeData[Join Date], "&lt;="&amp;U34, EmployeeData[Exit Date], "&gt;"&amp;U34) + COUNTIFS(EmployeeData[Join Date], "&lt;="&amp;U34, EmployeeData[Exit Date], "")</f>
        <v>720</v>
      </c>
      <c r="X34">
        <f>COUNTIFS(EmployeeData[Exit Date], "&gt;="&amp;V34, EmployeeData[Exit Date], "&lt;="&amp;U34)</f>
        <v>26</v>
      </c>
      <c r="Y34">
        <f t="shared" si="1"/>
        <v>715</v>
      </c>
      <c r="Z34" s="35">
        <f t="shared" si="0"/>
        <v>3.6363636363636362E-2</v>
      </c>
    </row>
    <row r="35" spans="2:26" x14ac:dyDescent="0.3">
      <c r="B35" s="29">
        <v>2022</v>
      </c>
      <c r="C35" s="66">
        <v>632</v>
      </c>
      <c r="D35" s="66">
        <v>49</v>
      </c>
      <c r="E35" s="66">
        <f t="shared" si="2"/>
        <v>583</v>
      </c>
      <c r="F35" s="66">
        <f t="shared" si="4"/>
        <v>537.5</v>
      </c>
      <c r="G35" s="83">
        <f t="shared" si="5"/>
        <v>0.18495934959349594</v>
      </c>
      <c r="H35" s="35">
        <f t="shared" si="3"/>
        <v>9.1162790697674412E-2</v>
      </c>
      <c r="O35" s="31" t="s">
        <v>1135</v>
      </c>
      <c r="P35" s="64">
        <v>22</v>
      </c>
      <c r="Q35" s="59">
        <v>16</v>
      </c>
      <c r="T35" s="33" t="s">
        <v>1167</v>
      </c>
      <c r="U35" s="34">
        <f>DATE(2025,9,30)</f>
        <v>45930</v>
      </c>
      <c r="V35" s="34">
        <f>DATE(2025,7,1)</f>
        <v>45839</v>
      </c>
      <c r="W35" s="39">
        <f>COUNTIFS(EmployeeData[Join Date], "&lt;="&amp;U35, EmployeeData[Exit Date], "&gt;"&amp;U35) + COUNTIFS(EmployeeData[Join Date], "&lt;="&amp;U35, EmployeeData[Exit Date], "")</f>
        <v>735</v>
      </c>
      <c r="X35">
        <f>COUNTIFS(EmployeeData[Exit Date], "&gt;="&amp;V35, EmployeeData[Exit Date], "&lt;="&amp;U35)</f>
        <v>22</v>
      </c>
      <c r="Y35">
        <f t="shared" si="1"/>
        <v>727.5</v>
      </c>
      <c r="Z35" s="35">
        <f t="shared" si="0"/>
        <v>3.0240549828178694E-2</v>
      </c>
    </row>
    <row r="36" spans="2:26" x14ac:dyDescent="0.3">
      <c r="B36" s="29">
        <v>2023</v>
      </c>
      <c r="C36" s="66">
        <v>723</v>
      </c>
      <c r="D36" s="66">
        <v>59</v>
      </c>
      <c r="E36" s="66">
        <f t="shared" si="2"/>
        <v>664</v>
      </c>
      <c r="F36" s="66">
        <f t="shared" si="4"/>
        <v>623.5</v>
      </c>
      <c r="G36" s="83">
        <f t="shared" si="5"/>
        <v>0.13893653516295026</v>
      </c>
      <c r="H36" s="35">
        <f t="shared" si="3"/>
        <v>9.4627105052125099E-2</v>
      </c>
      <c r="O36" s="12" t="s">
        <v>1130</v>
      </c>
      <c r="P36" s="64">
        <v>71</v>
      </c>
      <c r="Q36" s="59">
        <v>48</v>
      </c>
      <c r="T36" s="33" t="s">
        <v>1168</v>
      </c>
      <c r="U36" s="34">
        <f>DATE(2025,12,31)</f>
        <v>46022</v>
      </c>
      <c r="V36" s="34">
        <f>DATE(2025,10,1)</f>
        <v>45931</v>
      </c>
      <c r="W36" s="39">
        <f>COUNTIFS(EmployeeData[Join Date], "&lt;="&amp;U36, EmployeeData[Exit Date], "&gt;"&amp;U36) + COUNTIFS(EmployeeData[Join Date], "&lt;="&amp;U36, EmployeeData[Exit Date], "")</f>
        <v>725</v>
      </c>
      <c r="X36">
        <f>COUNTIFS(EmployeeData[Exit Date], "&gt;="&amp;V36, EmployeeData[Exit Date], "&lt;="&amp;U36)</f>
        <v>37</v>
      </c>
      <c r="Y36">
        <f t="shared" si="1"/>
        <v>730</v>
      </c>
      <c r="Z36" s="35">
        <f t="shared" si="0"/>
        <v>5.0684931506849315E-2</v>
      </c>
    </row>
    <row r="37" spans="2:26" x14ac:dyDescent="0.3">
      <c r="B37" s="29">
        <v>2024</v>
      </c>
      <c r="C37" s="66">
        <v>783</v>
      </c>
      <c r="D37" s="66">
        <v>71</v>
      </c>
      <c r="E37" s="66">
        <f t="shared" si="2"/>
        <v>712</v>
      </c>
      <c r="F37" s="66">
        <f t="shared" si="4"/>
        <v>688</v>
      </c>
      <c r="G37" s="83">
        <f t="shared" si="5"/>
        <v>7.2289156626506021E-2</v>
      </c>
      <c r="H37" s="35">
        <f t="shared" si="3"/>
        <v>0.10319767441860465</v>
      </c>
      <c r="O37" s="31" t="s">
        <v>1132</v>
      </c>
      <c r="P37" s="64">
        <v>16</v>
      </c>
      <c r="Q37" s="59">
        <v>12</v>
      </c>
      <c r="S37" s="32" t="s">
        <v>1172</v>
      </c>
      <c r="T37" s="33" t="s">
        <v>1170</v>
      </c>
      <c r="U37" s="34">
        <f>DATE(2026,3,31)</f>
        <v>46112</v>
      </c>
      <c r="V37" s="34">
        <f>DATE(2026,1,1)</f>
        <v>46023</v>
      </c>
      <c r="W37" s="39">
        <f>COUNTIFS(EmployeeData[Join Date], "&lt;="&amp;U37, EmployeeData[Exit Date], "&gt;"&amp;U37) + COUNTIFS(EmployeeData[Join Date], "&lt;="&amp;U37, EmployeeData[Exit Date], "")</f>
        <v>689</v>
      </c>
      <c r="X37">
        <f>COUNTIFS(EmployeeData[Exit Date], "&gt;="&amp;V37, EmployeeData[Exit Date], "&lt;="&amp;U37)</f>
        <v>36</v>
      </c>
      <c r="Y37">
        <f t="shared" si="1"/>
        <v>707</v>
      </c>
      <c r="Z37" s="35">
        <f t="shared" si="0"/>
        <v>5.0919377652050922E-2</v>
      </c>
    </row>
    <row r="38" spans="2:26" x14ac:dyDescent="0.3">
      <c r="B38" s="29">
        <v>2025</v>
      </c>
      <c r="C38" s="66">
        <v>841</v>
      </c>
      <c r="D38" s="66">
        <v>116</v>
      </c>
      <c r="E38" s="66">
        <f t="shared" si="2"/>
        <v>725</v>
      </c>
      <c r="F38" s="66">
        <f t="shared" si="4"/>
        <v>718.5</v>
      </c>
      <c r="G38" s="83">
        <f t="shared" si="5"/>
        <v>1.8258426966292134E-2</v>
      </c>
      <c r="H38" s="35">
        <f t="shared" si="3"/>
        <v>0.16144745998608212</v>
      </c>
      <c r="O38" s="31" t="s">
        <v>1133</v>
      </c>
      <c r="P38" s="64">
        <v>20</v>
      </c>
      <c r="Q38" s="59">
        <v>10</v>
      </c>
      <c r="S38" s="32" t="s">
        <v>1172</v>
      </c>
      <c r="T38" s="36" t="s">
        <v>1171</v>
      </c>
      <c r="U38" s="37">
        <f>DATE(2026,6,30)</f>
        <v>46203</v>
      </c>
      <c r="V38" s="37">
        <f>DATE(2026,4,1)</f>
        <v>46113</v>
      </c>
      <c r="W38" s="41">
        <f>COUNTIFS(EmployeeData[Join Date], "&lt;="&amp;U38, EmployeeData[Exit Date], "&gt;"&amp;U38) + COUNTIFS(EmployeeData[Join Date], "&lt;="&amp;U38, EmployeeData[Exit Date], "")</f>
        <v>667</v>
      </c>
      <c r="X38" s="30">
        <f>COUNTIFS(EmployeeData[Exit Date], "&gt;="&amp;V38, EmployeeData[Exit Date], "&lt;="&amp;U38)</f>
        <v>22</v>
      </c>
      <c r="Y38" s="30">
        <f t="shared" si="1"/>
        <v>678</v>
      </c>
      <c r="Z38" s="38">
        <f t="shared" si="0"/>
        <v>3.2448377581120944E-2</v>
      </c>
    </row>
    <row r="39" spans="2:26" x14ac:dyDescent="0.3">
      <c r="B39" s="81">
        <v>2026</v>
      </c>
      <c r="C39" s="30">
        <v>725</v>
      </c>
      <c r="D39" s="30">
        <v>58</v>
      </c>
      <c r="E39" s="30">
        <f t="shared" si="2"/>
        <v>667</v>
      </c>
      <c r="F39" s="30">
        <f t="shared" si="4"/>
        <v>696</v>
      </c>
      <c r="G39" s="84">
        <f t="shared" si="5"/>
        <v>-0.08</v>
      </c>
      <c r="H39" s="38">
        <f t="shared" si="3"/>
        <v>8.3333333333333329E-2</v>
      </c>
      <c r="O39" s="31" t="s">
        <v>1134</v>
      </c>
      <c r="P39" s="64">
        <v>18</v>
      </c>
      <c r="Q39" s="59">
        <v>11</v>
      </c>
    </row>
    <row r="40" spans="2:26" x14ac:dyDescent="0.3">
      <c r="O40" s="31" t="s">
        <v>1135</v>
      </c>
      <c r="P40" s="64">
        <v>17</v>
      </c>
      <c r="Q40" s="59">
        <v>15</v>
      </c>
    </row>
    <row r="41" spans="2:26" x14ac:dyDescent="0.3">
      <c r="O41" s="12" t="s">
        <v>1131</v>
      </c>
      <c r="P41" s="64">
        <v>84</v>
      </c>
      <c r="Q41" s="59">
        <v>45</v>
      </c>
    </row>
    <row r="42" spans="2:26" x14ac:dyDescent="0.3">
      <c r="O42" s="31" t="s">
        <v>1132</v>
      </c>
      <c r="P42" s="64">
        <v>21</v>
      </c>
      <c r="Q42" s="59">
        <v>8</v>
      </c>
    </row>
    <row r="43" spans="2:26" x14ac:dyDescent="0.3">
      <c r="O43" s="31" t="s">
        <v>1133</v>
      </c>
      <c r="P43" s="64">
        <v>22</v>
      </c>
      <c r="Q43" s="59">
        <v>14</v>
      </c>
    </row>
    <row r="44" spans="2:26" x14ac:dyDescent="0.3">
      <c r="O44" s="31" t="s">
        <v>1134</v>
      </c>
      <c r="P44" s="64">
        <v>23</v>
      </c>
      <c r="Q44" s="59">
        <v>14</v>
      </c>
    </row>
    <row r="45" spans="2:26" x14ac:dyDescent="0.3">
      <c r="O45" s="31" t="s">
        <v>1135</v>
      </c>
      <c r="P45" s="64">
        <v>18</v>
      </c>
      <c r="Q45" s="59">
        <v>9</v>
      </c>
    </row>
    <row r="46" spans="2:26" x14ac:dyDescent="0.3">
      <c r="O46" s="13" t="s">
        <v>1099</v>
      </c>
      <c r="P46" s="67">
        <v>667</v>
      </c>
      <c r="Q46" s="60">
        <v>414</v>
      </c>
    </row>
  </sheetData>
  <conditionalFormatting sqref="H32:H39">
    <cfRule type="expression" dxfId="1" priority="1">
      <formula>H32&lt;H31</formula>
    </cfRule>
    <cfRule type="expression" dxfId="0" priority="2">
      <formula>H32&gt;H31</formula>
    </cfRule>
  </conditionalFormatting>
  <pageMargins left="0.7" right="0.7" top="0.75" bottom="0.75" header="0.3" footer="0.3"/>
  <pageSetup orientation="portrait" r:id="rId10"/>
  <extLst>
    <ext xmlns:x14="http://schemas.microsoft.com/office/spreadsheetml/2009/9/main" uri="{78C0D931-6437-407d-A8EE-F0AAD7539E65}">
      <x14:conditionalFormattings>
        <x14:conditionalFormatting xmlns:xm="http://schemas.microsoft.com/office/excel/2006/main">
          <x14:cfRule type="iconSet" priority="4" id="{D7C12470-D00F-49CF-936E-3E629DC8C3B8}">
            <x14:iconSet iconSet="3Triangles">
              <x14:cfvo type="percent">
                <xm:f>0</xm:f>
              </x14:cfvo>
              <x14:cfvo type="num">
                <xm:f>0</xm:f>
              </x14:cfvo>
              <x14:cfvo type="percent" gte="0">
                <xm:f>1</xm:f>
              </x14:cfvo>
            </x14:iconSet>
          </x14:cfRule>
          <xm:sqref>G31:G39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tabColor rgb="FF92D050"/>
  </sheetPr>
  <dimension ref="A1:Q1082"/>
  <sheetViews>
    <sheetView showGridLines="0" topLeftCell="A885" workbookViewId="0">
      <selection activeCell="G7" sqref="G7:G1075"/>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3.21875" bestFit="1" customWidth="1"/>
    <col min="7" max="7" width="10.88671875" customWidth="1"/>
    <col min="8" max="8" width="10.5546875" style="5" bestFit="1" customWidth="1"/>
    <col min="9" max="9" width="16.44140625" bestFit="1" customWidth="1"/>
    <col min="10" max="10" width="8.44140625" bestFit="1" customWidth="1"/>
    <col min="11" max="11" width="14.77734375" bestFit="1" customWidth="1"/>
    <col min="12" max="15" width="14.77734375" customWidth="1"/>
    <col min="16" max="16" width="13.77734375" customWidth="1"/>
    <col min="17" max="17" width="22.6640625" bestFit="1" customWidth="1"/>
  </cols>
  <sheetData>
    <row r="1" spans="1:17" x14ac:dyDescent="0.3">
      <c r="A1" t="s">
        <v>0</v>
      </c>
      <c r="B1" t="s">
        <v>1</v>
      </c>
      <c r="C1" t="s">
        <v>2</v>
      </c>
      <c r="D1" t="s">
        <v>3</v>
      </c>
      <c r="E1" t="s">
        <v>4</v>
      </c>
      <c r="F1" t="s">
        <v>1117</v>
      </c>
      <c r="G1" s="5" t="s">
        <v>5</v>
      </c>
      <c r="H1" s="5" t="s">
        <v>6</v>
      </c>
      <c r="I1" t="s">
        <v>7</v>
      </c>
      <c r="J1" t="s">
        <v>8</v>
      </c>
      <c r="K1" t="s">
        <v>1115</v>
      </c>
      <c r="L1" t="s">
        <v>1118</v>
      </c>
      <c r="Q1" s="8" t="s">
        <v>1116</v>
      </c>
    </row>
    <row r="2" spans="1:17" hidden="1" x14ac:dyDescent="0.3">
      <c r="A2">
        <v>1001</v>
      </c>
      <c r="B2" t="s">
        <v>564</v>
      </c>
      <c r="C2" t="s">
        <v>23</v>
      </c>
      <c r="D2" t="s">
        <v>16</v>
      </c>
      <c r="E2">
        <v>38</v>
      </c>
      <c r="F2" t="str" cm="1">
        <f t="array" ref="F2">_xlfn.IFS(EmployeeData[[#This Row],[Age]]&lt;30,"20s",EmployeeData[[#This Row],[Age]]&lt;40,"30s",EmployeeData[[#This Row],[Age]]&lt;50,"40s",EmployeeData[[#This Row],[Age]]&lt;60,"50s",EmployeeData[[#This Row],[Age]]&gt;=60,"60s")</f>
        <v>30s</v>
      </c>
      <c r="G2" s="5">
        <v>44104</v>
      </c>
      <c r="H2" s="5">
        <v>45702</v>
      </c>
      <c r="I2" t="s">
        <v>31</v>
      </c>
      <c r="J2" t="s">
        <v>13</v>
      </c>
      <c r="K2" cm="1">
        <f t="array" aca="1" ref="K2" ca="1">_xlfn.IFS(EmployeeData[[#This Row],[Status]]="Active",_xlfn.DAYS(TODAY(),EmployeeData[[#This Row],[Join Date]]),EmployeeData[[#This Row],[Status]]="Exited",_xlfn.DAYS(EmployeeData[[#This Row],[Exit Date]],EmployeeData[[#This Row],[Join Date]]))</f>
        <v>1598</v>
      </c>
      <c r="L2" cm="1">
        <f t="array" aca="1" ref="L2" ca="1">_xlfn.IFS(EmployeeData[[#This Row],[Status]]="Exited",DATEDIF(EmployeeData[[#This Row],[Join Date]], EmployeeData[[#This Row],[Exit Date]], "Y"),EmployeeData[[#This Row],[Status]]="Active",DATEDIF(EmployeeData[[#This Row],[Join Date]], TODAY(), "Y"))</f>
        <v>4</v>
      </c>
      <c r="Q2" t="str" cm="1">
        <f t="array" aca="1" ref="Q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3" spans="1:17" hidden="1" x14ac:dyDescent="0.3">
      <c r="A3">
        <v>1002</v>
      </c>
      <c r="B3" t="s">
        <v>987</v>
      </c>
      <c r="C3" t="s">
        <v>15</v>
      </c>
      <c r="D3" t="s">
        <v>16</v>
      </c>
      <c r="E3">
        <v>53</v>
      </c>
      <c r="F3" t="str" cm="1">
        <f t="array" ref="F3">_xlfn.IFS(EmployeeData[[#This Row],[Age]]&lt;30,"20s",EmployeeData[[#This Row],[Age]]&lt;40,"30s",EmployeeData[[#This Row],[Age]]&lt;50,"40s",EmployeeData[[#This Row],[Age]]&lt;60,"50s",EmployeeData[[#This Row],[Age]]&gt;=60,"60s")</f>
        <v>50s</v>
      </c>
      <c r="G3" s="5">
        <v>45566</v>
      </c>
      <c r="H3" s="5">
        <v>45859</v>
      </c>
      <c r="I3" t="s">
        <v>34</v>
      </c>
      <c r="J3" t="s">
        <v>13</v>
      </c>
      <c r="K3" cm="1">
        <f t="array" aca="1" ref="K3" ca="1">_xlfn.IFS(EmployeeData[[#This Row],[Status]]="Active",_xlfn.DAYS(TODAY(),EmployeeData[[#This Row],[Join Date]]),EmployeeData[[#This Row],[Status]]="Exited",_xlfn.DAYS(EmployeeData[[#This Row],[Exit Date]],EmployeeData[[#This Row],[Join Date]]))</f>
        <v>293</v>
      </c>
      <c r="L3" cm="1">
        <f t="array" aca="1" ref="L3" ca="1">_xlfn.IFS(EmployeeData[[#This Row],[Status]]="Exited",DATEDIF(EmployeeData[[#This Row],[Join Date]], EmployeeData[[#This Row],[Exit Date]], "Y"),EmployeeData[[#This Row],[Status]]="Active",DATEDIF(EmployeeData[[#This Row],[Join Date]], TODAY(), "Y"))</f>
        <v>0</v>
      </c>
      <c r="Q3" t="str" cm="1">
        <f t="array" aca="1" ref="Q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 spans="1:17" hidden="1" x14ac:dyDescent="0.3">
      <c r="A4">
        <v>1003</v>
      </c>
      <c r="B4" t="s">
        <v>83</v>
      </c>
      <c r="C4" t="s">
        <v>33</v>
      </c>
      <c r="D4" t="s">
        <v>16</v>
      </c>
      <c r="E4">
        <v>31</v>
      </c>
      <c r="F4" t="str" cm="1">
        <f t="array" ref="F4">_xlfn.IFS(EmployeeData[[#This Row],[Age]]&lt;30,"20s",EmployeeData[[#This Row],[Age]]&lt;40,"30s",EmployeeData[[#This Row],[Age]]&lt;50,"40s",EmployeeData[[#This Row],[Age]]&lt;60,"50s",EmployeeData[[#This Row],[Age]]&gt;=60,"60s")</f>
        <v>30s</v>
      </c>
      <c r="G4" s="5">
        <v>45960</v>
      </c>
      <c r="I4" t="s">
        <v>17</v>
      </c>
      <c r="J4" t="s">
        <v>18</v>
      </c>
      <c r="K4" cm="1">
        <f t="array" aca="1" ref="K4" ca="1">_xlfn.IFS(EmployeeData[[#This Row],[Status]]="Active",_xlfn.DAYS(TODAY(),EmployeeData[[#This Row],[Join Date]]),EmployeeData[[#This Row],[Status]]="Exited",_xlfn.DAYS(EmployeeData[[#This Row],[Exit Date]],EmployeeData[[#This Row],[Join Date]]))</f>
        <v>237</v>
      </c>
      <c r="L4" cm="1">
        <f t="array" aca="1" ref="L4" ca="1">_xlfn.IFS(EmployeeData[[#This Row],[Status]]="Exited",DATEDIF(EmployeeData[[#This Row],[Join Date]], EmployeeData[[#This Row],[Exit Date]], "Y"),EmployeeData[[#This Row],[Status]]="Active",DATEDIF(EmployeeData[[#This Row],[Join Date]], TODAY(), "Y"))</f>
        <v>0</v>
      </c>
      <c r="Q4" t="str" cm="1">
        <f t="array" aca="1" ref="Q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25 days</v>
      </c>
    </row>
    <row r="5" spans="1:17" hidden="1" x14ac:dyDescent="0.3">
      <c r="A5">
        <v>1004</v>
      </c>
      <c r="B5" t="s">
        <v>105</v>
      </c>
      <c r="C5" t="s">
        <v>15</v>
      </c>
      <c r="D5" t="s">
        <v>24</v>
      </c>
      <c r="E5">
        <v>43</v>
      </c>
      <c r="F5" t="str" cm="1">
        <f t="array" ref="F5">_xlfn.IFS(EmployeeData[[#This Row],[Age]]&lt;30,"20s",EmployeeData[[#This Row],[Age]]&lt;40,"30s",EmployeeData[[#This Row],[Age]]&lt;50,"40s",EmployeeData[[#This Row],[Age]]&lt;60,"50s",EmployeeData[[#This Row],[Age]]&gt;=60,"60s")</f>
        <v>40s</v>
      </c>
      <c r="G5" s="5">
        <v>44509</v>
      </c>
      <c r="I5" t="s">
        <v>17</v>
      </c>
      <c r="J5" t="s">
        <v>18</v>
      </c>
      <c r="K5" cm="1">
        <f t="array" aca="1" ref="K5" ca="1">_xlfn.IFS(EmployeeData[[#This Row],[Status]]="Active",_xlfn.DAYS(TODAY(),EmployeeData[[#This Row],[Join Date]]),EmployeeData[[#This Row],[Status]]="Exited",_xlfn.DAYS(EmployeeData[[#This Row],[Exit Date]],EmployeeData[[#This Row],[Join Date]]))</f>
        <v>1688</v>
      </c>
      <c r="L5" cm="1">
        <f t="array" aca="1" ref="L5" ca="1">_xlfn.IFS(EmployeeData[[#This Row],[Status]]="Exited",DATEDIF(EmployeeData[[#This Row],[Join Date]], EmployeeData[[#This Row],[Exit Date]], "Y"),EmployeeData[[#This Row],[Status]]="Active",DATEDIF(EmployeeData[[#This Row],[Join Date]], TODAY(), "Y"))</f>
        <v>4</v>
      </c>
      <c r="Q5" t="str" cm="1">
        <f t="array" aca="1" ref="Q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6" spans="1:17" hidden="1" x14ac:dyDescent="0.3">
      <c r="A6">
        <v>1005</v>
      </c>
      <c r="B6" t="s">
        <v>652</v>
      </c>
      <c r="C6" t="s">
        <v>46</v>
      </c>
      <c r="D6" t="s">
        <v>24</v>
      </c>
      <c r="E6">
        <v>56</v>
      </c>
      <c r="F6" t="str" cm="1">
        <f t="array" ref="F6">_xlfn.IFS(EmployeeData[[#This Row],[Age]]&lt;30,"20s",EmployeeData[[#This Row],[Age]]&lt;40,"30s",EmployeeData[[#This Row],[Age]]&lt;50,"40s",EmployeeData[[#This Row],[Age]]&lt;60,"50s",EmployeeData[[#This Row],[Age]]&gt;=60,"60s")</f>
        <v>50s</v>
      </c>
      <c r="G6" s="5">
        <v>44301</v>
      </c>
      <c r="I6" t="s">
        <v>17</v>
      </c>
      <c r="J6" t="s">
        <v>18</v>
      </c>
      <c r="K6" cm="1">
        <f t="array" aca="1" ref="K6" ca="1">_xlfn.IFS(EmployeeData[[#This Row],[Status]]="Active",_xlfn.DAYS(TODAY(),EmployeeData[[#This Row],[Join Date]]),EmployeeData[[#This Row],[Status]]="Exited",_xlfn.DAYS(EmployeeData[[#This Row],[Exit Date]],EmployeeData[[#This Row],[Join Date]]))</f>
        <v>1896</v>
      </c>
      <c r="L6" cm="1">
        <f t="array" aca="1" ref="L6" ca="1">_xlfn.IFS(EmployeeData[[#This Row],[Status]]="Exited",DATEDIF(EmployeeData[[#This Row],[Join Date]], EmployeeData[[#This Row],[Exit Date]], "Y"),EmployeeData[[#This Row],[Status]]="Active",DATEDIF(EmployeeData[[#This Row],[Join Date]], TODAY(), "Y"))</f>
        <v>5</v>
      </c>
      <c r="Q6" t="str" cm="1">
        <f t="array" aca="1" ref="Q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9 days</v>
      </c>
    </row>
    <row r="7" spans="1:17" x14ac:dyDescent="0.3">
      <c r="A7">
        <v>1006</v>
      </c>
      <c r="B7" t="s">
        <v>702</v>
      </c>
      <c r="C7" t="s">
        <v>15</v>
      </c>
      <c r="D7" t="s">
        <v>16</v>
      </c>
      <c r="E7">
        <v>39</v>
      </c>
      <c r="F7" t="str" cm="1">
        <f t="array" ref="F7">_xlfn.IFS(EmployeeData[[#This Row],[Age]]&lt;30,"20s",EmployeeData[[#This Row],[Age]]&lt;40,"30s",EmployeeData[[#This Row],[Age]]&lt;50,"40s",EmployeeData[[#This Row],[Age]]&lt;60,"50s",EmployeeData[[#This Row],[Age]]&gt;=60,"60s")</f>
        <v>30s</v>
      </c>
      <c r="G7" s="5">
        <v>43427</v>
      </c>
      <c r="I7" t="s">
        <v>17</v>
      </c>
      <c r="J7" t="s">
        <v>18</v>
      </c>
      <c r="K7" cm="1">
        <f t="array" aca="1" ref="K7" ca="1">_xlfn.IFS(EmployeeData[[#This Row],[Status]]="Active",_xlfn.DAYS(TODAY(),EmployeeData[[#This Row],[Join Date]]),EmployeeData[[#This Row],[Status]]="Exited",_xlfn.DAYS(EmployeeData[[#This Row],[Exit Date]],EmployeeData[[#This Row],[Join Date]]))</f>
        <v>2770</v>
      </c>
      <c r="L7" cm="1">
        <f t="array" aca="1" ref="L7" ca="1">_xlfn.IFS(EmployeeData[[#This Row],[Status]]="Exited",DATEDIF(EmployeeData[[#This Row],[Join Date]], EmployeeData[[#This Row],[Exit Date]], "Y"),EmployeeData[[#This Row],[Status]]="Active",DATEDIF(EmployeeData[[#This Row],[Join Date]], TODAY(), "Y"))</f>
        <v>7</v>
      </c>
      <c r="Q7" t="str" cm="1">
        <f t="array" aca="1" ref="Q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 days</v>
      </c>
    </row>
    <row r="8" spans="1:17" hidden="1" x14ac:dyDescent="0.3">
      <c r="A8">
        <v>1007</v>
      </c>
      <c r="B8" t="s">
        <v>344</v>
      </c>
      <c r="C8" t="s">
        <v>15</v>
      </c>
      <c r="D8" t="s">
        <v>24</v>
      </c>
      <c r="E8">
        <v>38</v>
      </c>
      <c r="F8" t="str" cm="1">
        <f t="array" ref="F8">_xlfn.IFS(EmployeeData[[#This Row],[Age]]&lt;30,"20s",EmployeeData[[#This Row],[Age]]&lt;40,"30s",EmployeeData[[#This Row],[Age]]&lt;50,"40s",EmployeeData[[#This Row],[Age]]&lt;60,"50s",EmployeeData[[#This Row],[Age]]&gt;=60,"60s")</f>
        <v>30s</v>
      </c>
      <c r="G8" s="5">
        <v>45975</v>
      </c>
      <c r="I8" t="s">
        <v>17</v>
      </c>
      <c r="J8" t="s">
        <v>18</v>
      </c>
      <c r="K8" cm="1">
        <f t="array" aca="1" ref="K8" ca="1">_xlfn.IFS(EmployeeData[[#This Row],[Status]]="Active",_xlfn.DAYS(TODAY(),EmployeeData[[#This Row],[Join Date]]),EmployeeData[[#This Row],[Status]]="Exited",_xlfn.DAYS(EmployeeData[[#This Row],[Exit Date]],EmployeeData[[#This Row],[Join Date]]))</f>
        <v>222</v>
      </c>
      <c r="L8" cm="1">
        <f t="array" aca="1" ref="L8" ca="1">_xlfn.IFS(EmployeeData[[#This Row],[Status]]="Exited",DATEDIF(EmployeeData[[#This Row],[Join Date]], EmployeeData[[#This Row],[Exit Date]], "Y"),EmployeeData[[#This Row],[Status]]="Active",DATEDIF(EmployeeData[[#This Row],[Join Date]], TODAY(), "Y"))</f>
        <v>0</v>
      </c>
      <c r="Q8" t="str" cm="1">
        <f t="array" aca="1" ref="Q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10 days</v>
      </c>
    </row>
    <row r="9" spans="1:17" hidden="1" x14ac:dyDescent="0.3">
      <c r="A9">
        <v>1008</v>
      </c>
      <c r="B9" t="s">
        <v>213</v>
      </c>
      <c r="C9" t="s">
        <v>23</v>
      </c>
      <c r="D9" t="s">
        <v>16</v>
      </c>
      <c r="E9">
        <v>50</v>
      </c>
      <c r="F9" t="str" cm="1">
        <f t="array" ref="F9">_xlfn.IFS(EmployeeData[[#This Row],[Age]]&lt;30,"20s",EmployeeData[[#This Row],[Age]]&lt;40,"30s",EmployeeData[[#This Row],[Age]]&lt;50,"40s",EmployeeData[[#This Row],[Age]]&lt;60,"50s",EmployeeData[[#This Row],[Age]]&gt;=60,"60s")</f>
        <v>50s</v>
      </c>
      <c r="G9" s="5">
        <v>44655</v>
      </c>
      <c r="H9" s="5">
        <v>46055</v>
      </c>
      <c r="I9" t="s">
        <v>34</v>
      </c>
      <c r="J9" t="s">
        <v>13</v>
      </c>
      <c r="K9" cm="1">
        <f t="array" aca="1" ref="K9" ca="1">_xlfn.IFS(EmployeeData[[#This Row],[Status]]="Active",_xlfn.DAYS(TODAY(),EmployeeData[[#This Row],[Join Date]]),EmployeeData[[#This Row],[Status]]="Exited",_xlfn.DAYS(EmployeeData[[#This Row],[Exit Date]],EmployeeData[[#This Row],[Join Date]]))</f>
        <v>1400</v>
      </c>
      <c r="L9" cm="1">
        <f t="array" aca="1" ref="L9" ca="1">_xlfn.IFS(EmployeeData[[#This Row],[Status]]="Exited",DATEDIF(EmployeeData[[#This Row],[Join Date]], EmployeeData[[#This Row],[Exit Date]], "Y"),EmployeeData[[#This Row],[Status]]="Active",DATEDIF(EmployeeData[[#This Row],[Join Date]], TODAY(), "Y"))</f>
        <v>3</v>
      </c>
      <c r="Q9" t="str" cm="1">
        <f t="array" aca="1" ref="Q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10" spans="1:17" hidden="1" x14ac:dyDescent="0.3">
      <c r="A10">
        <v>1009</v>
      </c>
      <c r="B10" t="s">
        <v>769</v>
      </c>
      <c r="C10" t="s">
        <v>15</v>
      </c>
      <c r="D10" t="s">
        <v>16</v>
      </c>
      <c r="E10">
        <v>41</v>
      </c>
      <c r="F10" t="str" cm="1">
        <f t="array" ref="F10">_xlfn.IFS(EmployeeData[[#This Row],[Age]]&lt;30,"20s",EmployeeData[[#This Row],[Age]]&lt;40,"30s",EmployeeData[[#This Row],[Age]]&lt;50,"40s",EmployeeData[[#This Row],[Age]]&lt;60,"50s",EmployeeData[[#This Row],[Age]]&gt;=60,"60s")</f>
        <v>40s</v>
      </c>
      <c r="G10" s="5">
        <v>44744</v>
      </c>
      <c r="H10" s="5">
        <v>45266</v>
      </c>
      <c r="I10" t="s">
        <v>52</v>
      </c>
      <c r="J10" t="s">
        <v>13</v>
      </c>
      <c r="K10" cm="1">
        <f t="array" aca="1" ref="K10" ca="1">_xlfn.IFS(EmployeeData[[#This Row],[Status]]="Active",_xlfn.DAYS(TODAY(),EmployeeData[[#This Row],[Join Date]]),EmployeeData[[#This Row],[Status]]="Exited",_xlfn.DAYS(EmployeeData[[#This Row],[Exit Date]],EmployeeData[[#This Row],[Join Date]]))</f>
        <v>522</v>
      </c>
      <c r="L10" cm="1">
        <f t="array" aca="1" ref="L10" ca="1">_xlfn.IFS(EmployeeData[[#This Row],[Status]]="Exited",DATEDIF(EmployeeData[[#This Row],[Join Date]], EmployeeData[[#This Row],[Exit Date]], "Y"),EmployeeData[[#This Row],[Status]]="Active",DATEDIF(EmployeeData[[#This Row],[Join Date]], TODAY(), "Y"))</f>
        <v>1</v>
      </c>
      <c r="Q10" t="str" cm="1">
        <f t="array" aca="1" ref="Q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4 days</v>
      </c>
    </row>
    <row r="11" spans="1:17" hidden="1" x14ac:dyDescent="0.3">
      <c r="A11">
        <v>1010</v>
      </c>
      <c r="B11" t="s">
        <v>546</v>
      </c>
      <c r="C11" t="s">
        <v>10</v>
      </c>
      <c r="D11" t="s">
        <v>11</v>
      </c>
      <c r="E11">
        <v>50</v>
      </c>
      <c r="F11" t="str" cm="1">
        <f t="array" ref="F11">_xlfn.IFS(EmployeeData[[#This Row],[Age]]&lt;30,"20s",EmployeeData[[#This Row],[Age]]&lt;40,"30s",EmployeeData[[#This Row],[Age]]&lt;50,"40s",EmployeeData[[#This Row],[Age]]&lt;60,"50s",EmployeeData[[#This Row],[Age]]&gt;=60,"60s")</f>
        <v>50s</v>
      </c>
      <c r="G11" s="5">
        <v>43686</v>
      </c>
      <c r="H11" s="5">
        <v>44786</v>
      </c>
      <c r="I11" t="s">
        <v>34</v>
      </c>
      <c r="J11" t="s">
        <v>13</v>
      </c>
      <c r="K11" cm="1">
        <f t="array" aca="1" ref="K11" ca="1">_xlfn.IFS(EmployeeData[[#This Row],[Status]]="Active",_xlfn.DAYS(TODAY(),EmployeeData[[#This Row],[Join Date]]),EmployeeData[[#This Row],[Status]]="Exited",_xlfn.DAYS(EmployeeData[[#This Row],[Exit Date]],EmployeeData[[#This Row],[Join Date]]))</f>
        <v>1100</v>
      </c>
      <c r="L11" cm="1">
        <f t="array" aca="1" ref="L11" ca="1">_xlfn.IFS(EmployeeData[[#This Row],[Status]]="Exited",DATEDIF(EmployeeData[[#This Row],[Join Date]], EmployeeData[[#This Row],[Exit Date]], "Y"),EmployeeData[[#This Row],[Status]]="Active",DATEDIF(EmployeeData[[#This Row],[Join Date]], TODAY(), "Y"))</f>
        <v>3</v>
      </c>
      <c r="Q11" t="str" cm="1">
        <f t="array" aca="1" ref="Q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12" spans="1:17" hidden="1" x14ac:dyDescent="0.3">
      <c r="A12">
        <v>1011</v>
      </c>
      <c r="B12" t="s">
        <v>547</v>
      </c>
      <c r="C12" t="s">
        <v>10</v>
      </c>
      <c r="D12" t="s">
        <v>24</v>
      </c>
      <c r="E12">
        <v>44</v>
      </c>
      <c r="F12" t="str" cm="1">
        <f t="array" ref="F12">_xlfn.IFS(EmployeeData[[#This Row],[Age]]&lt;30,"20s",EmployeeData[[#This Row],[Age]]&lt;40,"30s",EmployeeData[[#This Row],[Age]]&lt;50,"40s",EmployeeData[[#This Row],[Age]]&lt;60,"50s",EmployeeData[[#This Row],[Age]]&gt;=60,"60s")</f>
        <v>40s</v>
      </c>
      <c r="G12" s="5">
        <v>43999</v>
      </c>
      <c r="I12" t="s">
        <v>17</v>
      </c>
      <c r="J12" t="s">
        <v>18</v>
      </c>
      <c r="K12" cm="1">
        <f t="array" aca="1" ref="K12" ca="1">_xlfn.IFS(EmployeeData[[#This Row],[Status]]="Active",_xlfn.DAYS(TODAY(),EmployeeData[[#This Row],[Join Date]]),EmployeeData[[#This Row],[Status]]="Exited",_xlfn.DAYS(EmployeeData[[#This Row],[Exit Date]],EmployeeData[[#This Row],[Join Date]]))</f>
        <v>2198</v>
      </c>
      <c r="L12" cm="1">
        <f t="array" aca="1" ref="L12" ca="1">_xlfn.IFS(EmployeeData[[#This Row],[Status]]="Exited",DATEDIF(EmployeeData[[#This Row],[Join Date]], EmployeeData[[#This Row],[Exit Date]], "Y"),EmployeeData[[#This Row],[Status]]="Active",DATEDIF(EmployeeData[[#This Row],[Join Date]], TODAY(), "Y"))</f>
        <v>6</v>
      </c>
      <c r="Q12" t="str" cm="1">
        <f t="array" aca="1" ref="Q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7 days</v>
      </c>
    </row>
    <row r="13" spans="1:17" hidden="1" x14ac:dyDescent="0.3">
      <c r="A13">
        <v>1012</v>
      </c>
      <c r="B13" t="s">
        <v>1068</v>
      </c>
      <c r="C13" t="s">
        <v>33</v>
      </c>
      <c r="D13" t="s">
        <v>16</v>
      </c>
      <c r="E13">
        <v>31</v>
      </c>
      <c r="F13" t="str" cm="1">
        <f t="array" ref="F13">_xlfn.IFS(EmployeeData[[#This Row],[Age]]&lt;30,"20s",EmployeeData[[#This Row],[Age]]&lt;40,"30s",EmployeeData[[#This Row],[Age]]&lt;50,"40s",EmployeeData[[#This Row],[Age]]&lt;60,"50s",EmployeeData[[#This Row],[Age]]&gt;=60,"60s")</f>
        <v>30s</v>
      </c>
      <c r="G13" s="5">
        <v>45888</v>
      </c>
      <c r="I13" t="s">
        <v>17</v>
      </c>
      <c r="J13" t="s">
        <v>18</v>
      </c>
      <c r="K13" cm="1">
        <f t="array" aca="1" ref="K13" ca="1">_xlfn.IFS(EmployeeData[[#This Row],[Status]]="Active",_xlfn.DAYS(TODAY(),EmployeeData[[#This Row],[Join Date]]),EmployeeData[[#This Row],[Status]]="Exited",_xlfn.DAYS(EmployeeData[[#This Row],[Exit Date]],EmployeeData[[#This Row],[Join Date]]))</f>
        <v>309</v>
      </c>
      <c r="L13" cm="1">
        <f t="array" aca="1" ref="L13" ca="1">_xlfn.IFS(EmployeeData[[#This Row],[Status]]="Exited",DATEDIF(EmployeeData[[#This Row],[Join Date]], EmployeeData[[#This Row],[Exit Date]], "Y"),EmployeeData[[#This Row],[Status]]="Active",DATEDIF(EmployeeData[[#This Row],[Join Date]], TODAY(), "Y"))</f>
        <v>0</v>
      </c>
      <c r="Q13" t="str" cm="1">
        <f t="array" aca="1" ref="Q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14" spans="1:17" hidden="1" x14ac:dyDescent="0.3">
      <c r="A14">
        <v>1013</v>
      </c>
      <c r="B14" t="s">
        <v>633</v>
      </c>
      <c r="C14" t="s">
        <v>23</v>
      </c>
      <c r="D14" t="s">
        <v>11</v>
      </c>
      <c r="E14">
        <v>21</v>
      </c>
      <c r="F14" t="str" cm="1">
        <f t="array" ref="F14">_xlfn.IFS(EmployeeData[[#This Row],[Age]]&lt;30,"20s",EmployeeData[[#This Row],[Age]]&lt;40,"30s",EmployeeData[[#This Row],[Age]]&lt;50,"40s",EmployeeData[[#This Row],[Age]]&lt;60,"50s",EmployeeData[[#This Row],[Age]]&gt;=60,"60s")</f>
        <v>20s</v>
      </c>
      <c r="G14" s="5">
        <v>45887</v>
      </c>
      <c r="I14" t="s">
        <v>17</v>
      </c>
      <c r="J14" t="s">
        <v>18</v>
      </c>
      <c r="K14" cm="1">
        <f t="array" aca="1" ref="K14" ca="1">_xlfn.IFS(EmployeeData[[#This Row],[Status]]="Active",_xlfn.DAYS(TODAY(),EmployeeData[[#This Row],[Join Date]]),EmployeeData[[#This Row],[Status]]="Exited",_xlfn.DAYS(EmployeeData[[#This Row],[Exit Date]],EmployeeData[[#This Row],[Join Date]]))</f>
        <v>310</v>
      </c>
      <c r="L14" cm="1">
        <f t="array" aca="1" ref="L14" ca="1">_xlfn.IFS(EmployeeData[[#This Row],[Status]]="Exited",DATEDIF(EmployeeData[[#This Row],[Join Date]], EmployeeData[[#This Row],[Exit Date]], "Y"),EmployeeData[[#This Row],[Status]]="Active",DATEDIF(EmployeeData[[#This Row],[Join Date]], TODAY(), "Y"))</f>
        <v>0</v>
      </c>
      <c r="Q14" t="str" cm="1">
        <f t="array" aca="1" ref="Q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6 days</v>
      </c>
    </row>
    <row r="15" spans="1:17" hidden="1" x14ac:dyDescent="0.3">
      <c r="A15">
        <v>1014</v>
      </c>
      <c r="B15" t="s">
        <v>1024</v>
      </c>
      <c r="C15" t="s">
        <v>10</v>
      </c>
      <c r="D15" t="s">
        <v>16</v>
      </c>
      <c r="E15">
        <v>31</v>
      </c>
      <c r="F15" t="str" cm="1">
        <f t="array" ref="F15">_xlfn.IFS(EmployeeData[[#This Row],[Age]]&lt;30,"20s",EmployeeData[[#This Row],[Age]]&lt;40,"30s",EmployeeData[[#This Row],[Age]]&lt;50,"40s",EmployeeData[[#This Row],[Age]]&lt;60,"50s",EmployeeData[[#This Row],[Age]]&gt;=60,"60s")</f>
        <v>30s</v>
      </c>
      <c r="G15" s="5">
        <v>44959</v>
      </c>
      <c r="H15" s="5">
        <v>45588</v>
      </c>
      <c r="I15" t="s">
        <v>21</v>
      </c>
      <c r="J15" t="s">
        <v>13</v>
      </c>
      <c r="K15" cm="1">
        <f t="array" aca="1" ref="K15" ca="1">_xlfn.IFS(EmployeeData[[#This Row],[Status]]="Active",_xlfn.DAYS(TODAY(),EmployeeData[[#This Row],[Join Date]]),EmployeeData[[#This Row],[Status]]="Exited",_xlfn.DAYS(EmployeeData[[#This Row],[Exit Date]],EmployeeData[[#This Row],[Join Date]]))</f>
        <v>629</v>
      </c>
      <c r="L15" cm="1">
        <f t="array" aca="1" ref="L15" ca="1">_xlfn.IFS(EmployeeData[[#This Row],[Status]]="Exited",DATEDIF(EmployeeData[[#This Row],[Join Date]], EmployeeData[[#This Row],[Exit Date]], "Y"),EmployeeData[[#This Row],[Status]]="Active",DATEDIF(EmployeeData[[#This Row],[Join Date]], TODAY(), "Y"))</f>
        <v>1</v>
      </c>
      <c r="Q15" t="str" cm="1">
        <f t="array" aca="1" ref="Q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21 days</v>
      </c>
    </row>
    <row r="16" spans="1:17" hidden="1" x14ac:dyDescent="0.3">
      <c r="A16">
        <v>1015</v>
      </c>
      <c r="B16" t="s">
        <v>922</v>
      </c>
      <c r="C16" t="s">
        <v>33</v>
      </c>
      <c r="D16" t="s">
        <v>16</v>
      </c>
      <c r="E16">
        <v>53</v>
      </c>
      <c r="F16" t="str" cm="1">
        <f t="array" ref="F16">_xlfn.IFS(EmployeeData[[#This Row],[Age]]&lt;30,"20s",EmployeeData[[#This Row],[Age]]&lt;40,"30s",EmployeeData[[#This Row],[Age]]&lt;50,"40s",EmployeeData[[#This Row],[Age]]&lt;60,"50s",EmployeeData[[#This Row],[Age]]&gt;=60,"60s")</f>
        <v>50s</v>
      </c>
      <c r="G16" s="5">
        <v>45595</v>
      </c>
      <c r="H16" s="5">
        <v>45876</v>
      </c>
      <c r="I16" t="s">
        <v>34</v>
      </c>
      <c r="J16" t="s">
        <v>13</v>
      </c>
      <c r="K16" cm="1">
        <f t="array" aca="1" ref="K16" ca="1">_xlfn.IFS(EmployeeData[[#This Row],[Status]]="Active",_xlfn.DAYS(TODAY(),EmployeeData[[#This Row],[Join Date]]),EmployeeData[[#This Row],[Status]]="Exited",_xlfn.DAYS(EmployeeData[[#This Row],[Exit Date]],EmployeeData[[#This Row],[Join Date]]))</f>
        <v>281</v>
      </c>
      <c r="L16" cm="1">
        <f t="array" aca="1" ref="L16" ca="1">_xlfn.IFS(EmployeeData[[#This Row],[Status]]="Exited",DATEDIF(EmployeeData[[#This Row],[Join Date]], EmployeeData[[#This Row],[Exit Date]], "Y"),EmployeeData[[#This Row],[Status]]="Active",DATEDIF(EmployeeData[[#This Row],[Join Date]], TODAY(), "Y"))</f>
        <v>0</v>
      </c>
      <c r="Q16" t="str" cm="1">
        <f t="array" aca="1" ref="Q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8 days</v>
      </c>
    </row>
    <row r="17" spans="1:17" hidden="1" x14ac:dyDescent="0.3">
      <c r="A17">
        <v>1016</v>
      </c>
      <c r="B17" t="s">
        <v>376</v>
      </c>
      <c r="C17" t="s">
        <v>23</v>
      </c>
      <c r="D17" t="s">
        <v>24</v>
      </c>
      <c r="E17">
        <v>28</v>
      </c>
      <c r="F17" t="str" cm="1">
        <f t="array" ref="F17">_xlfn.IFS(EmployeeData[[#This Row],[Age]]&lt;30,"20s",EmployeeData[[#This Row],[Age]]&lt;40,"30s",EmployeeData[[#This Row],[Age]]&lt;50,"40s",EmployeeData[[#This Row],[Age]]&lt;60,"50s",EmployeeData[[#This Row],[Age]]&gt;=60,"60s")</f>
        <v>20s</v>
      </c>
      <c r="G17" s="5">
        <v>44587</v>
      </c>
      <c r="I17" t="s">
        <v>17</v>
      </c>
      <c r="J17" t="s">
        <v>18</v>
      </c>
      <c r="K17" cm="1">
        <f t="array" aca="1" ref="K17" ca="1">_xlfn.IFS(EmployeeData[[#This Row],[Status]]="Active",_xlfn.DAYS(TODAY(),EmployeeData[[#This Row],[Join Date]]),EmployeeData[[#This Row],[Status]]="Exited",_xlfn.DAYS(EmployeeData[[#This Row],[Exit Date]],EmployeeData[[#This Row],[Join Date]]))</f>
        <v>1610</v>
      </c>
      <c r="L17" cm="1">
        <f t="array" aca="1" ref="L17" ca="1">_xlfn.IFS(EmployeeData[[#This Row],[Status]]="Exited",DATEDIF(EmployeeData[[#This Row],[Join Date]], EmployeeData[[#This Row],[Exit Date]], "Y"),EmployeeData[[#This Row],[Status]]="Active",DATEDIF(EmployeeData[[#This Row],[Join Date]], TODAY(), "Y"))</f>
        <v>4</v>
      </c>
      <c r="Q17" t="str" cm="1">
        <f t="array" aca="1" ref="Q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29 days</v>
      </c>
    </row>
    <row r="18" spans="1:17" hidden="1" x14ac:dyDescent="0.3">
      <c r="A18">
        <v>1017</v>
      </c>
      <c r="B18" t="s">
        <v>944</v>
      </c>
      <c r="C18" t="s">
        <v>15</v>
      </c>
      <c r="D18" t="s">
        <v>24</v>
      </c>
      <c r="E18">
        <v>25</v>
      </c>
      <c r="F18" t="str" cm="1">
        <f t="array" ref="F18">_xlfn.IFS(EmployeeData[[#This Row],[Age]]&lt;30,"20s",EmployeeData[[#This Row],[Age]]&lt;40,"30s",EmployeeData[[#This Row],[Age]]&lt;50,"40s",EmployeeData[[#This Row],[Age]]&lt;60,"50s",EmployeeData[[#This Row],[Age]]&gt;=60,"60s")</f>
        <v>20s</v>
      </c>
      <c r="G18" s="5">
        <v>45282</v>
      </c>
      <c r="I18" t="s">
        <v>17</v>
      </c>
      <c r="J18" t="s">
        <v>18</v>
      </c>
      <c r="K18" cm="1">
        <f t="array" aca="1" ref="K18" ca="1">_xlfn.IFS(EmployeeData[[#This Row],[Status]]="Active",_xlfn.DAYS(TODAY(),EmployeeData[[#This Row],[Join Date]]),EmployeeData[[#This Row],[Status]]="Exited",_xlfn.DAYS(EmployeeData[[#This Row],[Exit Date]],EmployeeData[[#This Row],[Join Date]]))</f>
        <v>915</v>
      </c>
      <c r="L18" cm="1">
        <f t="array" aca="1" ref="L18" ca="1">_xlfn.IFS(EmployeeData[[#This Row],[Status]]="Exited",DATEDIF(EmployeeData[[#This Row],[Join Date]], EmployeeData[[#This Row],[Exit Date]], "Y"),EmployeeData[[#This Row],[Status]]="Active",DATEDIF(EmployeeData[[#This Row],[Join Date]], TODAY(), "Y"))</f>
        <v>2</v>
      </c>
      <c r="Q18" t="str" cm="1">
        <f t="array" aca="1" ref="Q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 days</v>
      </c>
    </row>
    <row r="19" spans="1:17" hidden="1" x14ac:dyDescent="0.3">
      <c r="A19">
        <v>1018</v>
      </c>
      <c r="B19" t="s">
        <v>244</v>
      </c>
      <c r="C19" t="s">
        <v>10</v>
      </c>
      <c r="D19" t="s">
        <v>11</v>
      </c>
      <c r="E19">
        <v>48</v>
      </c>
      <c r="F19" t="str" cm="1">
        <f t="array" ref="F19">_xlfn.IFS(EmployeeData[[#This Row],[Age]]&lt;30,"20s",EmployeeData[[#This Row],[Age]]&lt;40,"30s",EmployeeData[[#This Row],[Age]]&lt;50,"40s",EmployeeData[[#This Row],[Age]]&lt;60,"50s",EmployeeData[[#This Row],[Age]]&gt;=60,"60s")</f>
        <v>40s</v>
      </c>
      <c r="G19" s="5">
        <v>43968</v>
      </c>
      <c r="I19" t="s">
        <v>17</v>
      </c>
      <c r="J19" t="s">
        <v>18</v>
      </c>
      <c r="K19" cm="1">
        <f t="array" aca="1" ref="K19" ca="1">_xlfn.IFS(EmployeeData[[#This Row],[Status]]="Active",_xlfn.DAYS(TODAY(),EmployeeData[[#This Row],[Join Date]]),EmployeeData[[#This Row],[Status]]="Exited",_xlfn.DAYS(EmployeeData[[#This Row],[Exit Date]],EmployeeData[[#This Row],[Join Date]]))</f>
        <v>2229</v>
      </c>
      <c r="L19" cm="1">
        <f t="array" aca="1" ref="L19" ca="1">_xlfn.IFS(EmployeeData[[#This Row],[Status]]="Exited",DATEDIF(EmployeeData[[#This Row],[Join Date]], EmployeeData[[#This Row],[Exit Date]], "Y"),EmployeeData[[#This Row],[Status]]="Active",DATEDIF(EmployeeData[[#This Row],[Join Date]], TODAY(), "Y"))</f>
        <v>6</v>
      </c>
      <c r="Q19" t="str" cm="1">
        <f t="array" aca="1" ref="Q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7 days</v>
      </c>
    </row>
    <row r="20" spans="1:17" hidden="1" x14ac:dyDescent="0.3">
      <c r="A20">
        <v>1019</v>
      </c>
      <c r="B20" t="s">
        <v>275</v>
      </c>
      <c r="C20" t="s">
        <v>10</v>
      </c>
      <c r="D20" t="s">
        <v>24</v>
      </c>
      <c r="E20">
        <v>28</v>
      </c>
      <c r="F20" t="str" cm="1">
        <f t="array" ref="F20">_xlfn.IFS(EmployeeData[[#This Row],[Age]]&lt;30,"20s",EmployeeData[[#This Row],[Age]]&lt;40,"30s",EmployeeData[[#This Row],[Age]]&lt;50,"40s",EmployeeData[[#This Row],[Age]]&lt;60,"50s",EmployeeData[[#This Row],[Age]]&gt;=60,"60s")</f>
        <v>20s</v>
      </c>
      <c r="G20" s="5">
        <v>44116</v>
      </c>
      <c r="H20" s="5">
        <v>44898</v>
      </c>
      <c r="I20" t="s">
        <v>31</v>
      </c>
      <c r="J20" t="s">
        <v>13</v>
      </c>
      <c r="K20" cm="1">
        <f t="array" aca="1" ref="K20" ca="1">_xlfn.IFS(EmployeeData[[#This Row],[Status]]="Active",_xlfn.DAYS(TODAY(),EmployeeData[[#This Row],[Join Date]]),EmployeeData[[#This Row],[Status]]="Exited",_xlfn.DAYS(EmployeeData[[#This Row],[Exit Date]],EmployeeData[[#This Row],[Join Date]]))</f>
        <v>782</v>
      </c>
      <c r="L20" cm="1">
        <f t="array" aca="1" ref="L20" ca="1">_xlfn.IFS(EmployeeData[[#This Row],[Status]]="Exited",DATEDIF(EmployeeData[[#This Row],[Join Date]], EmployeeData[[#This Row],[Exit Date]], "Y"),EmployeeData[[#This Row],[Status]]="Active",DATEDIF(EmployeeData[[#This Row],[Join Date]], TODAY(), "Y"))</f>
        <v>2</v>
      </c>
      <c r="Q20" t="str" cm="1">
        <f t="array" aca="1" ref="Q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21 days</v>
      </c>
    </row>
    <row r="21" spans="1:17" x14ac:dyDescent="0.3">
      <c r="A21">
        <v>1020</v>
      </c>
      <c r="B21" t="s">
        <v>835</v>
      </c>
      <c r="C21" t="s">
        <v>15</v>
      </c>
      <c r="D21" t="s">
        <v>24</v>
      </c>
      <c r="E21">
        <v>35</v>
      </c>
      <c r="F21" t="str" cm="1">
        <f t="array" ref="F21">_xlfn.IFS(EmployeeData[[#This Row],[Age]]&lt;30,"20s",EmployeeData[[#This Row],[Age]]&lt;40,"30s",EmployeeData[[#This Row],[Age]]&lt;50,"40s",EmployeeData[[#This Row],[Age]]&lt;60,"50s",EmployeeData[[#This Row],[Age]]&gt;=60,"60s")</f>
        <v>30s</v>
      </c>
      <c r="G21" s="5">
        <v>43377</v>
      </c>
      <c r="I21" t="s">
        <v>17</v>
      </c>
      <c r="J21" t="s">
        <v>18</v>
      </c>
      <c r="K21" cm="1">
        <f t="array" aca="1" ref="K21" ca="1">_xlfn.IFS(EmployeeData[[#This Row],[Status]]="Active",_xlfn.DAYS(TODAY(),EmployeeData[[#This Row],[Join Date]]),EmployeeData[[#This Row],[Status]]="Exited",_xlfn.DAYS(EmployeeData[[#This Row],[Exit Date]],EmployeeData[[#This Row],[Join Date]]))</f>
        <v>2820</v>
      </c>
      <c r="L21" cm="1">
        <f t="array" aca="1" ref="L21" ca="1">_xlfn.IFS(EmployeeData[[#This Row],[Status]]="Exited",DATEDIF(EmployeeData[[#This Row],[Join Date]], EmployeeData[[#This Row],[Exit Date]], "Y"),EmployeeData[[#This Row],[Status]]="Active",DATEDIF(EmployeeData[[#This Row],[Join Date]], TODAY(), "Y"))</f>
        <v>7</v>
      </c>
      <c r="Q21" t="str" cm="1">
        <f t="array" aca="1" ref="Q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20 days</v>
      </c>
    </row>
    <row r="22" spans="1:17" hidden="1" x14ac:dyDescent="0.3">
      <c r="A22">
        <v>1021</v>
      </c>
      <c r="B22" t="s">
        <v>190</v>
      </c>
      <c r="C22" t="s">
        <v>20</v>
      </c>
      <c r="D22" t="s">
        <v>16</v>
      </c>
      <c r="E22">
        <v>29</v>
      </c>
      <c r="F22" t="str" cm="1">
        <f t="array" ref="F22">_xlfn.IFS(EmployeeData[[#This Row],[Age]]&lt;30,"20s",EmployeeData[[#This Row],[Age]]&lt;40,"30s",EmployeeData[[#This Row],[Age]]&lt;50,"40s",EmployeeData[[#This Row],[Age]]&lt;60,"50s",EmployeeData[[#This Row],[Age]]&gt;=60,"60s")</f>
        <v>20s</v>
      </c>
      <c r="G22" s="5">
        <v>45439</v>
      </c>
      <c r="I22" t="s">
        <v>17</v>
      </c>
      <c r="J22" t="s">
        <v>18</v>
      </c>
      <c r="K22" cm="1">
        <f t="array" aca="1" ref="K22" ca="1">_xlfn.IFS(EmployeeData[[#This Row],[Status]]="Active",_xlfn.DAYS(TODAY(),EmployeeData[[#This Row],[Join Date]]),EmployeeData[[#This Row],[Status]]="Exited",_xlfn.DAYS(EmployeeData[[#This Row],[Exit Date]],EmployeeData[[#This Row],[Join Date]]))</f>
        <v>758</v>
      </c>
      <c r="L22" cm="1">
        <f t="array" aca="1" ref="L22" ca="1">_xlfn.IFS(EmployeeData[[#This Row],[Status]]="Exited",DATEDIF(EmployeeData[[#This Row],[Join Date]], EmployeeData[[#This Row],[Exit Date]], "Y"),EmployeeData[[#This Row],[Status]]="Active",DATEDIF(EmployeeData[[#This Row],[Join Date]], TODAY(), "Y"))</f>
        <v>2</v>
      </c>
      <c r="Q22" t="str" cm="1">
        <f t="array" aca="1" ref="Q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28 days</v>
      </c>
    </row>
    <row r="23" spans="1:17" hidden="1" x14ac:dyDescent="0.3">
      <c r="A23">
        <v>1022</v>
      </c>
      <c r="B23" t="s">
        <v>1002</v>
      </c>
      <c r="C23" t="s">
        <v>15</v>
      </c>
      <c r="D23" t="s">
        <v>16</v>
      </c>
      <c r="E23">
        <v>48</v>
      </c>
      <c r="F23" t="str" cm="1">
        <f t="array" ref="F23">_xlfn.IFS(EmployeeData[[#This Row],[Age]]&lt;30,"20s",EmployeeData[[#This Row],[Age]]&lt;40,"30s",EmployeeData[[#This Row],[Age]]&lt;50,"40s",EmployeeData[[#This Row],[Age]]&lt;60,"50s",EmployeeData[[#This Row],[Age]]&gt;=60,"60s")</f>
        <v>40s</v>
      </c>
      <c r="G23" s="5">
        <v>44552</v>
      </c>
      <c r="I23" t="s">
        <v>17</v>
      </c>
      <c r="J23" t="s">
        <v>18</v>
      </c>
      <c r="K23" cm="1">
        <f t="array" aca="1" ref="K23" ca="1">_xlfn.IFS(EmployeeData[[#This Row],[Status]]="Active",_xlfn.DAYS(TODAY(),EmployeeData[[#This Row],[Join Date]]),EmployeeData[[#This Row],[Status]]="Exited",_xlfn.DAYS(EmployeeData[[#This Row],[Exit Date]],EmployeeData[[#This Row],[Join Date]]))</f>
        <v>1645</v>
      </c>
      <c r="L23" cm="1">
        <f t="array" aca="1" ref="L23" ca="1">_xlfn.IFS(EmployeeData[[#This Row],[Status]]="Exited",DATEDIF(EmployeeData[[#This Row],[Join Date]], EmployeeData[[#This Row],[Exit Date]], "Y"),EmployeeData[[#This Row],[Status]]="Active",DATEDIF(EmployeeData[[#This Row],[Join Date]], TODAY(), "Y"))</f>
        <v>4</v>
      </c>
      <c r="Q23" t="str" cm="1">
        <f t="array" aca="1" ref="Q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24" spans="1:17" hidden="1" x14ac:dyDescent="0.3">
      <c r="A24">
        <v>1023</v>
      </c>
      <c r="B24" t="s">
        <v>116</v>
      </c>
      <c r="C24" t="s">
        <v>15</v>
      </c>
      <c r="D24" t="s">
        <v>11</v>
      </c>
      <c r="E24">
        <v>27</v>
      </c>
      <c r="F24" t="str" cm="1">
        <f t="array" ref="F24">_xlfn.IFS(EmployeeData[[#This Row],[Age]]&lt;30,"20s",EmployeeData[[#This Row],[Age]]&lt;40,"30s",EmployeeData[[#This Row],[Age]]&lt;50,"40s",EmployeeData[[#This Row],[Age]]&lt;60,"50s",EmployeeData[[#This Row],[Age]]&gt;=60,"60s")</f>
        <v>20s</v>
      </c>
      <c r="G24" s="5">
        <v>44119</v>
      </c>
      <c r="H24" s="5">
        <v>45307</v>
      </c>
      <c r="I24" t="s">
        <v>12</v>
      </c>
      <c r="J24" t="s">
        <v>13</v>
      </c>
      <c r="K24" cm="1">
        <f t="array" aca="1" ref="K24" ca="1">_xlfn.IFS(EmployeeData[[#This Row],[Status]]="Active",_xlfn.DAYS(TODAY(),EmployeeData[[#This Row],[Join Date]]),EmployeeData[[#This Row],[Status]]="Exited",_xlfn.DAYS(EmployeeData[[#This Row],[Exit Date]],EmployeeData[[#This Row],[Join Date]]))</f>
        <v>1188</v>
      </c>
      <c r="L24" cm="1">
        <f t="array" aca="1" ref="L24" ca="1">_xlfn.IFS(EmployeeData[[#This Row],[Status]]="Exited",DATEDIF(EmployeeData[[#This Row],[Join Date]], EmployeeData[[#This Row],[Exit Date]], "Y"),EmployeeData[[#This Row],[Status]]="Active",DATEDIF(EmployeeData[[#This Row],[Join Date]], TODAY(), "Y"))</f>
        <v>3</v>
      </c>
      <c r="Q24" t="str" cm="1">
        <f t="array" aca="1" ref="Q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25" spans="1:17" hidden="1" x14ac:dyDescent="0.3">
      <c r="A25">
        <v>1024</v>
      </c>
      <c r="B25" t="s">
        <v>207</v>
      </c>
      <c r="C25" t="s">
        <v>33</v>
      </c>
      <c r="D25" t="s">
        <v>16</v>
      </c>
      <c r="E25">
        <v>56</v>
      </c>
      <c r="F25" t="str" cm="1">
        <f t="array" ref="F25">_xlfn.IFS(EmployeeData[[#This Row],[Age]]&lt;30,"20s",EmployeeData[[#This Row],[Age]]&lt;40,"30s",EmployeeData[[#This Row],[Age]]&lt;50,"40s",EmployeeData[[#This Row],[Age]]&lt;60,"50s",EmployeeData[[#This Row],[Age]]&gt;=60,"60s")</f>
        <v>50s</v>
      </c>
      <c r="G25" s="5">
        <v>43502</v>
      </c>
      <c r="H25" s="5">
        <v>43652</v>
      </c>
      <c r="I25" t="s">
        <v>21</v>
      </c>
      <c r="J25" t="s">
        <v>13</v>
      </c>
      <c r="K25" cm="1">
        <f t="array" aca="1" ref="K25" ca="1">_xlfn.IFS(EmployeeData[[#This Row],[Status]]="Active",_xlfn.DAYS(TODAY(),EmployeeData[[#This Row],[Join Date]]),EmployeeData[[#This Row],[Status]]="Exited",_xlfn.DAYS(EmployeeData[[#This Row],[Exit Date]],EmployeeData[[#This Row],[Join Date]]))</f>
        <v>150</v>
      </c>
      <c r="L25" cm="1">
        <f t="array" aca="1" ref="L25" ca="1">_xlfn.IFS(EmployeeData[[#This Row],[Status]]="Exited",DATEDIF(EmployeeData[[#This Row],[Join Date]], EmployeeData[[#This Row],[Exit Date]], "Y"),EmployeeData[[#This Row],[Status]]="Active",DATEDIF(EmployeeData[[#This Row],[Join Date]], TODAY(), "Y"))</f>
        <v>0</v>
      </c>
      <c r="Q25" t="str" cm="1">
        <f t="array" aca="1" ref="Q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0 days</v>
      </c>
    </row>
    <row r="26" spans="1:17" hidden="1" x14ac:dyDescent="0.3">
      <c r="A26">
        <v>1025</v>
      </c>
      <c r="B26" t="s">
        <v>854</v>
      </c>
      <c r="C26" t="s">
        <v>15</v>
      </c>
      <c r="D26" t="s">
        <v>24</v>
      </c>
      <c r="E26">
        <v>64</v>
      </c>
      <c r="F26" t="str" cm="1">
        <f t="array" ref="F26">_xlfn.IFS(EmployeeData[[#This Row],[Age]]&lt;30,"20s",EmployeeData[[#This Row],[Age]]&lt;40,"30s",EmployeeData[[#This Row],[Age]]&lt;50,"40s",EmployeeData[[#This Row],[Age]]&lt;60,"50s",EmployeeData[[#This Row],[Age]]&gt;=60,"60s")</f>
        <v>60s</v>
      </c>
      <c r="G26" s="5">
        <v>43775</v>
      </c>
      <c r="H26" s="5">
        <v>45464</v>
      </c>
      <c r="I26" t="s">
        <v>26</v>
      </c>
      <c r="J26" t="s">
        <v>13</v>
      </c>
      <c r="K26" cm="1">
        <f t="array" aca="1" ref="K26" ca="1">_xlfn.IFS(EmployeeData[[#This Row],[Status]]="Active",_xlfn.DAYS(TODAY(),EmployeeData[[#This Row],[Join Date]]),EmployeeData[[#This Row],[Status]]="Exited",_xlfn.DAYS(EmployeeData[[#This Row],[Exit Date]],EmployeeData[[#This Row],[Join Date]]))</f>
        <v>1689</v>
      </c>
      <c r="L26" cm="1">
        <f t="array" aca="1" ref="L26" ca="1">_xlfn.IFS(EmployeeData[[#This Row],[Status]]="Exited",DATEDIF(EmployeeData[[#This Row],[Join Date]], EmployeeData[[#This Row],[Exit Date]], "Y"),EmployeeData[[#This Row],[Status]]="Active",DATEDIF(EmployeeData[[#This Row],[Join Date]], TODAY(), "Y"))</f>
        <v>4</v>
      </c>
      <c r="Q26" t="str" cm="1">
        <f t="array" aca="1" ref="Q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27" spans="1:17" hidden="1" x14ac:dyDescent="0.3">
      <c r="A27">
        <v>1026</v>
      </c>
      <c r="B27" t="s">
        <v>19</v>
      </c>
      <c r="C27" t="s">
        <v>20</v>
      </c>
      <c r="D27" t="s">
        <v>11</v>
      </c>
      <c r="E27">
        <v>52</v>
      </c>
      <c r="F27" t="str" cm="1">
        <f t="array" ref="F27">_xlfn.IFS(EmployeeData[[#This Row],[Age]]&lt;30,"20s",EmployeeData[[#This Row],[Age]]&lt;40,"30s",EmployeeData[[#This Row],[Age]]&lt;50,"40s",EmployeeData[[#This Row],[Age]]&lt;60,"50s",EmployeeData[[#This Row],[Age]]&gt;=60,"60s")</f>
        <v>50s</v>
      </c>
      <c r="G27" s="5">
        <v>43735</v>
      </c>
      <c r="H27" s="5">
        <v>44716</v>
      </c>
      <c r="I27" t="s">
        <v>21</v>
      </c>
      <c r="J27" t="s">
        <v>13</v>
      </c>
      <c r="K27" cm="1">
        <f t="array" aca="1" ref="K27" ca="1">_xlfn.IFS(EmployeeData[[#This Row],[Status]]="Active",_xlfn.DAYS(TODAY(),EmployeeData[[#This Row],[Join Date]]),EmployeeData[[#This Row],[Status]]="Exited",_xlfn.DAYS(EmployeeData[[#This Row],[Exit Date]],EmployeeData[[#This Row],[Join Date]]))</f>
        <v>981</v>
      </c>
      <c r="L27" cm="1">
        <f t="array" aca="1" ref="L27" ca="1">_xlfn.IFS(EmployeeData[[#This Row],[Status]]="Exited",DATEDIF(EmployeeData[[#This Row],[Join Date]], EmployeeData[[#This Row],[Exit Date]], "Y"),EmployeeData[[#This Row],[Status]]="Active",DATEDIF(EmployeeData[[#This Row],[Join Date]], TODAY(), "Y"))</f>
        <v>2</v>
      </c>
      <c r="Q27" t="str" cm="1">
        <f t="array" aca="1" ref="Q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8 days</v>
      </c>
    </row>
    <row r="28" spans="1:17" hidden="1" x14ac:dyDescent="0.3">
      <c r="A28">
        <v>1027</v>
      </c>
      <c r="B28" t="s">
        <v>530</v>
      </c>
      <c r="C28" t="s">
        <v>15</v>
      </c>
      <c r="D28" t="s">
        <v>24</v>
      </c>
      <c r="E28">
        <v>53</v>
      </c>
      <c r="F28" t="str" cm="1">
        <f t="array" ref="F28">_xlfn.IFS(EmployeeData[[#This Row],[Age]]&lt;30,"20s",EmployeeData[[#This Row],[Age]]&lt;40,"30s",EmployeeData[[#This Row],[Age]]&lt;50,"40s",EmployeeData[[#This Row],[Age]]&lt;60,"50s",EmployeeData[[#This Row],[Age]]&gt;=60,"60s")</f>
        <v>50s</v>
      </c>
      <c r="G28" s="5">
        <v>45276</v>
      </c>
      <c r="H28" s="5">
        <v>45886</v>
      </c>
      <c r="I28" t="s">
        <v>31</v>
      </c>
      <c r="J28" t="s">
        <v>13</v>
      </c>
      <c r="K28" cm="1">
        <f t="array" aca="1" ref="K28" ca="1">_xlfn.IFS(EmployeeData[[#This Row],[Status]]="Active",_xlfn.DAYS(TODAY(),EmployeeData[[#This Row],[Join Date]]),EmployeeData[[#This Row],[Status]]="Exited",_xlfn.DAYS(EmployeeData[[#This Row],[Exit Date]],EmployeeData[[#This Row],[Join Date]]))</f>
        <v>610</v>
      </c>
      <c r="L28" cm="1">
        <f t="array" aca="1" ref="L28" ca="1">_xlfn.IFS(EmployeeData[[#This Row],[Status]]="Exited",DATEDIF(EmployeeData[[#This Row],[Join Date]], EmployeeData[[#This Row],[Exit Date]], "Y"),EmployeeData[[#This Row],[Status]]="Active",DATEDIF(EmployeeData[[#This Row],[Join Date]], TODAY(), "Y"))</f>
        <v>1</v>
      </c>
      <c r="Q28" t="str" cm="1">
        <f t="array" aca="1" ref="Q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9" spans="1:17" hidden="1" x14ac:dyDescent="0.3">
      <c r="A29">
        <v>1028</v>
      </c>
      <c r="B29" t="s">
        <v>226</v>
      </c>
      <c r="C29" t="s">
        <v>10</v>
      </c>
      <c r="D29" t="s">
        <v>11</v>
      </c>
      <c r="E29">
        <v>57</v>
      </c>
      <c r="F29" t="str" cm="1">
        <f t="array" ref="F29">_xlfn.IFS(EmployeeData[[#This Row],[Age]]&lt;30,"20s",EmployeeData[[#This Row],[Age]]&lt;40,"30s",EmployeeData[[#This Row],[Age]]&lt;50,"40s",EmployeeData[[#This Row],[Age]]&lt;60,"50s",EmployeeData[[#This Row],[Age]]&gt;=60,"60s")</f>
        <v>50s</v>
      </c>
      <c r="G29" s="5">
        <v>44109</v>
      </c>
      <c r="I29" t="s">
        <v>17</v>
      </c>
      <c r="J29" t="s">
        <v>18</v>
      </c>
      <c r="K29" cm="1">
        <f t="array" aca="1" ref="K29" ca="1">_xlfn.IFS(EmployeeData[[#This Row],[Status]]="Active",_xlfn.DAYS(TODAY(),EmployeeData[[#This Row],[Join Date]]),EmployeeData[[#This Row],[Status]]="Exited",_xlfn.DAYS(EmployeeData[[#This Row],[Exit Date]],EmployeeData[[#This Row],[Join Date]]))</f>
        <v>2088</v>
      </c>
      <c r="L29" cm="1">
        <f t="array" aca="1" ref="L29" ca="1">_xlfn.IFS(EmployeeData[[#This Row],[Status]]="Exited",DATEDIF(EmployeeData[[#This Row],[Join Date]], EmployeeData[[#This Row],[Exit Date]], "Y"),EmployeeData[[#This Row],[Status]]="Active",DATEDIF(EmployeeData[[#This Row],[Join Date]], TODAY(), "Y"))</f>
        <v>5</v>
      </c>
      <c r="Q29" t="str" cm="1">
        <f t="array" aca="1" ref="Q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19 days</v>
      </c>
    </row>
    <row r="30" spans="1:17" hidden="1" x14ac:dyDescent="0.3">
      <c r="A30">
        <v>1029</v>
      </c>
      <c r="B30" t="s">
        <v>362</v>
      </c>
      <c r="C30" t="s">
        <v>46</v>
      </c>
      <c r="D30" t="s">
        <v>16</v>
      </c>
      <c r="E30">
        <v>41</v>
      </c>
      <c r="F30" t="str" cm="1">
        <f t="array" ref="F30">_xlfn.IFS(EmployeeData[[#This Row],[Age]]&lt;30,"20s",EmployeeData[[#This Row],[Age]]&lt;40,"30s",EmployeeData[[#This Row],[Age]]&lt;50,"40s",EmployeeData[[#This Row],[Age]]&lt;60,"50s",EmployeeData[[#This Row],[Age]]&gt;=60,"60s")</f>
        <v>40s</v>
      </c>
      <c r="G30" s="5">
        <v>44078</v>
      </c>
      <c r="H30" s="5">
        <v>44436</v>
      </c>
      <c r="I30" t="s">
        <v>28</v>
      </c>
      <c r="J30" t="s">
        <v>13</v>
      </c>
      <c r="K30" cm="1">
        <f t="array" aca="1" ref="K30" ca="1">_xlfn.IFS(EmployeeData[[#This Row],[Status]]="Active",_xlfn.DAYS(TODAY(),EmployeeData[[#This Row],[Join Date]]),EmployeeData[[#This Row],[Status]]="Exited",_xlfn.DAYS(EmployeeData[[#This Row],[Exit Date]],EmployeeData[[#This Row],[Join Date]]))</f>
        <v>358</v>
      </c>
      <c r="L30" cm="1">
        <f t="array" aca="1" ref="L30" ca="1">_xlfn.IFS(EmployeeData[[#This Row],[Status]]="Exited",DATEDIF(EmployeeData[[#This Row],[Join Date]], EmployeeData[[#This Row],[Exit Date]], "Y"),EmployeeData[[#This Row],[Status]]="Active",DATEDIF(EmployeeData[[#This Row],[Join Date]], TODAY(), "Y"))</f>
        <v>0</v>
      </c>
      <c r="Q30" t="str" cm="1">
        <f t="array" aca="1" ref="Q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31" spans="1:17" hidden="1" x14ac:dyDescent="0.3">
      <c r="A31">
        <v>1030</v>
      </c>
      <c r="B31" t="s">
        <v>1050</v>
      </c>
      <c r="C31" t="s">
        <v>15</v>
      </c>
      <c r="D31" t="s">
        <v>24</v>
      </c>
      <c r="E31">
        <v>57</v>
      </c>
      <c r="F31" t="str" cm="1">
        <f t="array" ref="F31">_xlfn.IFS(EmployeeData[[#This Row],[Age]]&lt;30,"20s",EmployeeData[[#This Row],[Age]]&lt;40,"30s",EmployeeData[[#This Row],[Age]]&lt;50,"40s",EmployeeData[[#This Row],[Age]]&lt;60,"50s",EmployeeData[[#This Row],[Age]]&gt;=60,"60s")</f>
        <v>50s</v>
      </c>
      <c r="G31" s="5">
        <v>43510</v>
      </c>
      <c r="H31" s="5">
        <v>44473</v>
      </c>
      <c r="I31" t="s">
        <v>65</v>
      </c>
      <c r="J31" t="s">
        <v>13</v>
      </c>
      <c r="K31" cm="1">
        <f t="array" aca="1" ref="K31" ca="1">_xlfn.IFS(EmployeeData[[#This Row],[Status]]="Active",_xlfn.DAYS(TODAY(),EmployeeData[[#This Row],[Join Date]]),EmployeeData[[#This Row],[Status]]="Exited",_xlfn.DAYS(EmployeeData[[#This Row],[Exit Date]],EmployeeData[[#This Row],[Join Date]]))</f>
        <v>963</v>
      </c>
      <c r="L31" cm="1">
        <f t="array" aca="1" ref="L31" ca="1">_xlfn.IFS(EmployeeData[[#This Row],[Status]]="Exited",DATEDIF(EmployeeData[[#This Row],[Join Date]], EmployeeData[[#This Row],[Exit Date]], "Y"),EmployeeData[[#This Row],[Status]]="Active",DATEDIF(EmployeeData[[#This Row],[Join Date]], TODAY(), "Y"))</f>
        <v>2</v>
      </c>
      <c r="Q31" t="str" cm="1">
        <f t="array" aca="1" ref="Q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32" spans="1:17" hidden="1" x14ac:dyDescent="0.3">
      <c r="A32">
        <v>1031</v>
      </c>
      <c r="B32" t="s">
        <v>104</v>
      </c>
      <c r="C32" t="s">
        <v>33</v>
      </c>
      <c r="D32" t="s">
        <v>24</v>
      </c>
      <c r="E32">
        <v>31</v>
      </c>
      <c r="F32" t="str" cm="1">
        <f t="array" ref="F32">_xlfn.IFS(EmployeeData[[#This Row],[Age]]&lt;30,"20s",EmployeeData[[#This Row],[Age]]&lt;40,"30s",EmployeeData[[#This Row],[Age]]&lt;50,"40s",EmployeeData[[#This Row],[Age]]&lt;60,"50s",EmployeeData[[#This Row],[Age]]&gt;=60,"60s")</f>
        <v>30s</v>
      </c>
      <c r="G32" s="5">
        <v>44895</v>
      </c>
      <c r="I32" t="s">
        <v>17</v>
      </c>
      <c r="J32" t="s">
        <v>18</v>
      </c>
      <c r="K32" cm="1">
        <f t="array" aca="1" ref="K32" ca="1">_xlfn.IFS(EmployeeData[[#This Row],[Status]]="Active",_xlfn.DAYS(TODAY(),EmployeeData[[#This Row],[Join Date]]),EmployeeData[[#This Row],[Status]]="Exited",_xlfn.DAYS(EmployeeData[[#This Row],[Exit Date]],EmployeeData[[#This Row],[Join Date]]))</f>
        <v>1302</v>
      </c>
      <c r="L32" cm="1">
        <f t="array" aca="1" ref="L32" ca="1">_xlfn.IFS(EmployeeData[[#This Row],[Status]]="Exited",DATEDIF(EmployeeData[[#This Row],[Join Date]], EmployeeData[[#This Row],[Exit Date]], "Y"),EmployeeData[[#This Row],[Status]]="Active",DATEDIF(EmployeeData[[#This Row],[Join Date]], TODAY(), "Y"))</f>
        <v>3</v>
      </c>
      <c r="Q32" t="str" cm="1">
        <f t="array" aca="1" ref="Q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25 days</v>
      </c>
    </row>
    <row r="33" spans="1:17" hidden="1" x14ac:dyDescent="0.3">
      <c r="A33">
        <v>1032</v>
      </c>
      <c r="B33" t="s">
        <v>974</v>
      </c>
      <c r="C33" t="s">
        <v>33</v>
      </c>
      <c r="D33" t="s">
        <v>24</v>
      </c>
      <c r="E33">
        <v>56</v>
      </c>
      <c r="F33" t="str" cm="1">
        <f t="array" ref="F33">_xlfn.IFS(EmployeeData[[#This Row],[Age]]&lt;30,"20s",EmployeeData[[#This Row],[Age]]&lt;40,"30s",EmployeeData[[#This Row],[Age]]&lt;50,"40s",EmployeeData[[#This Row],[Age]]&lt;60,"50s",EmployeeData[[#This Row],[Age]]&gt;=60,"60s")</f>
        <v>50s</v>
      </c>
      <c r="G33" s="5">
        <v>44327</v>
      </c>
      <c r="I33" t="s">
        <v>17</v>
      </c>
      <c r="J33" t="s">
        <v>18</v>
      </c>
      <c r="K33" cm="1">
        <f t="array" aca="1" ref="K33" ca="1">_xlfn.IFS(EmployeeData[[#This Row],[Status]]="Active",_xlfn.DAYS(TODAY(),EmployeeData[[#This Row],[Join Date]]),EmployeeData[[#This Row],[Status]]="Exited",_xlfn.DAYS(EmployeeData[[#This Row],[Exit Date]],EmployeeData[[#This Row],[Join Date]]))</f>
        <v>1870</v>
      </c>
      <c r="L33" cm="1">
        <f t="array" aca="1" ref="L33" ca="1">_xlfn.IFS(EmployeeData[[#This Row],[Status]]="Exited",DATEDIF(EmployeeData[[#This Row],[Join Date]], EmployeeData[[#This Row],[Exit Date]], "Y"),EmployeeData[[#This Row],[Status]]="Active",DATEDIF(EmployeeData[[#This Row],[Join Date]], TODAY(), "Y"))</f>
        <v>5</v>
      </c>
      <c r="Q33" t="str" cm="1">
        <f t="array" aca="1" ref="Q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13 days</v>
      </c>
    </row>
    <row r="34" spans="1:17" hidden="1" x14ac:dyDescent="0.3">
      <c r="A34">
        <v>1033</v>
      </c>
      <c r="B34" t="s">
        <v>305</v>
      </c>
      <c r="C34" t="s">
        <v>20</v>
      </c>
      <c r="D34" t="s">
        <v>16</v>
      </c>
      <c r="E34">
        <v>39</v>
      </c>
      <c r="F34" t="str" cm="1">
        <f t="array" ref="F34">_xlfn.IFS(EmployeeData[[#This Row],[Age]]&lt;30,"20s",EmployeeData[[#This Row],[Age]]&lt;40,"30s",EmployeeData[[#This Row],[Age]]&lt;50,"40s",EmployeeData[[#This Row],[Age]]&lt;60,"50s",EmployeeData[[#This Row],[Age]]&gt;=60,"60s")</f>
        <v>30s</v>
      </c>
      <c r="G34" s="5">
        <v>45578</v>
      </c>
      <c r="H34" s="5">
        <v>46019</v>
      </c>
      <c r="I34" t="s">
        <v>31</v>
      </c>
      <c r="J34" t="s">
        <v>13</v>
      </c>
      <c r="K34" cm="1">
        <f t="array" aca="1" ref="K34" ca="1">_xlfn.IFS(EmployeeData[[#This Row],[Status]]="Active",_xlfn.DAYS(TODAY(),EmployeeData[[#This Row],[Join Date]]),EmployeeData[[#This Row],[Status]]="Exited",_xlfn.DAYS(EmployeeData[[#This Row],[Exit Date]],EmployeeData[[#This Row],[Join Date]]))</f>
        <v>441</v>
      </c>
      <c r="L34" cm="1">
        <f t="array" aca="1" ref="L34" ca="1">_xlfn.IFS(EmployeeData[[#This Row],[Status]]="Exited",DATEDIF(EmployeeData[[#This Row],[Join Date]], EmployeeData[[#This Row],[Exit Date]], "Y"),EmployeeData[[#This Row],[Status]]="Active",DATEDIF(EmployeeData[[#This Row],[Join Date]], TODAY(), "Y"))</f>
        <v>1</v>
      </c>
      <c r="Q34" t="str" cm="1">
        <f t="array" aca="1" ref="Q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15 days</v>
      </c>
    </row>
    <row r="35" spans="1:17" x14ac:dyDescent="0.3">
      <c r="A35">
        <v>1034</v>
      </c>
      <c r="B35" t="s">
        <v>492</v>
      </c>
      <c r="C35" t="s">
        <v>15</v>
      </c>
      <c r="D35" t="s">
        <v>24</v>
      </c>
      <c r="E35">
        <v>38</v>
      </c>
      <c r="F35" t="str" cm="1">
        <f t="array" ref="F35">_xlfn.IFS(EmployeeData[[#This Row],[Age]]&lt;30,"20s",EmployeeData[[#This Row],[Age]]&lt;40,"30s",EmployeeData[[#This Row],[Age]]&lt;50,"40s",EmployeeData[[#This Row],[Age]]&lt;60,"50s",EmployeeData[[#This Row],[Age]]&gt;=60,"60s")</f>
        <v>30s</v>
      </c>
      <c r="G35" s="5">
        <v>43281</v>
      </c>
      <c r="H35" s="5">
        <v>43906</v>
      </c>
      <c r="I35" t="s">
        <v>28</v>
      </c>
      <c r="J35" t="s">
        <v>13</v>
      </c>
      <c r="K35" cm="1">
        <f t="array" aca="1" ref="K35" ca="1">_xlfn.IFS(EmployeeData[[#This Row],[Status]]="Active",_xlfn.DAYS(TODAY(),EmployeeData[[#This Row],[Join Date]]),EmployeeData[[#This Row],[Status]]="Exited",_xlfn.DAYS(EmployeeData[[#This Row],[Exit Date]],EmployeeData[[#This Row],[Join Date]]))</f>
        <v>625</v>
      </c>
      <c r="L35" cm="1">
        <f t="array" aca="1" ref="L35" ca="1">_xlfn.IFS(EmployeeData[[#This Row],[Status]]="Exited",DATEDIF(EmployeeData[[#This Row],[Join Date]], EmployeeData[[#This Row],[Exit Date]], "Y"),EmployeeData[[#This Row],[Status]]="Active",DATEDIF(EmployeeData[[#This Row],[Join Date]], TODAY(), "Y"))</f>
        <v>1</v>
      </c>
      <c r="Q35" t="str" cm="1">
        <f t="array" aca="1" ref="Q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15 days</v>
      </c>
    </row>
    <row r="36" spans="1:17" hidden="1" x14ac:dyDescent="0.3">
      <c r="A36">
        <v>1035</v>
      </c>
      <c r="B36" t="s">
        <v>661</v>
      </c>
      <c r="C36" t="s">
        <v>23</v>
      </c>
      <c r="D36" t="s">
        <v>24</v>
      </c>
      <c r="E36">
        <v>21</v>
      </c>
      <c r="F36" t="str" cm="1">
        <f t="array" ref="F36">_xlfn.IFS(EmployeeData[[#This Row],[Age]]&lt;30,"20s",EmployeeData[[#This Row],[Age]]&lt;40,"30s",EmployeeData[[#This Row],[Age]]&lt;50,"40s",EmployeeData[[#This Row],[Age]]&lt;60,"50s",EmployeeData[[#This Row],[Age]]&gt;=60,"60s")</f>
        <v>20s</v>
      </c>
      <c r="G36" s="5">
        <v>43559</v>
      </c>
      <c r="H36" s="5">
        <v>44259</v>
      </c>
      <c r="I36" t="s">
        <v>65</v>
      </c>
      <c r="J36" t="s">
        <v>13</v>
      </c>
      <c r="K36" cm="1">
        <f t="array" aca="1" ref="K36" ca="1">_xlfn.IFS(EmployeeData[[#This Row],[Status]]="Active",_xlfn.DAYS(TODAY(),EmployeeData[[#This Row],[Join Date]]),EmployeeData[[#This Row],[Status]]="Exited",_xlfn.DAYS(EmployeeData[[#This Row],[Exit Date]],EmployeeData[[#This Row],[Join Date]]))</f>
        <v>700</v>
      </c>
      <c r="L36" cm="1">
        <f t="array" aca="1" ref="L36" ca="1">_xlfn.IFS(EmployeeData[[#This Row],[Status]]="Exited",DATEDIF(EmployeeData[[#This Row],[Join Date]], EmployeeData[[#This Row],[Exit Date]], "Y"),EmployeeData[[#This Row],[Status]]="Active",DATEDIF(EmployeeData[[#This Row],[Join Date]], TODAY(), "Y"))</f>
        <v>1</v>
      </c>
      <c r="Q36" t="str" cm="1">
        <f t="array" aca="1" ref="Q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37" spans="1:17" hidden="1" x14ac:dyDescent="0.3">
      <c r="A37">
        <v>1036</v>
      </c>
      <c r="B37" t="s">
        <v>692</v>
      </c>
      <c r="C37" t="s">
        <v>15</v>
      </c>
      <c r="D37" t="s">
        <v>16</v>
      </c>
      <c r="E37">
        <v>23</v>
      </c>
      <c r="F37" t="str" cm="1">
        <f t="array" ref="F37">_xlfn.IFS(EmployeeData[[#This Row],[Age]]&lt;30,"20s",EmployeeData[[#This Row],[Age]]&lt;40,"30s",EmployeeData[[#This Row],[Age]]&lt;50,"40s",EmployeeData[[#This Row],[Age]]&lt;60,"50s",EmployeeData[[#This Row],[Age]]&gt;=60,"60s")</f>
        <v>20s</v>
      </c>
      <c r="G37" s="5">
        <v>44566</v>
      </c>
      <c r="H37" s="5">
        <v>45167</v>
      </c>
      <c r="I37" t="s">
        <v>28</v>
      </c>
      <c r="J37" t="s">
        <v>13</v>
      </c>
      <c r="K37" cm="1">
        <f t="array" aca="1" ref="K37" ca="1">_xlfn.IFS(EmployeeData[[#This Row],[Status]]="Active",_xlfn.DAYS(TODAY(),EmployeeData[[#This Row],[Join Date]]),EmployeeData[[#This Row],[Status]]="Exited",_xlfn.DAYS(EmployeeData[[#This Row],[Exit Date]],EmployeeData[[#This Row],[Join Date]]))</f>
        <v>601</v>
      </c>
      <c r="L37" cm="1">
        <f t="array" aca="1" ref="L37" ca="1">_xlfn.IFS(EmployeeData[[#This Row],[Status]]="Exited",DATEDIF(EmployeeData[[#This Row],[Join Date]], EmployeeData[[#This Row],[Exit Date]], "Y"),EmployeeData[[#This Row],[Status]]="Active",DATEDIF(EmployeeData[[#This Row],[Join Date]], TODAY(), "Y"))</f>
        <v>1</v>
      </c>
      <c r="Q37" t="str" cm="1">
        <f t="array" aca="1" ref="Q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38" spans="1:17" hidden="1" x14ac:dyDescent="0.3">
      <c r="A38">
        <v>1037</v>
      </c>
      <c r="B38" t="s">
        <v>584</v>
      </c>
      <c r="C38" t="s">
        <v>10</v>
      </c>
      <c r="D38" t="s">
        <v>24</v>
      </c>
      <c r="E38">
        <v>30</v>
      </c>
      <c r="F38" t="str" cm="1">
        <f t="array" ref="F38">_xlfn.IFS(EmployeeData[[#This Row],[Age]]&lt;30,"20s",EmployeeData[[#This Row],[Age]]&lt;40,"30s",EmployeeData[[#This Row],[Age]]&lt;50,"40s",EmployeeData[[#This Row],[Age]]&lt;60,"50s",EmployeeData[[#This Row],[Age]]&gt;=60,"60s")</f>
        <v>30s</v>
      </c>
      <c r="G38" s="5">
        <v>44070</v>
      </c>
      <c r="I38" t="s">
        <v>17</v>
      </c>
      <c r="J38" t="s">
        <v>18</v>
      </c>
      <c r="K38" cm="1">
        <f t="array" aca="1" ref="K38" ca="1">_xlfn.IFS(EmployeeData[[#This Row],[Status]]="Active",_xlfn.DAYS(TODAY(),EmployeeData[[#This Row],[Join Date]]),EmployeeData[[#This Row],[Status]]="Exited",_xlfn.DAYS(EmployeeData[[#This Row],[Exit Date]],EmployeeData[[#This Row],[Join Date]]))</f>
        <v>2127</v>
      </c>
      <c r="L38" cm="1">
        <f t="array" aca="1" ref="L38" ca="1">_xlfn.IFS(EmployeeData[[#This Row],[Status]]="Exited",DATEDIF(EmployeeData[[#This Row],[Join Date]], EmployeeData[[#This Row],[Exit Date]], "Y"),EmployeeData[[#This Row],[Status]]="Active",DATEDIF(EmployeeData[[#This Row],[Join Date]], TODAY(), "Y"))</f>
        <v>5</v>
      </c>
      <c r="Q38" t="str" cm="1">
        <f t="array" aca="1" ref="Q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28 days</v>
      </c>
    </row>
    <row r="39" spans="1:17" hidden="1" x14ac:dyDescent="0.3">
      <c r="A39">
        <v>1038</v>
      </c>
      <c r="B39" t="s">
        <v>488</v>
      </c>
      <c r="C39" t="s">
        <v>33</v>
      </c>
      <c r="D39" t="s">
        <v>24</v>
      </c>
      <c r="E39">
        <v>36</v>
      </c>
      <c r="F39" t="str" cm="1">
        <f t="array" ref="F39">_xlfn.IFS(EmployeeData[[#This Row],[Age]]&lt;30,"20s",EmployeeData[[#This Row],[Age]]&lt;40,"30s",EmployeeData[[#This Row],[Age]]&lt;50,"40s",EmployeeData[[#This Row],[Age]]&lt;60,"50s",EmployeeData[[#This Row],[Age]]&gt;=60,"60s")</f>
        <v>30s</v>
      </c>
      <c r="G39" s="5">
        <v>44193</v>
      </c>
      <c r="H39" s="5">
        <v>45719</v>
      </c>
      <c r="I39" t="s">
        <v>31</v>
      </c>
      <c r="J39" t="s">
        <v>13</v>
      </c>
      <c r="K39" cm="1">
        <f t="array" aca="1" ref="K39" ca="1">_xlfn.IFS(EmployeeData[[#This Row],[Status]]="Active",_xlfn.DAYS(TODAY(),EmployeeData[[#This Row],[Join Date]]),EmployeeData[[#This Row],[Status]]="Exited",_xlfn.DAYS(EmployeeData[[#This Row],[Exit Date]],EmployeeData[[#This Row],[Join Date]]))</f>
        <v>1526</v>
      </c>
      <c r="L39" cm="1">
        <f t="array" aca="1" ref="L39" ca="1">_xlfn.IFS(EmployeeData[[#This Row],[Status]]="Exited",DATEDIF(EmployeeData[[#This Row],[Join Date]], EmployeeData[[#This Row],[Exit Date]], "Y"),EmployeeData[[#This Row],[Status]]="Active",DATEDIF(EmployeeData[[#This Row],[Join Date]], TODAY(), "Y"))</f>
        <v>4</v>
      </c>
      <c r="Q39" t="str" cm="1">
        <f t="array" aca="1" ref="Q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40" spans="1:17" hidden="1" x14ac:dyDescent="0.3">
      <c r="A40">
        <v>1039</v>
      </c>
      <c r="B40" t="s">
        <v>576</v>
      </c>
      <c r="C40" t="s">
        <v>10</v>
      </c>
      <c r="D40" t="s">
        <v>11</v>
      </c>
      <c r="E40">
        <v>35</v>
      </c>
      <c r="F40" t="str" cm="1">
        <f t="array" ref="F40">_xlfn.IFS(EmployeeData[[#This Row],[Age]]&lt;30,"20s",EmployeeData[[#This Row],[Age]]&lt;40,"30s",EmployeeData[[#This Row],[Age]]&lt;50,"40s",EmployeeData[[#This Row],[Age]]&lt;60,"50s",EmployeeData[[#This Row],[Age]]&gt;=60,"60s")</f>
        <v>30s</v>
      </c>
      <c r="G40" s="5">
        <v>44014</v>
      </c>
      <c r="H40" s="5">
        <v>44895</v>
      </c>
      <c r="I40" t="s">
        <v>12</v>
      </c>
      <c r="J40" t="s">
        <v>13</v>
      </c>
      <c r="K40" cm="1">
        <f t="array" aca="1" ref="K40" ca="1">_xlfn.IFS(EmployeeData[[#This Row],[Status]]="Active",_xlfn.DAYS(TODAY(),EmployeeData[[#This Row],[Join Date]]),EmployeeData[[#This Row],[Status]]="Exited",_xlfn.DAYS(EmployeeData[[#This Row],[Exit Date]],EmployeeData[[#This Row],[Join Date]]))</f>
        <v>881</v>
      </c>
      <c r="L40" cm="1">
        <f t="array" aca="1" ref="L40" ca="1">_xlfn.IFS(EmployeeData[[#This Row],[Status]]="Exited",DATEDIF(EmployeeData[[#This Row],[Join Date]], EmployeeData[[#This Row],[Exit Date]], "Y"),EmployeeData[[#This Row],[Status]]="Active",DATEDIF(EmployeeData[[#This Row],[Join Date]], TODAY(), "Y"))</f>
        <v>2</v>
      </c>
      <c r="Q40" t="str" cm="1">
        <f t="array" aca="1" ref="Q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41" spans="1:17" hidden="1" x14ac:dyDescent="0.3">
      <c r="A41">
        <v>1040</v>
      </c>
      <c r="B41" t="s">
        <v>999</v>
      </c>
      <c r="C41" t="s">
        <v>10</v>
      </c>
      <c r="D41" t="s">
        <v>24</v>
      </c>
      <c r="E41">
        <v>46</v>
      </c>
      <c r="F41" t="str" cm="1">
        <f t="array" ref="F41">_xlfn.IFS(EmployeeData[[#This Row],[Age]]&lt;30,"20s",EmployeeData[[#This Row],[Age]]&lt;40,"30s",EmployeeData[[#This Row],[Age]]&lt;50,"40s",EmployeeData[[#This Row],[Age]]&lt;60,"50s",EmployeeData[[#This Row],[Age]]&gt;=60,"60s")</f>
        <v>40s</v>
      </c>
      <c r="G41" s="5">
        <v>45884</v>
      </c>
      <c r="I41" t="s">
        <v>17</v>
      </c>
      <c r="J41" t="s">
        <v>18</v>
      </c>
      <c r="K41" cm="1">
        <f t="array" aca="1" ref="K41" ca="1">_xlfn.IFS(EmployeeData[[#This Row],[Status]]="Active",_xlfn.DAYS(TODAY(),EmployeeData[[#This Row],[Join Date]]),EmployeeData[[#This Row],[Status]]="Exited",_xlfn.DAYS(EmployeeData[[#This Row],[Exit Date]],EmployeeData[[#This Row],[Join Date]]))</f>
        <v>313</v>
      </c>
      <c r="L41" cm="1">
        <f t="array" aca="1" ref="L41" ca="1">_xlfn.IFS(EmployeeData[[#This Row],[Status]]="Exited",DATEDIF(EmployeeData[[#This Row],[Join Date]], EmployeeData[[#This Row],[Exit Date]], "Y"),EmployeeData[[#This Row],[Status]]="Active",DATEDIF(EmployeeData[[#This Row],[Join Date]], TODAY(), "Y"))</f>
        <v>0</v>
      </c>
      <c r="Q41" t="str" cm="1">
        <f t="array" aca="1" ref="Q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42" spans="1:17" hidden="1" x14ac:dyDescent="0.3">
      <c r="A42">
        <v>1041</v>
      </c>
      <c r="B42" t="s">
        <v>299</v>
      </c>
      <c r="C42" t="s">
        <v>15</v>
      </c>
      <c r="D42" t="s">
        <v>11</v>
      </c>
      <c r="E42">
        <v>32</v>
      </c>
      <c r="F42" t="str" cm="1">
        <f t="array" ref="F42">_xlfn.IFS(EmployeeData[[#This Row],[Age]]&lt;30,"20s",EmployeeData[[#This Row],[Age]]&lt;40,"30s",EmployeeData[[#This Row],[Age]]&lt;50,"40s",EmployeeData[[#This Row],[Age]]&lt;60,"50s",EmployeeData[[#This Row],[Age]]&gt;=60,"60s")</f>
        <v>30s</v>
      </c>
      <c r="G42" s="5">
        <v>45479</v>
      </c>
      <c r="I42" t="s">
        <v>17</v>
      </c>
      <c r="J42" t="s">
        <v>18</v>
      </c>
      <c r="K42" cm="1">
        <f t="array" aca="1" ref="K42" ca="1">_xlfn.IFS(EmployeeData[[#This Row],[Status]]="Active",_xlfn.DAYS(TODAY(),EmployeeData[[#This Row],[Join Date]]),EmployeeData[[#This Row],[Status]]="Exited",_xlfn.DAYS(EmployeeData[[#This Row],[Exit Date]],EmployeeData[[#This Row],[Join Date]]))</f>
        <v>718</v>
      </c>
      <c r="L42" cm="1">
        <f t="array" aca="1" ref="L42" ca="1">_xlfn.IFS(EmployeeData[[#This Row],[Status]]="Exited",DATEDIF(EmployeeData[[#This Row],[Join Date]], EmployeeData[[#This Row],[Exit Date]], "Y"),EmployeeData[[#This Row],[Status]]="Active",DATEDIF(EmployeeData[[#This Row],[Join Date]], TODAY(), "Y"))</f>
        <v>1</v>
      </c>
      <c r="Q42" t="str" cm="1">
        <f t="array" aca="1" ref="Q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18 days</v>
      </c>
    </row>
    <row r="43" spans="1:17" hidden="1" x14ac:dyDescent="0.3">
      <c r="A43">
        <v>1042</v>
      </c>
      <c r="B43" t="s">
        <v>1043</v>
      </c>
      <c r="C43" t="s">
        <v>10</v>
      </c>
      <c r="D43" t="s">
        <v>11</v>
      </c>
      <c r="E43">
        <v>48</v>
      </c>
      <c r="F43" t="str" cm="1">
        <f t="array" ref="F43">_xlfn.IFS(EmployeeData[[#This Row],[Age]]&lt;30,"20s",EmployeeData[[#This Row],[Age]]&lt;40,"30s",EmployeeData[[#This Row],[Age]]&lt;50,"40s",EmployeeData[[#This Row],[Age]]&lt;60,"50s",EmployeeData[[#This Row],[Age]]&gt;=60,"60s")</f>
        <v>40s</v>
      </c>
      <c r="G43" s="5">
        <v>45584</v>
      </c>
      <c r="I43" t="s">
        <v>17</v>
      </c>
      <c r="J43" t="s">
        <v>18</v>
      </c>
      <c r="K43" cm="1">
        <f t="array" aca="1" ref="K43" ca="1">_xlfn.IFS(EmployeeData[[#This Row],[Status]]="Active",_xlfn.DAYS(TODAY(),EmployeeData[[#This Row],[Join Date]]),EmployeeData[[#This Row],[Status]]="Exited",_xlfn.DAYS(EmployeeData[[#This Row],[Exit Date]],EmployeeData[[#This Row],[Join Date]]))</f>
        <v>613</v>
      </c>
      <c r="L43" cm="1">
        <f t="array" aca="1" ref="L43" ca="1">_xlfn.IFS(EmployeeData[[#This Row],[Status]]="Exited",DATEDIF(EmployeeData[[#This Row],[Join Date]], EmployeeData[[#This Row],[Exit Date]], "Y"),EmployeeData[[#This Row],[Status]]="Active",DATEDIF(EmployeeData[[#This Row],[Join Date]], TODAY(), "Y"))</f>
        <v>1</v>
      </c>
      <c r="Q43" t="str" cm="1">
        <f t="array" aca="1" ref="Q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5 days</v>
      </c>
    </row>
    <row r="44" spans="1:17" x14ac:dyDescent="0.3">
      <c r="A44">
        <v>1043</v>
      </c>
      <c r="B44" t="s">
        <v>102</v>
      </c>
      <c r="C44" t="s">
        <v>15</v>
      </c>
      <c r="D44" t="s">
        <v>16</v>
      </c>
      <c r="E44">
        <v>48</v>
      </c>
      <c r="F44" t="str" cm="1">
        <f t="array" ref="F44">_xlfn.IFS(EmployeeData[[#This Row],[Age]]&lt;30,"20s",EmployeeData[[#This Row],[Age]]&lt;40,"30s",EmployeeData[[#This Row],[Age]]&lt;50,"40s",EmployeeData[[#This Row],[Age]]&lt;60,"50s",EmployeeData[[#This Row],[Age]]&gt;=60,"60s")</f>
        <v>40s</v>
      </c>
      <c r="G44" s="5">
        <v>43107</v>
      </c>
      <c r="I44" t="s">
        <v>17</v>
      </c>
      <c r="J44" t="s">
        <v>18</v>
      </c>
      <c r="K44" cm="1">
        <f t="array" aca="1" ref="K44" ca="1">_xlfn.IFS(EmployeeData[[#This Row],[Status]]="Active",_xlfn.DAYS(TODAY(),EmployeeData[[#This Row],[Join Date]]),EmployeeData[[#This Row],[Status]]="Exited",_xlfn.DAYS(EmployeeData[[#This Row],[Exit Date]],EmployeeData[[#This Row],[Join Date]]))</f>
        <v>3090</v>
      </c>
      <c r="L44" cm="1">
        <f t="array" aca="1" ref="L44" ca="1">_xlfn.IFS(EmployeeData[[#This Row],[Status]]="Exited",DATEDIF(EmployeeData[[#This Row],[Join Date]], EmployeeData[[#This Row],[Exit Date]], "Y"),EmployeeData[[#This Row],[Status]]="Active",DATEDIF(EmployeeData[[#This Row],[Join Date]], TODAY(), "Y"))</f>
        <v>8</v>
      </c>
      <c r="Q44" t="str" cm="1">
        <f t="array" aca="1" ref="Q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17 days</v>
      </c>
    </row>
    <row r="45" spans="1:17" hidden="1" x14ac:dyDescent="0.3">
      <c r="A45">
        <v>1044</v>
      </c>
      <c r="B45" t="s">
        <v>697</v>
      </c>
      <c r="C45" t="s">
        <v>20</v>
      </c>
      <c r="D45" t="s">
        <v>24</v>
      </c>
      <c r="E45">
        <v>44</v>
      </c>
      <c r="F45" t="str" cm="1">
        <f t="array" ref="F45">_xlfn.IFS(EmployeeData[[#This Row],[Age]]&lt;30,"20s",EmployeeData[[#This Row],[Age]]&lt;40,"30s",EmployeeData[[#This Row],[Age]]&lt;50,"40s",EmployeeData[[#This Row],[Age]]&lt;60,"50s",EmployeeData[[#This Row],[Age]]&gt;=60,"60s")</f>
        <v>40s</v>
      </c>
      <c r="G45" s="5">
        <v>44867</v>
      </c>
      <c r="H45" s="5">
        <v>45633</v>
      </c>
      <c r="I45" t="s">
        <v>28</v>
      </c>
      <c r="J45" t="s">
        <v>13</v>
      </c>
      <c r="K45" cm="1">
        <f t="array" aca="1" ref="K45" ca="1">_xlfn.IFS(EmployeeData[[#This Row],[Status]]="Active",_xlfn.DAYS(TODAY(),EmployeeData[[#This Row],[Join Date]]),EmployeeData[[#This Row],[Status]]="Exited",_xlfn.DAYS(EmployeeData[[#This Row],[Exit Date]],EmployeeData[[#This Row],[Join Date]]))</f>
        <v>766</v>
      </c>
      <c r="L45" cm="1">
        <f t="array" aca="1" ref="L45" ca="1">_xlfn.IFS(EmployeeData[[#This Row],[Status]]="Exited",DATEDIF(EmployeeData[[#This Row],[Join Date]], EmployeeData[[#This Row],[Exit Date]], "Y"),EmployeeData[[#This Row],[Status]]="Active",DATEDIF(EmployeeData[[#This Row],[Join Date]], TODAY(), "Y"))</f>
        <v>2</v>
      </c>
      <c r="Q45" t="str" cm="1">
        <f t="array" aca="1" ref="Q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46" spans="1:17" hidden="1" x14ac:dyDescent="0.3">
      <c r="A46">
        <v>1045</v>
      </c>
      <c r="B46" t="s">
        <v>653</v>
      </c>
      <c r="C46" t="s">
        <v>23</v>
      </c>
      <c r="D46" t="s">
        <v>24</v>
      </c>
      <c r="E46">
        <v>41</v>
      </c>
      <c r="F46" t="str" cm="1">
        <f t="array" ref="F46">_xlfn.IFS(EmployeeData[[#This Row],[Age]]&lt;30,"20s",EmployeeData[[#This Row],[Age]]&lt;40,"30s",EmployeeData[[#This Row],[Age]]&lt;50,"40s",EmployeeData[[#This Row],[Age]]&lt;60,"50s",EmployeeData[[#This Row],[Age]]&gt;=60,"60s")</f>
        <v>40s</v>
      </c>
      <c r="G46" s="5">
        <v>44749</v>
      </c>
      <c r="I46" t="s">
        <v>17</v>
      </c>
      <c r="J46" t="s">
        <v>18</v>
      </c>
      <c r="K46" cm="1">
        <f t="array" aca="1" ref="K46" ca="1">_xlfn.IFS(EmployeeData[[#This Row],[Status]]="Active",_xlfn.DAYS(TODAY(),EmployeeData[[#This Row],[Join Date]]),EmployeeData[[#This Row],[Status]]="Exited",_xlfn.DAYS(EmployeeData[[#This Row],[Exit Date]],EmployeeData[[#This Row],[Join Date]]))</f>
        <v>1448</v>
      </c>
      <c r="L46" cm="1">
        <f t="array" aca="1" ref="L46" ca="1">_xlfn.IFS(EmployeeData[[#This Row],[Status]]="Exited",DATEDIF(EmployeeData[[#This Row],[Join Date]], EmployeeData[[#This Row],[Exit Date]], "Y"),EmployeeData[[#This Row],[Status]]="Active",DATEDIF(EmployeeData[[#This Row],[Join Date]], TODAY(), "Y"))</f>
        <v>3</v>
      </c>
      <c r="Q46" t="str" cm="1">
        <f t="array" aca="1" ref="Q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17 days</v>
      </c>
    </row>
    <row r="47" spans="1:17" hidden="1" x14ac:dyDescent="0.3">
      <c r="A47">
        <v>1046</v>
      </c>
      <c r="B47" t="s">
        <v>1048</v>
      </c>
      <c r="C47" t="s">
        <v>20</v>
      </c>
      <c r="D47" t="s">
        <v>11</v>
      </c>
      <c r="E47">
        <v>57</v>
      </c>
      <c r="F47" t="str" cm="1">
        <f t="array" ref="F47">_xlfn.IFS(EmployeeData[[#This Row],[Age]]&lt;30,"20s",EmployeeData[[#This Row],[Age]]&lt;40,"30s",EmployeeData[[#This Row],[Age]]&lt;50,"40s",EmployeeData[[#This Row],[Age]]&lt;60,"50s",EmployeeData[[#This Row],[Age]]&gt;=60,"60s")</f>
        <v>50s</v>
      </c>
      <c r="G47" s="5">
        <v>44333</v>
      </c>
      <c r="I47" t="s">
        <v>17</v>
      </c>
      <c r="J47" t="s">
        <v>18</v>
      </c>
      <c r="K47" cm="1">
        <f t="array" aca="1" ref="K47" ca="1">_xlfn.IFS(EmployeeData[[#This Row],[Status]]="Active",_xlfn.DAYS(TODAY(),EmployeeData[[#This Row],[Join Date]]),EmployeeData[[#This Row],[Status]]="Exited",_xlfn.DAYS(EmployeeData[[#This Row],[Exit Date]],EmployeeData[[#This Row],[Join Date]]))</f>
        <v>1864</v>
      </c>
      <c r="L47" cm="1">
        <f t="array" aca="1" ref="L47" ca="1">_xlfn.IFS(EmployeeData[[#This Row],[Status]]="Exited",DATEDIF(EmployeeData[[#This Row],[Join Date]], EmployeeData[[#This Row],[Exit Date]], "Y"),EmployeeData[[#This Row],[Status]]="Active",DATEDIF(EmployeeData[[#This Row],[Join Date]], TODAY(), "Y"))</f>
        <v>5</v>
      </c>
      <c r="Q47" t="str" cm="1">
        <f t="array" aca="1" ref="Q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7 days</v>
      </c>
    </row>
    <row r="48" spans="1:17" hidden="1" x14ac:dyDescent="0.3">
      <c r="A48">
        <v>1047</v>
      </c>
      <c r="B48" t="s">
        <v>238</v>
      </c>
      <c r="C48" t="s">
        <v>33</v>
      </c>
      <c r="D48" t="s">
        <v>24</v>
      </c>
      <c r="E48">
        <v>41</v>
      </c>
      <c r="F48" t="str" cm="1">
        <f t="array" ref="F48">_xlfn.IFS(EmployeeData[[#This Row],[Age]]&lt;30,"20s",EmployeeData[[#This Row],[Age]]&lt;40,"30s",EmployeeData[[#This Row],[Age]]&lt;50,"40s",EmployeeData[[#This Row],[Age]]&lt;60,"50s",EmployeeData[[#This Row],[Age]]&gt;=60,"60s")</f>
        <v>40s</v>
      </c>
      <c r="G48" s="5">
        <v>45005</v>
      </c>
      <c r="I48" t="s">
        <v>17</v>
      </c>
      <c r="J48" t="s">
        <v>18</v>
      </c>
      <c r="K48" cm="1">
        <f t="array" aca="1" ref="K48" ca="1">_xlfn.IFS(EmployeeData[[#This Row],[Status]]="Active",_xlfn.DAYS(TODAY(),EmployeeData[[#This Row],[Join Date]]),EmployeeData[[#This Row],[Status]]="Exited",_xlfn.DAYS(EmployeeData[[#This Row],[Exit Date]],EmployeeData[[#This Row],[Join Date]]))</f>
        <v>1192</v>
      </c>
      <c r="L48" cm="1">
        <f t="array" aca="1" ref="L48" ca="1">_xlfn.IFS(EmployeeData[[#This Row],[Status]]="Exited",DATEDIF(EmployeeData[[#This Row],[Join Date]], EmployeeData[[#This Row],[Exit Date]], "Y"),EmployeeData[[#This Row],[Status]]="Active",DATEDIF(EmployeeData[[#This Row],[Join Date]], TODAY(), "Y"))</f>
        <v>3</v>
      </c>
      <c r="Q48" t="str" cm="1">
        <f t="array" aca="1" ref="Q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49" spans="1:17" hidden="1" x14ac:dyDescent="0.3">
      <c r="A49">
        <v>1048</v>
      </c>
      <c r="B49" t="s">
        <v>1083</v>
      </c>
      <c r="C49" t="s">
        <v>20</v>
      </c>
      <c r="D49" t="s">
        <v>16</v>
      </c>
      <c r="E49">
        <v>42</v>
      </c>
      <c r="F49" t="str" cm="1">
        <f t="array" ref="F49">_xlfn.IFS(EmployeeData[[#This Row],[Age]]&lt;30,"20s",EmployeeData[[#This Row],[Age]]&lt;40,"30s",EmployeeData[[#This Row],[Age]]&lt;50,"40s",EmployeeData[[#This Row],[Age]]&lt;60,"50s",EmployeeData[[#This Row],[Age]]&gt;=60,"60s")</f>
        <v>40s</v>
      </c>
      <c r="G49" s="5">
        <v>43483</v>
      </c>
      <c r="I49" t="s">
        <v>17</v>
      </c>
      <c r="J49" t="s">
        <v>18</v>
      </c>
      <c r="K49" cm="1">
        <f t="array" aca="1" ref="K49" ca="1">_xlfn.IFS(EmployeeData[[#This Row],[Status]]="Active",_xlfn.DAYS(TODAY(),EmployeeData[[#This Row],[Join Date]]),EmployeeData[[#This Row],[Status]]="Exited",_xlfn.DAYS(EmployeeData[[#This Row],[Exit Date]],EmployeeData[[#This Row],[Join Date]]))</f>
        <v>2714</v>
      </c>
      <c r="L49" cm="1">
        <f t="array" aca="1" ref="L49" ca="1">_xlfn.IFS(EmployeeData[[#This Row],[Status]]="Exited",DATEDIF(EmployeeData[[#This Row],[Join Date]], EmployeeData[[#This Row],[Exit Date]], "Y"),EmployeeData[[#This Row],[Status]]="Active",DATEDIF(EmployeeData[[#This Row],[Join Date]], TODAY(), "Y"))</f>
        <v>7</v>
      </c>
      <c r="Q49" t="str" cm="1">
        <f t="array" aca="1" ref="Q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50" spans="1:17" hidden="1" x14ac:dyDescent="0.3">
      <c r="A50">
        <v>1049</v>
      </c>
      <c r="B50" t="s">
        <v>187</v>
      </c>
      <c r="C50" t="s">
        <v>15</v>
      </c>
      <c r="D50" t="s">
        <v>16</v>
      </c>
      <c r="E50">
        <v>51</v>
      </c>
      <c r="F50" t="str" cm="1">
        <f t="array" ref="F50">_xlfn.IFS(EmployeeData[[#This Row],[Age]]&lt;30,"20s",EmployeeData[[#This Row],[Age]]&lt;40,"30s",EmployeeData[[#This Row],[Age]]&lt;50,"40s",EmployeeData[[#This Row],[Age]]&lt;60,"50s",EmployeeData[[#This Row],[Age]]&gt;=60,"60s")</f>
        <v>50s</v>
      </c>
      <c r="G50" s="5">
        <v>45604</v>
      </c>
      <c r="I50" t="s">
        <v>17</v>
      </c>
      <c r="J50" t="s">
        <v>18</v>
      </c>
      <c r="K50" cm="1">
        <f t="array" aca="1" ref="K50" ca="1">_xlfn.IFS(EmployeeData[[#This Row],[Status]]="Active",_xlfn.DAYS(TODAY(),EmployeeData[[#This Row],[Join Date]]),EmployeeData[[#This Row],[Status]]="Exited",_xlfn.DAYS(EmployeeData[[#This Row],[Exit Date]],EmployeeData[[#This Row],[Join Date]]))</f>
        <v>593</v>
      </c>
      <c r="L50" cm="1">
        <f t="array" aca="1" ref="L50" ca="1">_xlfn.IFS(EmployeeData[[#This Row],[Status]]="Exited",DATEDIF(EmployeeData[[#This Row],[Join Date]], EmployeeData[[#This Row],[Exit Date]], "Y"),EmployeeData[[#This Row],[Status]]="Active",DATEDIF(EmployeeData[[#This Row],[Join Date]], TODAY(), "Y"))</f>
        <v>1</v>
      </c>
      <c r="Q50" t="str" cm="1">
        <f t="array" aca="1" ref="Q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16 days</v>
      </c>
    </row>
    <row r="51" spans="1:17" hidden="1" x14ac:dyDescent="0.3">
      <c r="A51">
        <v>1050</v>
      </c>
      <c r="B51" t="s">
        <v>480</v>
      </c>
      <c r="C51" t="s">
        <v>20</v>
      </c>
      <c r="D51" t="s">
        <v>24</v>
      </c>
      <c r="E51">
        <v>46</v>
      </c>
      <c r="F51" t="str" cm="1">
        <f t="array" ref="F51">_xlfn.IFS(EmployeeData[[#This Row],[Age]]&lt;30,"20s",EmployeeData[[#This Row],[Age]]&lt;40,"30s",EmployeeData[[#This Row],[Age]]&lt;50,"40s",EmployeeData[[#This Row],[Age]]&lt;60,"50s",EmployeeData[[#This Row],[Age]]&gt;=60,"60s")</f>
        <v>40s</v>
      </c>
      <c r="G51" s="5">
        <v>44100</v>
      </c>
      <c r="H51" s="5">
        <v>45598</v>
      </c>
      <c r="I51" t="s">
        <v>31</v>
      </c>
      <c r="J51" t="s">
        <v>13</v>
      </c>
      <c r="K51" cm="1">
        <f t="array" aca="1" ref="K51" ca="1">_xlfn.IFS(EmployeeData[[#This Row],[Status]]="Active",_xlfn.DAYS(TODAY(),EmployeeData[[#This Row],[Join Date]]),EmployeeData[[#This Row],[Status]]="Exited",_xlfn.DAYS(EmployeeData[[#This Row],[Exit Date]],EmployeeData[[#This Row],[Join Date]]))</f>
        <v>1498</v>
      </c>
      <c r="L51" cm="1">
        <f t="array" aca="1" ref="L51" ca="1">_xlfn.IFS(EmployeeData[[#This Row],[Status]]="Exited",DATEDIF(EmployeeData[[#This Row],[Join Date]], EmployeeData[[#This Row],[Exit Date]], "Y"),EmployeeData[[#This Row],[Status]]="Active",DATEDIF(EmployeeData[[#This Row],[Join Date]], TODAY(), "Y"))</f>
        <v>4</v>
      </c>
      <c r="Q51" t="str" cm="1">
        <f t="array" aca="1" ref="Q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7 days</v>
      </c>
    </row>
    <row r="52" spans="1:17" hidden="1" x14ac:dyDescent="0.3">
      <c r="A52">
        <v>1051</v>
      </c>
      <c r="B52" t="s">
        <v>176</v>
      </c>
      <c r="C52" t="s">
        <v>15</v>
      </c>
      <c r="D52" t="s">
        <v>16</v>
      </c>
      <c r="E52">
        <v>28</v>
      </c>
      <c r="F52" t="str" cm="1">
        <f t="array" ref="F52">_xlfn.IFS(EmployeeData[[#This Row],[Age]]&lt;30,"20s",EmployeeData[[#This Row],[Age]]&lt;40,"30s",EmployeeData[[#This Row],[Age]]&lt;50,"40s",EmployeeData[[#This Row],[Age]]&lt;60,"50s",EmployeeData[[#This Row],[Age]]&gt;=60,"60s")</f>
        <v>20s</v>
      </c>
      <c r="G52" s="5">
        <v>44970</v>
      </c>
      <c r="H52" s="5">
        <v>46011</v>
      </c>
      <c r="I52" t="s">
        <v>28</v>
      </c>
      <c r="J52" t="s">
        <v>13</v>
      </c>
      <c r="K52" cm="1">
        <f t="array" aca="1" ref="K52" ca="1">_xlfn.IFS(EmployeeData[[#This Row],[Status]]="Active",_xlfn.DAYS(TODAY(),EmployeeData[[#This Row],[Join Date]]),EmployeeData[[#This Row],[Status]]="Exited",_xlfn.DAYS(EmployeeData[[#This Row],[Exit Date]],EmployeeData[[#This Row],[Join Date]]))</f>
        <v>1041</v>
      </c>
      <c r="L52" cm="1">
        <f t="array" aca="1" ref="L52" ca="1">_xlfn.IFS(EmployeeData[[#This Row],[Status]]="Exited",DATEDIF(EmployeeData[[#This Row],[Join Date]], EmployeeData[[#This Row],[Exit Date]], "Y"),EmployeeData[[#This Row],[Status]]="Active",DATEDIF(EmployeeData[[#This Row],[Join Date]], TODAY(), "Y"))</f>
        <v>2</v>
      </c>
      <c r="Q52" t="str" cm="1">
        <f t="array" aca="1" ref="Q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53" spans="1:17" hidden="1" x14ac:dyDescent="0.3">
      <c r="A53">
        <v>1052</v>
      </c>
      <c r="B53" t="s">
        <v>713</v>
      </c>
      <c r="C53" t="s">
        <v>23</v>
      </c>
      <c r="D53" t="s">
        <v>11</v>
      </c>
      <c r="E53">
        <v>53</v>
      </c>
      <c r="F53" t="str" cm="1">
        <f t="array" ref="F53">_xlfn.IFS(EmployeeData[[#This Row],[Age]]&lt;30,"20s",EmployeeData[[#This Row],[Age]]&lt;40,"30s",EmployeeData[[#This Row],[Age]]&lt;50,"40s",EmployeeData[[#This Row],[Age]]&lt;60,"50s",EmployeeData[[#This Row],[Age]]&gt;=60,"60s")</f>
        <v>50s</v>
      </c>
      <c r="G53" s="5">
        <v>44848</v>
      </c>
      <c r="I53" t="s">
        <v>17</v>
      </c>
      <c r="J53" t="s">
        <v>18</v>
      </c>
      <c r="K53" cm="1">
        <f t="array" aca="1" ref="K53" ca="1">_xlfn.IFS(EmployeeData[[#This Row],[Status]]="Active",_xlfn.DAYS(TODAY(),EmployeeData[[#This Row],[Join Date]]),EmployeeData[[#This Row],[Status]]="Exited",_xlfn.DAYS(EmployeeData[[#This Row],[Exit Date]],EmployeeData[[#This Row],[Join Date]]))</f>
        <v>1349</v>
      </c>
      <c r="L53" cm="1">
        <f t="array" aca="1" ref="L53" ca="1">_xlfn.IFS(EmployeeData[[#This Row],[Status]]="Exited",DATEDIF(EmployeeData[[#This Row],[Join Date]], EmployeeData[[#This Row],[Exit Date]], "Y"),EmployeeData[[#This Row],[Status]]="Active",DATEDIF(EmployeeData[[#This Row],[Join Date]], TODAY(), "Y"))</f>
        <v>3</v>
      </c>
      <c r="Q53" t="str" cm="1">
        <f t="array" aca="1" ref="Q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54" spans="1:17" hidden="1" x14ac:dyDescent="0.3">
      <c r="A54">
        <v>1053</v>
      </c>
      <c r="B54" t="s">
        <v>438</v>
      </c>
      <c r="C54" t="s">
        <v>20</v>
      </c>
      <c r="D54" t="s">
        <v>24</v>
      </c>
      <c r="E54">
        <v>37</v>
      </c>
      <c r="F54" t="str" cm="1">
        <f t="array" ref="F54">_xlfn.IFS(EmployeeData[[#This Row],[Age]]&lt;30,"20s",EmployeeData[[#This Row],[Age]]&lt;40,"30s",EmployeeData[[#This Row],[Age]]&lt;50,"40s",EmployeeData[[#This Row],[Age]]&lt;60,"50s",EmployeeData[[#This Row],[Age]]&gt;=60,"60s")</f>
        <v>30s</v>
      </c>
      <c r="G54" s="5">
        <v>44113</v>
      </c>
      <c r="I54" t="s">
        <v>17</v>
      </c>
      <c r="J54" t="s">
        <v>18</v>
      </c>
      <c r="K54" cm="1">
        <f t="array" aca="1" ref="K54" ca="1">_xlfn.IFS(EmployeeData[[#This Row],[Status]]="Active",_xlfn.DAYS(TODAY(),EmployeeData[[#This Row],[Join Date]]),EmployeeData[[#This Row],[Status]]="Exited",_xlfn.DAYS(EmployeeData[[#This Row],[Exit Date]],EmployeeData[[#This Row],[Join Date]]))</f>
        <v>2084</v>
      </c>
      <c r="L54" cm="1">
        <f t="array" aca="1" ref="L54" ca="1">_xlfn.IFS(EmployeeData[[#This Row],[Status]]="Exited",DATEDIF(EmployeeData[[#This Row],[Join Date]], EmployeeData[[#This Row],[Exit Date]], "Y"),EmployeeData[[#This Row],[Status]]="Active",DATEDIF(EmployeeData[[#This Row],[Join Date]], TODAY(), "Y"))</f>
        <v>5</v>
      </c>
      <c r="Q54" t="str" cm="1">
        <f t="array" aca="1" ref="Q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15 days</v>
      </c>
    </row>
    <row r="55" spans="1:17" hidden="1" x14ac:dyDescent="0.3">
      <c r="A55">
        <v>1054</v>
      </c>
      <c r="B55" t="s">
        <v>81</v>
      </c>
      <c r="C55" t="s">
        <v>10</v>
      </c>
      <c r="D55" t="s">
        <v>16</v>
      </c>
      <c r="E55">
        <v>39</v>
      </c>
      <c r="F55" t="str" cm="1">
        <f t="array" ref="F55">_xlfn.IFS(EmployeeData[[#This Row],[Age]]&lt;30,"20s",EmployeeData[[#This Row],[Age]]&lt;40,"30s",EmployeeData[[#This Row],[Age]]&lt;50,"40s",EmployeeData[[#This Row],[Age]]&lt;60,"50s",EmployeeData[[#This Row],[Age]]&gt;=60,"60s")</f>
        <v>30s</v>
      </c>
      <c r="G55" s="5">
        <v>44061</v>
      </c>
      <c r="H55" s="5">
        <v>44805</v>
      </c>
      <c r="I55" t="s">
        <v>52</v>
      </c>
      <c r="J55" t="s">
        <v>13</v>
      </c>
      <c r="K55" cm="1">
        <f t="array" aca="1" ref="K55" ca="1">_xlfn.IFS(EmployeeData[[#This Row],[Status]]="Active",_xlfn.DAYS(TODAY(),EmployeeData[[#This Row],[Join Date]]),EmployeeData[[#This Row],[Status]]="Exited",_xlfn.DAYS(EmployeeData[[#This Row],[Exit Date]],EmployeeData[[#This Row],[Join Date]]))</f>
        <v>744</v>
      </c>
      <c r="L55" cm="1">
        <f t="array" aca="1" ref="L55" ca="1">_xlfn.IFS(EmployeeData[[#This Row],[Status]]="Exited",DATEDIF(EmployeeData[[#This Row],[Join Date]], EmployeeData[[#This Row],[Exit Date]], "Y"),EmployeeData[[#This Row],[Status]]="Active",DATEDIF(EmployeeData[[#This Row],[Join Date]], TODAY(), "Y"))</f>
        <v>2</v>
      </c>
      <c r="Q55" t="str" cm="1">
        <f t="array" aca="1" ref="Q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14 days</v>
      </c>
    </row>
    <row r="56" spans="1:17" hidden="1" x14ac:dyDescent="0.3">
      <c r="A56">
        <v>1055</v>
      </c>
      <c r="B56" t="s">
        <v>842</v>
      </c>
      <c r="C56" t="s">
        <v>20</v>
      </c>
      <c r="D56" t="s">
        <v>11</v>
      </c>
      <c r="E56">
        <v>25</v>
      </c>
      <c r="F56" t="str" cm="1">
        <f t="array" ref="F56">_xlfn.IFS(EmployeeData[[#This Row],[Age]]&lt;30,"20s",EmployeeData[[#This Row],[Age]]&lt;40,"30s",EmployeeData[[#This Row],[Age]]&lt;50,"40s",EmployeeData[[#This Row],[Age]]&lt;60,"50s",EmployeeData[[#This Row],[Age]]&gt;=60,"60s")</f>
        <v>20s</v>
      </c>
      <c r="G56" s="5">
        <v>44800</v>
      </c>
      <c r="I56" t="s">
        <v>17</v>
      </c>
      <c r="J56" t="s">
        <v>18</v>
      </c>
      <c r="K56" cm="1">
        <f t="array" aca="1" ref="K56" ca="1">_xlfn.IFS(EmployeeData[[#This Row],[Status]]="Active",_xlfn.DAYS(TODAY(),EmployeeData[[#This Row],[Join Date]]),EmployeeData[[#This Row],[Status]]="Exited",_xlfn.DAYS(EmployeeData[[#This Row],[Exit Date]],EmployeeData[[#This Row],[Join Date]]))</f>
        <v>1397</v>
      </c>
      <c r="L56" cm="1">
        <f t="array" aca="1" ref="L56" ca="1">_xlfn.IFS(EmployeeData[[#This Row],[Status]]="Exited",DATEDIF(EmployeeData[[#This Row],[Join Date]], EmployeeData[[#This Row],[Exit Date]], "Y"),EmployeeData[[#This Row],[Status]]="Active",DATEDIF(EmployeeData[[#This Row],[Join Date]], TODAY(), "Y"))</f>
        <v>3</v>
      </c>
      <c r="Q56" t="str" cm="1">
        <f t="array" aca="1" ref="Q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28 days</v>
      </c>
    </row>
    <row r="57" spans="1:17" hidden="1" x14ac:dyDescent="0.3">
      <c r="A57">
        <v>1056</v>
      </c>
      <c r="B57" t="s">
        <v>1095</v>
      </c>
      <c r="C57" t="s">
        <v>33</v>
      </c>
      <c r="D57" t="s">
        <v>24</v>
      </c>
      <c r="E57">
        <v>58</v>
      </c>
      <c r="F57" t="str" cm="1">
        <f t="array" ref="F57">_xlfn.IFS(EmployeeData[[#This Row],[Age]]&lt;30,"20s",EmployeeData[[#This Row],[Age]]&lt;40,"30s",EmployeeData[[#This Row],[Age]]&lt;50,"40s",EmployeeData[[#This Row],[Age]]&lt;60,"50s",EmployeeData[[#This Row],[Age]]&gt;=60,"60s")</f>
        <v>50s</v>
      </c>
      <c r="G57" s="5">
        <v>45949</v>
      </c>
      <c r="H57" s="5">
        <v>46136</v>
      </c>
      <c r="I57" t="s">
        <v>12</v>
      </c>
      <c r="J57" t="s">
        <v>13</v>
      </c>
      <c r="K57" cm="1">
        <f t="array" aca="1" ref="K57" ca="1">_xlfn.IFS(EmployeeData[[#This Row],[Status]]="Active",_xlfn.DAYS(TODAY(),EmployeeData[[#This Row],[Join Date]]),EmployeeData[[#This Row],[Status]]="Exited",_xlfn.DAYS(EmployeeData[[#This Row],[Exit Date]],EmployeeData[[#This Row],[Join Date]]))</f>
        <v>187</v>
      </c>
      <c r="L57" cm="1">
        <f t="array" aca="1" ref="L57" ca="1">_xlfn.IFS(EmployeeData[[#This Row],[Status]]="Exited",DATEDIF(EmployeeData[[#This Row],[Join Date]], EmployeeData[[#This Row],[Exit Date]], "Y"),EmployeeData[[#This Row],[Status]]="Active",DATEDIF(EmployeeData[[#This Row],[Join Date]], TODAY(), "Y"))</f>
        <v>0</v>
      </c>
      <c r="Q57" t="str" cm="1">
        <f t="array" aca="1" ref="Q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5 days</v>
      </c>
    </row>
    <row r="58" spans="1:17" hidden="1" x14ac:dyDescent="0.3">
      <c r="A58">
        <v>1057</v>
      </c>
      <c r="B58" t="s">
        <v>886</v>
      </c>
      <c r="C58" t="s">
        <v>33</v>
      </c>
      <c r="D58" t="s">
        <v>11</v>
      </c>
      <c r="E58">
        <v>47</v>
      </c>
      <c r="F58" t="str" cm="1">
        <f t="array" ref="F58">_xlfn.IFS(EmployeeData[[#This Row],[Age]]&lt;30,"20s",EmployeeData[[#This Row],[Age]]&lt;40,"30s",EmployeeData[[#This Row],[Age]]&lt;50,"40s",EmployeeData[[#This Row],[Age]]&lt;60,"50s",EmployeeData[[#This Row],[Age]]&gt;=60,"60s")</f>
        <v>40s</v>
      </c>
      <c r="G58" s="5">
        <v>45305</v>
      </c>
      <c r="I58" t="s">
        <v>17</v>
      </c>
      <c r="J58" t="s">
        <v>18</v>
      </c>
      <c r="K58" cm="1">
        <f t="array" aca="1" ref="K58" ca="1">_xlfn.IFS(EmployeeData[[#This Row],[Status]]="Active",_xlfn.DAYS(TODAY(),EmployeeData[[#This Row],[Join Date]]),EmployeeData[[#This Row],[Status]]="Exited",_xlfn.DAYS(EmployeeData[[#This Row],[Exit Date]],EmployeeData[[#This Row],[Join Date]]))</f>
        <v>892</v>
      </c>
      <c r="L58" cm="1">
        <f t="array" aca="1" ref="L58" ca="1">_xlfn.IFS(EmployeeData[[#This Row],[Status]]="Exited",DATEDIF(EmployeeData[[#This Row],[Join Date]], EmployeeData[[#This Row],[Exit Date]], "Y"),EmployeeData[[#This Row],[Status]]="Active",DATEDIF(EmployeeData[[#This Row],[Join Date]], TODAY(), "Y"))</f>
        <v>2</v>
      </c>
      <c r="Q58" t="str" cm="1">
        <f t="array" aca="1" ref="Q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10 days</v>
      </c>
    </row>
    <row r="59" spans="1:17" x14ac:dyDescent="0.3">
      <c r="A59">
        <v>1058</v>
      </c>
      <c r="B59" t="s">
        <v>175</v>
      </c>
      <c r="C59" t="s">
        <v>23</v>
      </c>
      <c r="D59" t="s">
        <v>16</v>
      </c>
      <c r="E59">
        <v>52</v>
      </c>
      <c r="F59" t="str" cm="1">
        <f t="array" ref="F59">_xlfn.IFS(EmployeeData[[#This Row],[Age]]&lt;30,"20s",EmployeeData[[#This Row],[Age]]&lt;40,"30s",EmployeeData[[#This Row],[Age]]&lt;50,"40s",EmployeeData[[#This Row],[Age]]&lt;60,"50s",EmployeeData[[#This Row],[Age]]&gt;=60,"60s")</f>
        <v>50s</v>
      </c>
      <c r="G59" s="5">
        <v>43219</v>
      </c>
      <c r="I59" t="s">
        <v>17</v>
      </c>
      <c r="J59" t="s">
        <v>18</v>
      </c>
      <c r="K59" cm="1">
        <f t="array" aca="1" ref="K59" ca="1">_xlfn.IFS(EmployeeData[[#This Row],[Status]]="Active",_xlfn.DAYS(TODAY(),EmployeeData[[#This Row],[Join Date]]),EmployeeData[[#This Row],[Status]]="Exited",_xlfn.DAYS(EmployeeData[[#This Row],[Exit Date]],EmployeeData[[#This Row],[Join Date]]))</f>
        <v>2978</v>
      </c>
      <c r="L59" cm="1">
        <f t="array" aca="1" ref="L59" ca="1">_xlfn.IFS(EmployeeData[[#This Row],[Status]]="Exited",DATEDIF(EmployeeData[[#This Row],[Join Date]], EmployeeData[[#This Row],[Exit Date]], "Y"),EmployeeData[[#This Row],[Status]]="Active",DATEDIF(EmployeeData[[#This Row],[Join Date]], TODAY(), "Y"))</f>
        <v>8</v>
      </c>
      <c r="Q59" t="str" cm="1">
        <f t="array" aca="1" ref="Q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26 days</v>
      </c>
    </row>
    <row r="60" spans="1:17" x14ac:dyDescent="0.3">
      <c r="A60">
        <v>1059</v>
      </c>
      <c r="B60" t="s">
        <v>803</v>
      </c>
      <c r="C60" t="s">
        <v>46</v>
      </c>
      <c r="D60" t="s">
        <v>11</v>
      </c>
      <c r="E60">
        <v>55</v>
      </c>
      <c r="F60" t="str" cm="1">
        <f t="array" ref="F60">_xlfn.IFS(EmployeeData[[#This Row],[Age]]&lt;30,"20s",EmployeeData[[#This Row],[Age]]&lt;40,"30s",EmployeeData[[#This Row],[Age]]&lt;50,"40s",EmployeeData[[#This Row],[Age]]&lt;60,"50s",EmployeeData[[#This Row],[Age]]&gt;=60,"60s")</f>
        <v>50s</v>
      </c>
      <c r="G60" s="5">
        <v>43211</v>
      </c>
      <c r="I60" t="s">
        <v>17</v>
      </c>
      <c r="J60" t="s">
        <v>18</v>
      </c>
      <c r="K60" cm="1">
        <f t="array" aca="1" ref="K60" ca="1">_xlfn.IFS(EmployeeData[[#This Row],[Status]]="Active",_xlfn.DAYS(TODAY(),EmployeeData[[#This Row],[Join Date]]),EmployeeData[[#This Row],[Status]]="Exited",_xlfn.DAYS(EmployeeData[[#This Row],[Exit Date]],EmployeeData[[#This Row],[Join Date]]))</f>
        <v>2986</v>
      </c>
      <c r="L60" cm="1">
        <f t="array" aca="1" ref="L60" ca="1">_xlfn.IFS(EmployeeData[[#This Row],[Status]]="Exited",DATEDIF(EmployeeData[[#This Row],[Join Date]], EmployeeData[[#This Row],[Exit Date]], "Y"),EmployeeData[[#This Row],[Status]]="Active",DATEDIF(EmployeeData[[#This Row],[Join Date]], TODAY(), "Y"))</f>
        <v>8</v>
      </c>
      <c r="Q60" t="str" cm="1">
        <f t="array" aca="1" ref="Q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3 days</v>
      </c>
    </row>
    <row r="61" spans="1:17" hidden="1" x14ac:dyDescent="0.3">
      <c r="A61">
        <v>1060</v>
      </c>
      <c r="B61" t="s">
        <v>1092</v>
      </c>
      <c r="C61" t="s">
        <v>15</v>
      </c>
      <c r="D61" t="s">
        <v>24</v>
      </c>
      <c r="E61">
        <v>64</v>
      </c>
      <c r="F61" t="str" cm="1">
        <f t="array" ref="F61">_xlfn.IFS(EmployeeData[[#This Row],[Age]]&lt;30,"20s",EmployeeData[[#This Row],[Age]]&lt;40,"30s",EmployeeData[[#This Row],[Age]]&lt;50,"40s",EmployeeData[[#This Row],[Age]]&lt;60,"50s",EmployeeData[[#This Row],[Age]]&gt;=60,"60s")</f>
        <v>60s</v>
      </c>
      <c r="G61" s="5">
        <v>43845</v>
      </c>
      <c r="H61" s="5">
        <v>45487</v>
      </c>
      <c r="I61" t="s">
        <v>26</v>
      </c>
      <c r="J61" t="s">
        <v>13</v>
      </c>
      <c r="K61" cm="1">
        <f t="array" aca="1" ref="K61" ca="1">_xlfn.IFS(EmployeeData[[#This Row],[Status]]="Active",_xlfn.DAYS(TODAY(),EmployeeData[[#This Row],[Join Date]]),EmployeeData[[#This Row],[Status]]="Exited",_xlfn.DAYS(EmployeeData[[#This Row],[Exit Date]],EmployeeData[[#This Row],[Join Date]]))</f>
        <v>1642</v>
      </c>
      <c r="L61" cm="1">
        <f t="array" aca="1" ref="L61" ca="1">_xlfn.IFS(EmployeeData[[#This Row],[Status]]="Exited",DATEDIF(EmployeeData[[#This Row],[Join Date]], EmployeeData[[#This Row],[Exit Date]], "Y"),EmployeeData[[#This Row],[Status]]="Active",DATEDIF(EmployeeData[[#This Row],[Join Date]], TODAY(), "Y"))</f>
        <v>4</v>
      </c>
      <c r="Q61" t="str" cm="1">
        <f t="array" aca="1" ref="Q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62" spans="1:17" hidden="1" x14ac:dyDescent="0.3">
      <c r="A62">
        <v>1061</v>
      </c>
      <c r="B62" t="s">
        <v>1055</v>
      </c>
      <c r="C62" t="s">
        <v>10</v>
      </c>
      <c r="D62" t="s">
        <v>11</v>
      </c>
      <c r="E62">
        <v>47</v>
      </c>
      <c r="F62" t="str" cm="1">
        <f t="array" ref="F62">_xlfn.IFS(EmployeeData[[#This Row],[Age]]&lt;30,"20s",EmployeeData[[#This Row],[Age]]&lt;40,"30s",EmployeeData[[#This Row],[Age]]&lt;50,"40s",EmployeeData[[#This Row],[Age]]&lt;60,"50s",EmployeeData[[#This Row],[Age]]&gt;=60,"60s")</f>
        <v>40s</v>
      </c>
      <c r="G62" s="5">
        <v>44134</v>
      </c>
      <c r="I62" t="s">
        <v>17</v>
      </c>
      <c r="J62" t="s">
        <v>18</v>
      </c>
      <c r="K62" cm="1">
        <f t="array" aca="1" ref="K62" ca="1">_xlfn.IFS(EmployeeData[[#This Row],[Status]]="Active",_xlfn.DAYS(TODAY(),EmployeeData[[#This Row],[Join Date]]),EmployeeData[[#This Row],[Status]]="Exited",_xlfn.DAYS(EmployeeData[[#This Row],[Exit Date]],EmployeeData[[#This Row],[Join Date]]))</f>
        <v>2063</v>
      </c>
      <c r="L62" cm="1">
        <f t="array" aca="1" ref="L62" ca="1">_xlfn.IFS(EmployeeData[[#This Row],[Status]]="Exited",DATEDIF(EmployeeData[[#This Row],[Join Date]], EmployeeData[[#This Row],[Exit Date]], "Y"),EmployeeData[[#This Row],[Status]]="Active",DATEDIF(EmployeeData[[#This Row],[Join Date]], TODAY(), "Y"))</f>
        <v>5</v>
      </c>
      <c r="Q62" t="str" cm="1">
        <f t="array" aca="1" ref="Q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25 days</v>
      </c>
    </row>
    <row r="63" spans="1:17" hidden="1" x14ac:dyDescent="0.3">
      <c r="A63">
        <v>1062</v>
      </c>
      <c r="B63" t="s">
        <v>525</v>
      </c>
      <c r="C63" t="s">
        <v>15</v>
      </c>
      <c r="D63" t="s">
        <v>11</v>
      </c>
      <c r="E63">
        <v>35</v>
      </c>
      <c r="F63" t="str" cm="1">
        <f t="array" ref="F63">_xlfn.IFS(EmployeeData[[#This Row],[Age]]&lt;30,"20s",EmployeeData[[#This Row],[Age]]&lt;40,"30s",EmployeeData[[#This Row],[Age]]&lt;50,"40s",EmployeeData[[#This Row],[Age]]&lt;60,"50s",EmployeeData[[#This Row],[Age]]&gt;=60,"60s")</f>
        <v>30s</v>
      </c>
      <c r="G63" s="5">
        <v>45763</v>
      </c>
      <c r="H63" s="5">
        <v>45873</v>
      </c>
      <c r="I63" t="s">
        <v>34</v>
      </c>
      <c r="J63" t="s">
        <v>13</v>
      </c>
      <c r="K63" cm="1">
        <f t="array" aca="1" ref="K63" ca="1">_xlfn.IFS(EmployeeData[[#This Row],[Status]]="Active",_xlfn.DAYS(TODAY(),EmployeeData[[#This Row],[Join Date]]),EmployeeData[[#This Row],[Status]]="Exited",_xlfn.DAYS(EmployeeData[[#This Row],[Exit Date]],EmployeeData[[#This Row],[Join Date]]))</f>
        <v>110</v>
      </c>
      <c r="L63" cm="1">
        <f t="array" aca="1" ref="L63" ca="1">_xlfn.IFS(EmployeeData[[#This Row],[Status]]="Exited",DATEDIF(EmployeeData[[#This Row],[Join Date]], EmployeeData[[#This Row],[Exit Date]], "Y"),EmployeeData[[#This Row],[Status]]="Active",DATEDIF(EmployeeData[[#This Row],[Join Date]], TODAY(), "Y"))</f>
        <v>0</v>
      </c>
      <c r="Q63" t="str" cm="1">
        <f t="array" aca="1" ref="Q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64" spans="1:17" hidden="1" x14ac:dyDescent="0.3">
      <c r="A64">
        <v>1063</v>
      </c>
      <c r="B64" t="s">
        <v>280</v>
      </c>
      <c r="C64" t="s">
        <v>23</v>
      </c>
      <c r="D64" t="s">
        <v>16</v>
      </c>
      <c r="E64">
        <v>51</v>
      </c>
      <c r="F64" t="str" cm="1">
        <f t="array" ref="F64">_xlfn.IFS(EmployeeData[[#This Row],[Age]]&lt;30,"20s",EmployeeData[[#This Row],[Age]]&lt;40,"30s",EmployeeData[[#This Row],[Age]]&lt;50,"40s",EmployeeData[[#This Row],[Age]]&lt;60,"50s",EmployeeData[[#This Row],[Age]]&gt;=60,"60s")</f>
        <v>50s</v>
      </c>
      <c r="G64" s="5">
        <v>45843</v>
      </c>
      <c r="H64" s="5">
        <v>46175</v>
      </c>
      <c r="I64" t="s">
        <v>31</v>
      </c>
      <c r="J64" t="s">
        <v>13</v>
      </c>
      <c r="K64" cm="1">
        <f t="array" aca="1" ref="K64" ca="1">_xlfn.IFS(EmployeeData[[#This Row],[Status]]="Active",_xlfn.DAYS(TODAY(),EmployeeData[[#This Row],[Join Date]]),EmployeeData[[#This Row],[Status]]="Exited",_xlfn.DAYS(EmployeeData[[#This Row],[Exit Date]],EmployeeData[[#This Row],[Join Date]]))</f>
        <v>332</v>
      </c>
      <c r="L64" cm="1">
        <f t="array" aca="1" ref="L64" ca="1">_xlfn.IFS(EmployeeData[[#This Row],[Status]]="Exited",DATEDIF(EmployeeData[[#This Row],[Join Date]], EmployeeData[[#This Row],[Exit Date]], "Y"),EmployeeData[[#This Row],[Status]]="Active",DATEDIF(EmployeeData[[#This Row],[Join Date]], TODAY(), "Y"))</f>
        <v>0</v>
      </c>
      <c r="Q64" t="str" cm="1">
        <f t="array" aca="1" ref="Q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65" spans="1:17" hidden="1" x14ac:dyDescent="0.3">
      <c r="A65">
        <v>1064</v>
      </c>
      <c r="B65" t="s">
        <v>47</v>
      </c>
      <c r="C65" t="s">
        <v>20</v>
      </c>
      <c r="D65" t="s">
        <v>16</v>
      </c>
      <c r="E65">
        <v>40</v>
      </c>
      <c r="F65" t="str" cm="1">
        <f t="array" ref="F65">_xlfn.IFS(EmployeeData[[#This Row],[Age]]&lt;30,"20s",EmployeeData[[#This Row],[Age]]&lt;40,"30s",EmployeeData[[#This Row],[Age]]&lt;50,"40s",EmployeeData[[#This Row],[Age]]&lt;60,"50s",EmployeeData[[#This Row],[Age]]&gt;=60,"60s")</f>
        <v>40s</v>
      </c>
      <c r="G65" s="5">
        <v>43543</v>
      </c>
      <c r="I65" t="s">
        <v>17</v>
      </c>
      <c r="J65" t="s">
        <v>18</v>
      </c>
      <c r="K65" cm="1">
        <f t="array" aca="1" ref="K65" ca="1">_xlfn.IFS(EmployeeData[[#This Row],[Status]]="Active",_xlfn.DAYS(TODAY(),EmployeeData[[#This Row],[Join Date]]),EmployeeData[[#This Row],[Status]]="Exited",_xlfn.DAYS(EmployeeData[[#This Row],[Exit Date]],EmployeeData[[#This Row],[Join Date]]))</f>
        <v>2654</v>
      </c>
      <c r="L65" cm="1">
        <f t="array" aca="1" ref="L65" ca="1">_xlfn.IFS(EmployeeData[[#This Row],[Status]]="Exited",DATEDIF(EmployeeData[[#This Row],[Join Date]], EmployeeData[[#This Row],[Exit Date]], "Y"),EmployeeData[[#This Row],[Status]]="Active",DATEDIF(EmployeeData[[#This Row],[Join Date]], TODAY(), "Y"))</f>
        <v>7</v>
      </c>
      <c r="Q65" t="str" cm="1">
        <f t="array" aca="1" ref="Q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5 days</v>
      </c>
    </row>
    <row r="66" spans="1:17" x14ac:dyDescent="0.3">
      <c r="A66">
        <v>1065</v>
      </c>
      <c r="B66" t="s">
        <v>245</v>
      </c>
      <c r="C66" t="s">
        <v>46</v>
      </c>
      <c r="D66" t="s">
        <v>24</v>
      </c>
      <c r="E66">
        <v>33</v>
      </c>
      <c r="F66" t="str" cm="1">
        <f t="array" ref="F66">_xlfn.IFS(EmployeeData[[#This Row],[Age]]&lt;30,"20s",EmployeeData[[#This Row],[Age]]&lt;40,"30s",EmployeeData[[#This Row],[Age]]&lt;50,"40s",EmployeeData[[#This Row],[Age]]&lt;60,"50s",EmployeeData[[#This Row],[Age]]&gt;=60,"60s")</f>
        <v>30s</v>
      </c>
      <c r="G66" s="5">
        <v>43412</v>
      </c>
      <c r="I66" t="s">
        <v>17</v>
      </c>
      <c r="J66" t="s">
        <v>18</v>
      </c>
      <c r="K66" cm="1">
        <f t="array" aca="1" ref="K66" ca="1">_xlfn.IFS(EmployeeData[[#This Row],[Status]]="Active",_xlfn.DAYS(TODAY(),EmployeeData[[#This Row],[Join Date]]),EmployeeData[[#This Row],[Status]]="Exited",_xlfn.DAYS(EmployeeData[[#This Row],[Exit Date]],EmployeeData[[#This Row],[Join Date]]))</f>
        <v>2785</v>
      </c>
      <c r="L66" cm="1">
        <f t="array" aca="1" ref="L66" ca="1">_xlfn.IFS(EmployeeData[[#This Row],[Status]]="Exited",DATEDIF(EmployeeData[[#This Row],[Join Date]], EmployeeData[[#This Row],[Exit Date]], "Y"),EmployeeData[[#This Row],[Status]]="Active",DATEDIF(EmployeeData[[#This Row],[Join Date]], TODAY(), "Y"))</f>
        <v>7</v>
      </c>
      <c r="Q66" t="str" cm="1">
        <f t="array" aca="1" ref="Q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67" spans="1:17" hidden="1" x14ac:dyDescent="0.3">
      <c r="A67">
        <v>1066</v>
      </c>
      <c r="B67" t="s">
        <v>100</v>
      </c>
      <c r="C67" t="s">
        <v>10</v>
      </c>
      <c r="D67" t="s">
        <v>11</v>
      </c>
      <c r="E67">
        <v>28</v>
      </c>
      <c r="F67" t="str" cm="1">
        <f t="array" ref="F67">_xlfn.IFS(EmployeeData[[#This Row],[Age]]&lt;30,"20s",EmployeeData[[#This Row],[Age]]&lt;40,"30s",EmployeeData[[#This Row],[Age]]&lt;50,"40s",EmployeeData[[#This Row],[Age]]&lt;60,"50s",EmployeeData[[#This Row],[Age]]&gt;=60,"60s")</f>
        <v>20s</v>
      </c>
      <c r="G67" s="5">
        <v>45419</v>
      </c>
      <c r="I67" t="s">
        <v>17</v>
      </c>
      <c r="J67" t="s">
        <v>18</v>
      </c>
      <c r="K67" cm="1">
        <f t="array" aca="1" ref="K67" ca="1">_xlfn.IFS(EmployeeData[[#This Row],[Status]]="Active",_xlfn.DAYS(TODAY(),EmployeeData[[#This Row],[Join Date]]),EmployeeData[[#This Row],[Status]]="Exited",_xlfn.DAYS(EmployeeData[[#This Row],[Exit Date]],EmployeeData[[#This Row],[Join Date]]))</f>
        <v>778</v>
      </c>
      <c r="L67" cm="1">
        <f t="array" aca="1" ref="L67" ca="1">_xlfn.IFS(EmployeeData[[#This Row],[Status]]="Exited",DATEDIF(EmployeeData[[#This Row],[Join Date]], EmployeeData[[#This Row],[Exit Date]], "Y"),EmployeeData[[#This Row],[Status]]="Active",DATEDIF(EmployeeData[[#This Row],[Join Date]], TODAY(), "Y"))</f>
        <v>2</v>
      </c>
      <c r="Q67" t="str" cm="1">
        <f t="array" aca="1" ref="Q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17 days</v>
      </c>
    </row>
    <row r="68" spans="1:17" hidden="1" x14ac:dyDescent="0.3">
      <c r="A68">
        <v>1067</v>
      </c>
      <c r="B68" t="s">
        <v>947</v>
      </c>
      <c r="C68" t="s">
        <v>15</v>
      </c>
      <c r="D68" t="s">
        <v>24</v>
      </c>
      <c r="E68">
        <v>21</v>
      </c>
      <c r="F68" t="str" cm="1">
        <f t="array" ref="F68">_xlfn.IFS(EmployeeData[[#This Row],[Age]]&lt;30,"20s",EmployeeData[[#This Row],[Age]]&lt;40,"30s",EmployeeData[[#This Row],[Age]]&lt;50,"40s",EmployeeData[[#This Row],[Age]]&lt;60,"50s",EmployeeData[[#This Row],[Age]]&gt;=60,"60s")</f>
        <v>20s</v>
      </c>
      <c r="G68" s="5">
        <v>44821</v>
      </c>
      <c r="I68" t="s">
        <v>17</v>
      </c>
      <c r="J68" t="s">
        <v>18</v>
      </c>
      <c r="K68" cm="1">
        <f t="array" aca="1" ref="K68" ca="1">_xlfn.IFS(EmployeeData[[#This Row],[Status]]="Active",_xlfn.DAYS(TODAY(),EmployeeData[[#This Row],[Join Date]]),EmployeeData[[#This Row],[Status]]="Exited",_xlfn.DAYS(EmployeeData[[#This Row],[Exit Date]],EmployeeData[[#This Row],[Join Date]]))</f>
        <v>1376</v>
      </c>
      <c r="L68" cm="1">
        <f t="array" aca="1" ref="L68" ca="1">_xlfn.IFS(EmployeeData[[#This Row],[Status]]="Exited",DATEDIF(EmployeeData[[#This Row],[Join Date]], EmployeeData[[#This Row],[Exit Date]], "Y"),EmployeeData[[#This Row],[Status]]="Active",DATEDIF(EmployeeData[[#This Row],[Join Date]], TODAY(), "Y"))</f>
        <v>3</v>
      </c>
      <c r="Q68" t="str" cm="1">
        <f t="array" aca="1" ref="Q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7 days</v>
      </c>
    </row>
    <row r="69" spans="1:17" hidden="1" x14ac:dyDescent="0.3">
      <c r="A69">
        <v>1068</v>
      </c>
      <c r="B69" t="s">
        <v>834</v>
      </c>
      <c r="C69" t="s">
        <v>23</v>
      </c>
      <c r="D69" t="s">
        <v>11</v>
      </c>
      <c r="E69">
        <v>30</v>
      </c>
      <c r="F69" t="str" cm="1">
        <f t="array" ref="F69">_xlfn.IFS(EmployeeData[[#This Row],[Age]]&lt;30,"20s",EmployeeData[[#This Row],[Age]]&lt;40,"30s",EmployeeData[[#This Row],[Age]]&lt;50,"40s",EmployeeData[[#This Row],[Age]]&lt;60,"50s",EmployeeData[[#This Row],[Age]]&gt;=60,"60s")</f>
        <v>30s</v>
      </c>
      <c r="G69" s="5">
        <v>44884</v>
      </c>
      <c r="H69" s="5">
        <v>46042</v>
      </c>
      <c r="I69" t="s">
        <v>21</v>
      </c>
      <c r="J69" t="s">
        <v>13</v>
      </c>
      <c r="K69" cm="1">
        <f t="array" aca="1" ref="K69" ca="1">_xlfn.IFS(EmployeeData[[#This Row],[Status]]="Active",_xlfn.DAYS(TODAY(),EmployeeData[[#This Row],[Join Date]]),EmployeeData[[#This Row],[Status]]="Exited",_xlfn.DAYS(EmployeeData[[#This Row],[Exit Date]],EmployeeData[[#This Row],[Join Date]]))</f>
        <v>1158</v>
      </c>
      <c r="L69" cm="1">
        <f t="array" aca="1" ref="L69" ca="1">_xlfn.IFS(EmployeeData[[#This Row],[Status]]="Exited",DATEDIF(EmployeeData[[#This Row],[Join Date]], EmployeeData[[#This Row],[Exit Date]], "Y"),EmployeeData[[#This Row],[Status]]="Active",DATEDIF(EmployeeData[[#This Row],[Join Date]], TODAY(), "Y"))</f>
        <v>3</v>
      </c>
      <c r="Q69" t="str" cm="1">
        <f t="array" aca="1" ref="Q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70" spans="1:17" hidden="1" x14ac:dyDescent="0.3">
      <c r="A70">
        <v>1069</v>
      </c>
      <c r="B70" t="s">
        <v>908</v>
      </c>
      <c r="C70" t="s">
        <v>23</v>
      </c>
      <c r="D70" t="s">
        <v>24</v>
      </c>
      <c r="E70">
        <v>48</v>
      </c>
      <c r="F70" t="str" cm="1">
        <f t="array" ref="F70">_xlfn.IFS(EmployeeData[[#This Row],[Age]]&lt;30,"20s",EmployeeData[[#This Row],[Age]]&lt;40,"30s",EmployeeData[[#This Row],[Age]]&lt;50,"40s",EmployeeData[[#This Row],[Age]]&lt;60,"50s",EmployeeData[[#This Row],[Age]]&gt;=60,"60s")</f>
        <v>40s</v>
      </c>
      <c r="G70" s="5">
        <v>45527</v>
      </c>
      <c r="H70" s="5">
        <v>45868</v>
      </c>
      <c r="I70" t="s">
        <v>52</v>
      </c>
      <c r="J70" t="s">
        <v>13</v>
      </c>
      <c r="K70" cm="1">
        <f t="array" aca="1" ref="K70" ca="1">_xlfn.IFS(EmployeeData[[#This Row],[Status]]="Active",_xlfn.DAYS(TODAY(),EmployeeData[[#This Row],[Join Date]]),EmployeeData[[#This Row],[Status]]="Exited",_xlfn.DAYS(EmployeeData[[#This Row],[Exit Date]],EmployeeData[[#This Row],[Join Date]]))</f>
        <v>341</v>
      </c>
      <c r="L70" cm="1">
        <f t="array" aca="1" ref="L70" ca="1">_xlfn.IFS(EmployeeData[[#This Row],[Status]]="Exited",DATEDIF(EmployeeData[[#This Row],[Join Date]], EmployeeData[[#This Row],[Exit Date]], "Y"),EmployeeData[[#This Row],[Status]]="Active",DATEDIF(EmployeeData[[#This Row],[Join Date]], TODAY(), "Y"))</f>
        <v>0</v>
      </c>
      <c r="Q70" t="str" cm="1">
        <f t="array" aca="1" ref="Q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71" spans="1:17" hidden="1" x14ac:dyDescent="0.3">
      <c r="A71">
        <v>1070</v>
      </c>
      <c r="B71" t="s">
        <v>798</v>
      </c>
      <c r="C71" t="s">
        <v>10</v>
      </c>
      <c r="D71" t="s">
        <v>24</v>
      </c>
      <c r="E71">
        <v>45</v>
      </c>
      <c r="F71" t="str" cm="1">
        <f t="array" ref="F71">_xlfn.IFS(EmployeeData[[#This Row],[Age]]&lt;30,"20s",EmployeeData[[#This Row],[Age]]&lt;40,"30s",EmployeeData[[#This Row],[Age]]&lt;50,"40s",EmployeeData[[#This Row],[Age]]&lt;60,"50s",EmployeeData[[#This Row],[Age]]&gt;=60,"60s")</f>
        <v>40s</v>
      </c>
      <c r="G71" s="5">
        <v>44478</v>
      </c>
      <c r="H71" s="5">
        <v>45233</v>
      </c>
      <c r="I71" t="s">
        <v>31</v>
      </c>
      <c r="J71" t="s">
        <v>13</v>
      </c>
      <c r="K71" cm="1">
        <f t="array" aca="1" ref="K71" ca="1">_xlfn.IFS(EmployeeData[[#This Row],[Status]]="Active",_xlfn.DAYS(TODAY(),EmployeeData[[#This Row],[Join Date]]),EmployeeData[[#This Row],[Status]]="Exited",_xlfn.DAYS(EmployeeData[[#This Row],[Exit Date]],EmployeeData[[#This Row],[Join Date]]))</f>
        <v>755</v>
      </c>
      <c r="L71" cm="1">
        <f t="array" aca="1" ref="L71" ca="1">_xlfn.IFS(EmployeeData[[#This Row],[Status]]="Exited",DATEDIF(EmployeeData[[#This Row],[Join Date]], EmployeeData[[#This Row],[Exit Date]], "Y"),EmployeeData[[#This Row],[Status]]="Active",DATEDIF(EmployeeData[[#This Row],[Join Date]], TODAY(), "Y"))</f>
        <v>2</v>
      </c>
      <c r="Q71" t="str" cm="1">
        <f t="array" aca="1" ref="Q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2" spans="1:17" hidden="1" x14ac:dyDescent="0.3">
      <c r="A72">
        <v>1071</v>
      </c>
      <c r="B72" t="s">
        <v>996</v>
      </c>
      <c r="C72" t="s">
        <v>10</v>
      </c>
      <c r="D72" t="s">
        <v>11</v>
      </c>
      <c r="E72">
        <v>38</v>
      </c>
      <c r="F72" t="str" cm="1">
        <f t="array" ref="F72">_xlfn.IFS(EmployeeData[[#This Row],[Age]]&lt;30,"20s",EmployeeData[[#This Row],[Age]]&lt;40,"30s",EmployeeData[[#This Row],[Age]]&lt;50,"40s",EmployeeData[[#This Row],[Age]]&lt;60,"50s",EmployeeData[[#This Row],[Age]]&gt;=60,"60s")</f>
        <v>30s</v>
      </c>
      <c r="G72" s="5">
        <v>45377</v>
      </c>
      <c r="H72" s="5">
        <v>45662</v>
      </c>
      <c r="I72" t="s">
        <v>31</v>
      </c>
      <c r="J72" t="s">
        <v>13</v>
      </c>
      <c r="K72" cm="1">
        <f t="array" aca="1" ref="K72" ca="1">_xlfn.IFS(EmployeeData[[#This Row],[Status]]="Active",_xlfn.DAYS(TODAY(),EmployeeData[[#This Row],[Join Date]]),EmployeeData[[#This Row],[Status]]="Exited",_xlfn.DAYS(EmployeeData[[#This Row],[Exit Date]],EmployeeData[[#This Row],[Join Date]]))</f>
        <v>285</v>
      </c>
      <c r="L72" cm="1">
        <f t="array" aca="1" ref="L72" ca="1">_xlfn.IFS(EmployeeData[[#This Row],[Status]]="Exited",DATEDIF(EmployeeData[[#This Row],[Join Date]], EmployeeData[[#This Row],[Exit Date]], "Y"),EmployeeData[[#This Row],[Status]]="Active",DATEDIF(EmployeeData[[#This Row],[Join Date]], TODAY(), "Y"))</f>
        <v>0</v>
      </c>
      <c r="Q72" t="str" cm="1">
        <f t="array" aca="1" ref="Q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10 days</v>
      </c>
    </row>
    <row r="73" spans="1:17" hidden="1" x14ac:dyDescent="0.3">
      <c r="A73">
        <v>1072</v>
      </c>
      <c r="B73" t="s">
        <v>596</v>
      </c>
      <c r="C73" t="s">
        <v>20</v>
      </c>
      <c r="D73" t="s">
        <v>24</v>
      </c>
      <c r="E73">
        <v>52</v>
      </c>
      <c r="F73" t="str" cm="1">
        <f t="array" ref="F73">_xlfn.IFS(EmployeeData[[#This Row],[Age]]&lt;30,"20s",EmployeeData[[#This Row],[Age]]&lt;40,"30s",EmployeeData[[#This Row],[Age]]&lt;50,"40s",EmployeeData[[#This Row],[Age]]&lt;60,"50s",EmployeeData[[#This Row],[Age]]&gt;=60,"60s")</f>
        <v>50s</v>
      </c>
      <c r="G73" s="5">
        <v>44936</v>
      </c>
      <c r="I73" t="s">
        <v>17</v>
      </c>
      <c r="J73" t="s">
        <v>18</v>
      </c>
      <c r="K73" cm="1">
        <f t="array" aca="1" ref="K73" ca="1">_xlfn.IFS(EmployeeData[[#This Row],[Status]]="Active",_xlfn.DAYS(TODAY(),EmployeeData[[#This Row],[Join Date]]),EmployeeData[[#This Row],[Status]]="Exited",_xlfn.DAYS(EmployeeData[[#This Row],[Exit Date]],EmployeeData[[#This Row],[Join Date]]))</f>
        <v>1261</v>
      </c>
      <c r="L73" cm="1">
        <f t="array" aca="1" ref="L73" ca="1">_xlfn.IFS(EmployeeData[[#This Row],[Status]]="Exited",DATEDIF(EmployeeData[[#This Row],[Join Date]], EmployeeData[[#This Row],[Exit Date]], "Y"),EmployeeData[[#This Row],[Status]]="Active",DATEDIF(EmployeeData[[#This Row],[Join Date]], TODAY(), "Y"))</f>
        <v>3</v>
      </c>
      <c r="Q73" t="str" cm="1">
        <f t="array" aca="1" ref="Q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14 days</v>
      </c>
    </row>
    <row r="74" spans="1:17" hidden="1" x14ac:dyDescent="0.3">
      <c r="A74">
        <v>1073</v>
      </c>
      <c r="B74" t="s">
        <v>301</v>
      </c>
      <c r="C74" t="s">
        <v>10</v>
      </c>
      <c r="D74" t="s">
        <v>24</v>
      </c>
      <c r="E74">
        <v>51</v>
      </c>
      <c r="F74" t="str" cm="1">
        <f t="array" ref="F74">_xlfn.IFS(EmployeeData[[#This Row],[Age]]&lt;30,"20s",EmployeeData[[#This Row],[Age]]&lt;40,"30s",EmployeeData[[#This Row],[Age]]&lt;50,"40s",EmployeeData[[#This Row],[Age]]&lt;60,"50s",EmployeeData[[#This Row],[Age]]&gt;=60,"60s")</f>
        <v>50s</v>
      </c>
      <c r="G74" s="5">
        <v>45368</v>
      </c>
      <c r="I74" t="s">
        <v>17</v>
      </c>
      <c r="J74" t="s">
        <v>18</v>
      </c>
      <c r="K74" cm="1">
        <f t="array" aca="1" ref="K74" ca="1">_xlfn.IFS(EmployeeData[[#This Row],[Status]]="Active",_xlfn.DAYS(TODAY(),EmployeeData[[#This Row],[Join Date]]),EmployeeData[[#This Row],[Status]]="Exited",_xlfn.DAYS(EmployeeData[[#This Row],[Exit Date]],EmployeeData[[#This Row],[Join Date]]))</f>
        <v>829</v>
      </c>
      <c r="L74" cm="1">
        <f t="array" aca="1" ref="L74" ca="1">_xlfn.IFS(EmployeeData[[#This Row],[Status]]="Exited",DATEDIF(EmployeeData[[#This Row],[Join Date]], EmployeeData[[#This Row],[Exit Date]], "Y"),EmployeeData[[#This Row],[Status]]="Active",DATEDIF(EmployeeData[[#This Row],[Join Date]], TODAY(), "Y"))</f>
        <v>2</v>
      </c>
      <c r="Q74" t="str" cm="1">
        <f t="array" aca="1" ref="Q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75" spans="1:17" hidden="1" x14ac:dyDescent="0.3">
      <c r="A75">
        <v>1074</v>
      </c>
      <c r="B75" t="s">
        <v>1078</v>
      </c>
      <c r="C75" t="s">
        <v>20</v>
      </c>
      <c r="D75" t="s">
        <v>16</v>
      </c>
      <c r="E75">
        <v>55</v>
      </c>
      <c r="F75" t="str" cm="1">
        <f t="array" ref="F75">_xlfn.IFS(EmployeeData[[#This Row],[Age]]&lt;30,"20s",EmployeeData[[#This Row],[Age]]&lt;40,"30s",EmployeeData[[#This Row],[Age]]&lt;50,"40s",EmployeeData[[#This Row],[Age]]&lt;60,"50s",EmployeeData[[#This Row],[Age]]&gt;=60,"60s")</f>
        <v>50s</v>
      </c>
      <c r="G75" s="5">
        <v>44045</v>
      </c>
      <c r="H75" s="5">
        <v>44923</v>
      </c>
      <c r="I75" t="s">
        <v>26</v>
      </c>
      <c r="J75" t="s">
        <v>13</v>
      </c>
      <c r="K75" cm="1">
        <f t="array" aca="1" ref="K75" ca="1">_xlfn.IFS(EmployeeData[[#This Row],[Status]]="Active",_xlfn.DAYS(TODAY(),EmployeeData[[#This Row],[Join Date]]),EmployeeData[[#This Row],[Status]]="Exited",_xlfn.DAYS(EmployeeData[[#This Row],[Exit Date]],EmployeeData[[#This Row],[Join Date]]))</f>
        <v>878</v>
      </c>
      <c r="L75" cm="1">
        <f t="array" aca="1" ref="L75" ca="1">_xlfn.IFS(EmployeeData[[#This Row],[Status]]="Exited",DATEDIF(EmployeeData[[#This Row],[Join Date]], EmployeeData[[#This Row],[Exit Date]], "Y"),EmployeeData[[#This Row],[Status]]="Active",DATEDIF(EmployeeData[[#This Row],[Join Date]], TODAY(), "Y"))</f>
        <v>2</v>
      </c>
      <c r="Q75" t="str" cm="1">
        <f t="array" aca="1" ref="Q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6" spans="1:17" hidden="1" x14ac:dyDescent="0.3">
      <c r="A76">
        <v>1075</v>
      </c>
      <c r="B76" t="s">
        <v>234</v>
      </c>
      <c r="C76" t="s">
        <v>10</v>
      </c>
      <c r="D76" t="s">
        <v>24</v>
      </c>
      <c r="E76">
        <v>54</v>
      </c>
      <c r="F76" t="str" cm="1">
        <f t="array" ref="F76">_xlfn.IFS(EmployeeData[[#This Row],[Age]]&lt;30,"20s",EmployeeData[[#This Row],[Age]]&lt;40,"30s",EmployeeData[[#This Row],[Age]]&lt;50,"40s",EmployeeData[[#This Row],[Age]]&lt;60,"50s",EmployeeData[[#This Row],[Age]]&gt;=60,"60s")</f>
        <v>50s</v>
      </c>
      <c r="G76" s="5">
        <v>45545</v>
      </c>
      <c r="H76" s="5">
        <v>45737</v>
      </c>
      <c r="I76" t="s">
        <v>52</v>
      </c>
      <c r="J76" t="s">
        <v>13</v>
      </c>
      <c r="K76" cm="1">
        <f t="array" aca="1" ref="K76" ca="1">_xlfn.IFS(EmployeeData[[#This Row],[Status]]="Active",_xlfn.DAYS(TODAY(),EmployeeData[[#This Row],[Join Date]]),EmployeeData[[#This Row],[Status]]="Exited",_xlfn.DAYS(EmployeeData[[#This Row],[Exit Date]],EmployeeData[[#This Row],[Join Date]]))</f>
        <v>192</v>
      </c>
      <c r="L76" cm="1">
        <f t="array" aca="1" ref="L76" ca="1">_xlfn.IFS(EmployeeData[[#This Row],[Status]]="Exited",DATEDIF(EmployeeData[[#This Row],[Join Date]], EmployeeData[[#This Row],[Exit Date]], "Y"),EmployeeData[[#This Row],[Status]]="Active",DATEDIF(EmployeeData[[#This Row],[Join Date]], TODAY(), "Y"))</f>
        <v>0</v>
      </c>
      <c r="Q76" t="str" cm="1">
        <f t="array" aca="1" ref="Q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7" spans="1:17" x14ac:dyDescent="0.3">
      <c r="A77">
        <v>1076</v>
      </c>
      <c r="B77" t="s">
        <v>710</v>
      </c>
      <c r="C77" t="s">
        <v>15</v>
      </c>
      <c r="D77" t="s">
        <v>24</v>
      </c>
      <c r="E77">
        <v>38</v>
      </c>
      <c r="F77" t="str" cm="1">
        <f t="array" ref="F77">_xlfn.IFS(EmployeeData[[#This Row],[Age]]&lt;30,"20s",EmployeeData[[#This Row],[Age]]&lt;40,"30s",EmployeeData[[#This Row],[Age]]&lt;50,"40s",EmployeeData[[#This Row],[Age]]&lt;60,"50s",EmployeeData[[#This Row],[Age]]&gt;=60,"60s")</f>
        <v>30s</v>
      </c>
      <c r="G77" s="5">
        <v>43287</v>
      </c>
      <c r="I77" t="s">
        <v>17</v>
      </c>
      <c r="J77" t="s">
        <v>18</v>
      </c>
      <c r="K77" cm="1">
        <f t="array" aca="1" ref="K77" ca="1">_xlfn.IFS(EmployeeData[[#This Row],[Status]]="Active",_xlfn.DAYS(TODAY(),EmployeeData[[#This Row],[Join Date]]),EmployeeData[[#This Row],[Status]]="Exited",_xlfn.DAYS(EmployeeData[[#This Row],[Exit Date]],EmployeeData[[#This Row],[Join Date]]))</f>
        <v>2910</v>
      </c>
      <c r="L77" cm="1">
        <f t="array" aca="1" ref="L77" ca="1">_xlfn.IFS(EmployeeData[[#This Row],[Status]]="Exited",DATEDIF(EmployeeData[[#This Row],[Join Date]], EmployeeData[[#This Row],[Exit Date]], "Y"),EmployeeData[[#This Row],[Status]]="Active",DATEDIF(EmployeeData[[#This Row],[Join Date]], TODAY(), "Y"))</f>
        <v>7</v>
      </c>
      <c r="Q77" t="str" cm="1">
        <f t="array" aca="1" ref="Q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18 days</v>
      </c>
    </row>
    <row r="78" spans="1:17" hidden="1" x14ac:dyDescent="0.3">
      <c r="A78">
        <v>1077</v>
      </c>
      <c r="B78" t="s">
        <v>862</v>
      </c>
      <c r="C78" t="s">
        <v>15</v>
      </c>
      <c r="D78" t="s">
        <v>11</v>
      </c>
      <c r="E78">
        <v>52</v>
      </c>
      <c r="F78" t="str" cm="1">
        <f t="array" ref="F78">_xlfn.IFS(EmployeeData[[#This Row],[Age]]&lt;30,"20s",EmployeeData[[#This Row],[Age]]&lt;40,"30s",EmployeeData[[#This Row],[Age]]&lt;50,"40s",EmployeeData[[#This Row],[Age]]&lt;60,"50s",EmployeeData[[#This Row],[Age]]&gt;=60,"60s")</f>
        <v>50s</v>
      </c>
      <c r="G78" s="5">
        <v>43521</v>
      </c>
      <c r="I78" t="s">
        <v>17</v>
      </c>
      <c r="J78" t="s">
        <v>18</v>
      </c>
      <c r="K78" cm="1">
        <f t="array" aca="1" ref="K78" ca="1">_xlfn.IFS(EmployeeData[[#This Row],[Status]]="Active",_xlfn.DAYS(TODAY(),EmployeeData[[#This Row],[Join Date]]),EmployeeData[[#This Row],[Status]]="Exited",_xlfn.DAYS(EmployeeData[[#This Row],[Exit Date]],EmployeeData[[#This Row],[Join Date]]))</f>
        <v>2676</v>
      </c>
      <c r="L78" cm="1">
        <f t="array" aca="1" ref="L78" ca="1">_xlfn.IFS(EmployeeData[[#This Row],[Status]]="Exited",DATEDIF(EmployeeData[[#This Row],[Join Date]], EmployeeData[[#This Row],[Exit Date]], "Y"),EmployeeData[[#This Row],[Status]]="Active",DATEDIF(EmployeeData[[#This Row],[Join Date]], TODAY(), "Y"))</f>
        <v>7</v>
      </c>
      <c r="Q78" t="str" cm="1">
        <f t="array" aca="1" ref="Q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30 days</v>
      </c>
    </row>
    <row r="79" spans="1:17" hidden="1" x14ac:dyDescent="0.3">
      <c r="A79">
        <v>1078</v>
      </c>
      <c r="B79" t="s">
        <v>254</v>
      </c>
      <c r="C79" t="s">
        <v>10</v>
      </c>
      <c r="D79" t="s">
        <v>11</v>
      </c>
      <c r="E79">
        <v>37</v>
      </c>
      <c r="F79" t="str" cm="1">
        <f t="array" ref="F79">_xlfn.IFS(EmployeeData[[#This Row],[Age]]&lt;30,"20s",EmployeeData[[#This Row],[Age]]&lt;40,"30s",EmployeeData[[#This Row],[Age]]&lt;50,"40s",EmployeeData[[#This Row],[Age]]&lt;60,"50s",EmployeeData[[#This Row],[Age]]&gt;=60,"60s")</f>
        <v>30s</v>
      </c>
      <c r="G79" s="5">
        <v>45057</v>
      </c>
      <c r="H79" s="5">
        <v>45280</v>
      </c>
      <c r="I79" t="s">
        <v>12</v>
      </c>
      <c r="J79" t="s">
        <v>13</v>
      </c>
      <c r="K79" cm="1">
        <f t="array" aca="1" ref="K79" ca="1">_xlfn.IFS(EmployeeData[[#This Row],[Status]]="Active",_xlfn.DAYS(TODAY(),EmployeeData[[#This Row],[Join Date]]),EmployeeData[[#This Row],[Status]]="Exited",_xlfn.DAYS(EmployeeData[[#This Row],[Exit Date]],EmployeeData[[#This Row],[Join Date]]))</f>
        <v>223</v>
      </c>
      <c r="L79" cm="1">
        <f t="array" aca="1" ref="L79" ca="1">_xlfn.IFS(EmployeeData[[#This Row],[Status]]="Exited",DATEDIF(EmployeeData[[#This Row],[Join Date]], EmployeeData[[#This Row],[Exit Date]], "Y"),EmployeeData[[#This Row],[Status]]="Active",DATEDIF(EmployeeData[[#This Row],[Join Date]], TODAY(), "Y"))</f>
        <v>0</v>
      </c>
      <c r="Q79" t="str" cm="1">
        <f t="array" aca="1" ref="Q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80" spans="1:17" hidden="1" x14ac:dyDescent="0.3">
      <c r="A80">
        <v>1079</v>
      </c>
      <c r="B80" t="s">
        <v>372</v>
      </c>
      <c r="C80" t="s">
        <v>15</v>
      </c>
      <c r="D80" t="s">
        <v>16</v>
      </c>
      <c r="E80">
        <v>57</v>
      </c>
      <c r="F80" t="str" cm="1">
        <f t="array" ref="F80">_xlfn.IFS(EmployeeData[[#This Row],[Age]]&lt;30,"20s",EmployeeData[[#This Row],[Age]]&lt;40,"30s",EmployeeData[[#This Row],[Age]]&lt;50,"40s",EmployeeData[[#This Row],[Age]]&lt;60,"50s",EmployeeData[[#This Row],[Age]]&gt;=60,"60s")</f>
        <v>50s</v>
      </c>
      <c r="G80" s="5">
        <v>44345</v>
      </c>
      <c r="H80" s="5">
        <v>44943</v>
      </c>
      <c r="I80" t="s">
        <v>31</v>
      </c>
      <c r="J80" t="s">
        <v>13</v>
      </c>
      <c r="K80" cm="1">
        <f t="array" aca="1" ref="K80" ca="1">_xlfn.IFS(EmployeeData[[#This Row],[Status]]="Active",_xlfn.DAYS(TODAY(),EmployeeData[[#This Row],[Join Date]]),EmployeeData[[#This Row],[Status]]="Exited",_xlfn.DAYS(EmployeeData[[#This Row],[Exit Date]],EmployeeData[[#This Row],[Join Date]]))</f>
        <v>598</v>
      </c>
      <c r="L80" cm="1">
        <f t="array" aca="1" ref="L80" ca="1">_xlfn.IFS(EmployeeData[[#This Row],[Status]]="Exited",DATEDIF(EmployeeData[[#This Row],[Join Date]], EmployeeData[[#This Row],[Exit Date]], "Y"),EmployeeData[[#This Row],[Status]]="Active",DATEDIF(EmployeeData[[#This Row],[Join Date]], TODAY(), "Y"))</f>
        <v>1</v>
      </c>
      <c r="Q80" t="str" cm="1">
        <f t="array" aca="1" ref="Q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1" spans="1:17" hidden="1" x14ac:dyDescent="0.3">
      <c r="A81">
        <v>1080</v>
      </c>
      <c r="B81" t="s">
        <v>448</v>
      </c>
      <c r="C81" t="s">
        <v>20</v>
      </c>
      <c r="D81" t="s">
        <v>24</v>
      </c>
      <c r="E81">
        <v>49</v>
      </c>
      <c r="F81" t="str" cm="1">
        <f t="array" ref="F81">_xlfn.IFS(EmployeeData[[#This Row],[Age]]&lt;30,"20s",EmployeeData[[#This Row],[Age]]&lt;40,"30s",EmployeeData[[#This Row],[Age]]&lt;50,"40s",EmployeeData[[#This Row],[Age]]&lt;60,"50s",EmployeeData[[#This Row],[Age]]&gt;=60,"60s")</f>
        <v>40s</v>
      </c>
      <c r="G81" s="5">
        <v>44318</v>
      </c>
      <c r="I81" t="s">
        <v>17</v>
      </c>
      <c r="J81" t="s">
        <v>18</v>
      </c>
      <c r="K81" cm="1">
        <f t="array" aca="1" ref="K81" ca="1">_xlfn.IFS(EmployeeData[[#This Row],[Status]]="Active",_xlfn.DAYS(TODAY(),EmployeeData[[#This Row],[Join Date]]),EmployeeData[[#This Row],[Status]]="Exited",_xlfn.DAYS(EmployeeData[[#This Row],[Exit Date]],EmployeeData[[#This Row],[Join Date]]))</f>
        <v>1879</v>
      </c>
      <c r="L81" cm="1">
        <f t="array" aca="1" ref="L81" ca="1">_xlfn.IFS(EmployeeData[[#This Row],[Status]]="Exited",DATEDIF(EmployeeData[[#This Row],[Join Date]], EmployeeData[[#This Row],[Exit Date]], "Y"),EmployeeData[[#This Row],[Status]]="Active",DATEDIF(EmployeeData[[#This Row],[Join Date]], TODAY(), "Y"))</f>
        <v>5</v>
      </c>
      <c r="Q81" t="str" cm="1">
        <f t="array" aca="1" ref="Q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22 days</v>
      </c>
    </row>
    <row r="82" spans="1:17" hidden="1" x14ac:dyDescent="0.3">
      <c r="A82">
        <v>1081</v>
      </c>
      <c r="B82" t="s">
        <v>406</v>
      </c>
      <c r="C82" t="s">
        <v>23</v>
      </c>
      <c r="D82" t="s">
        <v>11</v>
      </c>
      <c r="E82">
        <v>34</v>
      </c>
      <c r="F82" t="str" cm="1">
        <f t="array" ref="F82">_xlfn.IFS(EmployeeData[[#This Row],[Age]]&lt;30,"20s",EmployeeData[[#This Row],[Age]]&lt;40,"30s",EmployeeData[[#This Row],[Age]]&lt;50,"40s",EmployeeData[[#This Row],[Age]]&lt;60,"50s",EmployeeData[[#This Row],[Age]]&gt;=60,"60s")</f>
        <v>30s</v>
      </c>
      <c r="G82" s="5">
        <v>45663</v>
      </c>
      <c r="H82" s="5">
        <v>46091</v>
      </c>
      <c r="I82" t="s">
        <v>31</v>
      </c>
      <c r="J82" t="s">
        <v>13</v>
      </c>
      <c r="K82" cm="1">
        <f t="array" aca="1" ref="K82" ca="1">_xlfn.IFS(EmployeeData[[#This Row],[Status]]="Active",_xlfn.DAYS(TODAY(),EmployeeData[[#This Row],[Join Date]]),EmployeeData[[#This Row],[Status]]="Exited",_xlfn.DAYS(EmployeeData[[#This Row],[Exit Date]],EmployeeData[[#This Row],[Join Date]]))</f>
        <v>428</v>
      </c>
      <c r="L82" cm="1">
        <f t="array" aca="1" ref="L82" ca="1">_xlfn.IFS(EmployeeData[[#This Row],[Status]]="Exited",DATEDIF(EmployeeData[[#This Row],[Join Date]], EmployeeData[[#This Row],[Exit Date]], "Y"),EmployeeData[[#This Row],[Status]]="Active",DATEDIF(EmployeeData[[#This Row],[Join Date]], TODAY(), "Y"))</f>
        <v>1</v>
      </c>
      <c r="Q82" t="str" cm="1">
        <f t="array" aca="1" ref="Q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3" spans="1:17" hidden="1" x14ac:dyDescent="0.3">
      <c r="A83">
        <v>1082</v>
      </c>
      <c r="B83" t="s">
        <v>328</v>
      </c>
      <c r="C83" t="s">
        <v>15</v>
      </c>
      <c r="D83" t="s">
        <v>24</v>
      </c>
      <c r="E83">
        <v>51</v>
      </c>
      <c r="F83" t="str" cm="1">
        <f t="array" ref="F83">_xlfn.IFS(EmployeeData[[#This Row],[Age]]&lt;30,"20s",EmployeeData[[#This Row],[Age]]&lt;40,"30s",EmployeeData[[#This Row],[Age]]&lt;50,"40s",EmployeeData[[#This Row],[Age]]&lt;60,"50s",EmployeeData[[#This Row],[Age]]&gt;=60,"60s")</f>
        <v>50s</v>
      </c>
      <c r="G83" s="5">
        <v>44293</v>
      </c>
      <c r="H83" s="5">
        <v>44973</v>
      </c>
      <c r="I83" t="s">
        <v>34</v>
      </c>
      <c r="J83" t="s">
        <v>13</v>
      </c>
      <c r="K83" cm="1">
        <f t="array" aca="1" ref="K83" ca="1">_xlfn.IFS(EmployeeData[[#This Row],[Status]]="Active",_xlfn.DAYS(TODAY(),EmployeeData[[#This Row],[Join Date]]),EmployeeData[[#This Row],[Status]]="Exited",_xlfn.DAYS(EmployeeData[[#This Row],[Exit Date]],EmployeeData[[#This Row],[Join Date]]))</f>
        <v>680</v>
      </c>
      <c r="L83" cm="1">
        <f t="array" aca="1" ref="L83" ca="1">_xlfn.IFS(EmployeeData[[#This Row],[Status]]="Exited",DATEDIF(EmployeeData[[#This Row],[Join Date]], EmployeeData[[#This Row],[Exit Date]], "Y"),EmployeeData[[#This Row],[Status]]="Active",DATEDIF(EmployeeData[[#This Row],[Join Date]], TODAY(), "Y"))</f>
        <v>1</v>
      </c>
      <c r="Q83" t="str" cm="1">
        <f t="array" aca="1" ref="Q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9 days</v>
      </c>
    </row>
    <row r="84" spans="1:17" hidden="1" x14ac:dyDescent="0.3">
      <c r="A84">
        <v>1083</v>
      </c>
      <c r="B84" t="s">
        <v>859</v>
      </c>
      <c r="C84" t="s">
        <v>46</v>
      </c>
      <c r="D84" t="s">
        <v>11</v>
      </c>
      <c r="E84">
        <v>58</v>
      </c>
      <c r="F84" t="str" cm="1">
        <f t="array" ref="F84">_xlfn.IFS(EmployeeData[[#This Row],[Age]]&lt;30,"20s",EmployeeData[[#This Row],[Age]]&lt;40,"30s",EmployeeData[[#This Row],[Age]]&lt;50,"40s",EmployeeData[[#This Row],[Age]]&lt;60,"50s",EmployeeData[[#This Row],[Age]]&gt;=60,"60s")</f>
        <v>50s</v>
      </c>
      <c r="G84" s="5">
        <v>45809</v>
      </c>
      <c r="I84" t="s">
        <v>17</v>
      </c>
      <c r="J84" t="s">
        <v>18</v>
      </c>
      <c r="K84" cm="1">
        <f t="array" aca="1" ref="K84" ca="1">_xlfn.IFS(EmployeeData[[#This Row],[Status]]="Active",_xlfn.DAYS(TODAY(),EmployeeData[[#This Row],[Join Date]]),EmployeeData[[#This Row],[Status]]="Exited",_xlfn.DAYS(EmployeeData[[#This Row],[Exit Date]],EmployeeData[[#This Row],[Join Date]]))</f>
        <v>388</v>
      </c>
      <c r="L84" cm="1">
        <f t="array" aca="1" ref="L84" ca="1">_xlfn.IFS(EmployeeData[[#This Row],[Status]]="Exited",DATEDIF(EmployeeData[[#This Row],[Join Date]], EmployeeData[[#This Row],[Exit Date]], "Y"),EmployeeData[[#This Row],[Status]]="Active",DATEDIF(EmployeeData[[#This Row],[Join Date]], TODAY(), "Y"))</f>
        <v>1</v>
      </c>
      <c r="Q84" t="str" cm="1">
        <f t="array" aca="1" ref="Q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23 days</v>
      </c>
    </row>
    <row r="85" spans="1:17" x14ac:dyDescent="0.3">
      <c r="A85">
        <v>1084</v>
      </c>
      <c r="B85" t="s">
        <v>635</v>
      </c>
      <c r="C85" t="s">
        <v>20</v>
      </c>
      <c r="D85" t="s">
        <v>11</v>
      </c>
      <c r="E85">
        <v>30</v>
      </c>
      <c r="F85" t="str" cm="1">
        <f t="array" ref="F85">_xlfn.IFS(EmployeeData[[#This Row],[Age]]&lt;30,"20s",EmployeeData[[#This Row],[Age]]&lt;40,"30s",EmployeeData[[#This Row],[Age]]&lt;50,"40s",EmployeeData[[#This Row],[Age]]&lt;60,"50s",EmployeeData[[#This Row],[Age]]&gt;=60,"60s")</f>
        <v>30s</v>
      </c>
      <c r="G85" s="5">
        <v>43393</v>
      </c>
      <c r="H85" s="5">
        <v>44742</v>
      </c>
      <c r="I85" t="s">
        <v>28</v>
      </c>
      <c r="J85" t="s">
        <v>13</v>
      </c>
      <c r="K85" cm="1">
        <f t="array" aca="1" ref="K85" ca="1">_xlfn.IFS(EmployeeData[[#This Row],[Status]]="Active",_xlfn.DAYS(TODAY(),EmployeeData[[#This Row],[Join Date]]),EmployeeData[[#This Row],[Status]]="Exited",_xlfn.DAYS(EmployeeData[[#This Row],[Exit Date]],EmployeeData[[#This Row],[Join Date]]))</f>
        <v>1349</v>
      </c>
      <c r="L85" cm="1">
        <f t="array" aca="1" ref="L85" ca="1">_xlfn.IFS(EmployeeData[[#This Row],[Status]]="Exited",DATEDIF(EmployeeData[[#This Row],[Join Date]], EmployeeData[[#This Row],[Exit Date]], "Y"),EmployeeData[[#This Row],[Status]]="Active",DATEDIF(EmployeeData[[#This Row],[Join Date]], TODAY(), "Y"))</f>
        <v>3</v>
      </c>
      <c r="Q85" t="str" cm="1">
        <f t="array" aca="1" ref="Q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86" spans="1:17" hidden="1" x14ac:dyDescent="0.3">
      <c r="A86">
        <v>1085</v>
      </c>
      <c r="B86" t="s">
        <v>304</v>
      </c>
      <c r="C86" t="s">
        <v>20</v>
      </c>
      <c r="D86" t="s">
        <v>11</v>
      </c>
      <c r="E86">
        <v>38</v>
      </c>
      <c r="F86" t="str" cm="1">
        <f t="array" ref="F86">_xlfn.IFS(EmployeeData[[#This Row],[Age]]&lt;30,"20s",EmployeeData[[#This Row],[Age]]&lt;40,"30s",EmployeeData[[#This Row],[Age]]&lt;50,"40s",EmployeeData[[#This Row],[Age]]&lt;60,"50s",EmployeeData[[#This Row],[Age]]&gt;=60,"60s")</f>
        <v>30s</v>
      </c>
      <c r="G86" s="5">
        <v>45150</v>
      </c>
      <c r="I86" t="s">
        <v>17</v>
      </c>
      <c r="J86" t="s">
        <v>18</v>
      </c>
      <c r="K86" cm="1">
        <f t="array" aca="1" ref="K86" ca="1">_xlfn.IFS(EmployeeData[[#This Row],[Status]]="Active",_xlfn.DAYS(TODAY(),EmployeeData[[#This Row],[Join Date]]),EmployeeData[[#This Row],[Status]]="Exited",_xlfn.DAYS(EmployeeData[[#This Row],[Exit Date]],EmployeeData[[#This Row],[Join Date]]))</f>
        <v>1047</v>
      </c>
      <c r="L86" cm="1">
        <f t="array" aca="1" ref="L86" ca="1">_xlfn.IFS(EmployeeData[[#This Row],[Status]]="Exited",DATEDIF(EmployeeData[[#This Row],[Join Date]], EmployeeData[[#This Row],[Exit Date]], "Y"),EmployeeData[[#This Row],[Status]]="Active",DATEDIF(EmployeeData[[#This Row],[Join Date]], TODAY(), "Y"))</f>
        <v>2</v>
      </c>
      <c r="Q86" t="str" cm="1">
        <f t="array" aca="1" ref="Q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12 days</v>
      </c>
    </row>
    <row r="87" spans="1:17" hidden="1" x14ac:dyDescent="0.3">
      <c r="A87">
        <v>1086</v>
      </c>
      <c r="B87" t="s">
        <v>770</v>
      </c>
      <c r="C87" t="s">
        <v>20</v>
      </c>
      <c r="D87" t="s">
        <v>24</v>
      </c>
      <c r="E87">
        <v>22</v>
      </c>
      <c r="F87" t="str" cm="1">
        <f t="array" ref="F87">_xlfn.IFS(EmployeeData[[#This Row],[Age]]&lt;30,"20s",EmployeeData[[#This Row],[Age]]&lt;40,"30s",EmployeeData[[#This Row],[Age]]&lt;50,"40s",EmployeeData[[#This Row],[Age]]&lt;60,"50s",EmployeeData[[#This Row],[Age]]&gt;=60,"60s")</f>
        <v>20s</v>
      </c>
      <c r="G87" s="5">
        <v>43475</v>
      </c>
      <c r="H87" s="5">
        <v>43649</v>
      </c>
      <c r="I87" t="s">
        <v>21</v>
      </c>
      <c r="J87" t="s">
        <v>13</v>
      </c>
      <c r="K87" cm="1">
        <f t="array" aca="1" ref="K87" ca="1">_xlfn.IFS(EmployeeData[[#This Row],[Status]]="Active",_xlfn.DAYS(TODAY(),EmployeeData[[#This Row],[Join Date]]),EmployeeData[[#This Row],[Status]]="Exited",_xlfn.DAYS(EmployeeData[[#This Row],[Exit Date]],EmployeeData[[#This Row],[Join Date]]))</f>
        <v>174</v>
      </c>
      <c r="L87" cm="1">
        <f t="array" aca="1" ref="L87" ca="1">_xlfn.IFS(EmployeeData[[#This Row],[Status]]="Exited",DATEDIF(EmployeeData[[#This Row],[Join Date]], EmployeeData[[#This Row],[Exit Date]], "Y"),EmployeeData[[#This Row],[Status]]="Active",DATEDIF(EmployeeData[[#This Row],[Join Date]], TODAY(), "Y"))</f>
        <v>0</v>
      </c>
      <c r="Q87" t="str" cm="1">
        <f t="array" aca="1" ref="Q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23 days</v>
      </c>
    </row>
    <row r="88" spans="1:17" hidden="1" x14ac:dyDescent="0.3">
      <c r="A88">
        <v>1087</v>
      </c>
      <c r="B88" t="s">
        <v>22</v>
      </c>
      <c r="C88" t="s">
        <v>23</v>
      </c>
      <c r="D88" t="s">
        <v>24</v>
      </c>
      <c r="E88">
        <v>38</v>
      </c>
      <c r="F88" t="str" cm="1">
        <f t="array" ref="F88">_xlfn.IFS(EmployeeData[[#This Row],[Age]]&lt;30,"20s",EmployeeData[[#This Row],[Age]]&lt;40,"30s",EmployeeData[[#This Row],[Age]]&lt;50,"40s",EmployeeData[[#This Row],[Age]]&lt;60,"50s",EmployeeData[[#This Row],[Age]]&gt;=60,"60s")</f>
        <v>30s</v>
      </c>
      <c r="G88" s="5">
        <v>43844</v>
      </c>
      <c r="I88" t="s">
        <v>17</v>
      </c>
      <c r="J88" t="s">
        <v>18</v>
      </c>
      <c r="K88" cm="1">
        <f t="array" aca="1" ref="K88" ca="1">_xlfn.IFS(EmployeeData[[#This Row],[Status]]="Active",_xlfn.DAYS(TODAY(),EmployeeData[[#This Row],[Join Date]]),EmployeeData[[#This Row],[Status]]="Exited",_xlfn.DAYS(EmployeeData[[#This Row],[Exit Date]],EmployeeData[[#This Row],[Join Date]]))</f>
        <v>2353</v>
      </c>
      <c r="L88" cm="1">
        <f t="array" aca="1" ref="L88" ca="1">_xlfn.IFS(EmployeeData[[#This Row],[Status]]="Exited",DATEDIF(EmployeeData[[#This Row],[Join Date]], EmployeeData[[#This Row],[Exit Date]], "Y"),EmployeeData[[#This Row],[Status]]="Active",DATEDIF(EmployeeData[[#This Row],[Join Date]], TODAY(), "Y"))</f>
        <v>6</v>
      </c>
      <c r="Q88" t="str" cm="1">
        <f t="array" aca="1" ref="Q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10 days</v>
      </c>
    </row>
    <row r="89" spans="1:17" hidden="1" x14ac:dyDescent="0.3">
      <c r="A89">
        <v>1088</v>
      </c>
      <c r="B89" t="s">
        <v>676</v>
      </c>
      <c r="C89" t="s">
        <v>46</v>
      </c>
      <c r="D89" t="s">
        <v>24</v>
      </c>
      <c r="E89">
        <v>47</v>
      </c>
      <c r="F89" t="str" cm="1">
        <f t="array" ref="F89">_xlfn.IFS(EmployeeData[[#This Row],[Age]]&lt;30,"20s",EmployeeData[[#This Row],[Age]]&lt;40,"30s",EmployeeData[[#This Row],[Age]]&lt;50,"40s",EmployeeData[[#This Row],[Age]]&lt;60,"50s",EmployeeData[[#This Row],[Age]]&gt;=60,"60s")</f>
        <v>40s</v>
      </c>
      <c r="G89" s="5">
        <v>44466</v>
      </c>
      <c r="H89" s="5">
        <v>44770</v>
      </c>
      <c r="I89" t="s">
        <v>52</v>
      </c>
      <c r="J89" t="s">
        <v>13</v>
      </c>
      <c r="K89" cm="1">
        <f t="array" aca="1" ref="K89" ca="1">_xlfn.IFS(EmployeeData[[#This Row],[Status]]="Active",_xlfn.DAYS(TODAY(),EmployeeData[[#This Row],[Join Date]]),EmployeeData[[#This Row],[Status]]="Exited",_xlfn.DAYS(EmployeeData[[#This Row],[Exit Date]],EmployeeData[[#This Row],[Join Date]]))</f>
        <v>304</v>
      </c>
      <c r="L89" cm="1">
        <f t="array" aca="1" ref="L89" ca="1">_xlfn.IFS(EmployeeData[[#This Row],[Status]]="Exited",DATEDIF(EmployeeData[[#This Row],[Join Date]], EmployeeData[[#This Row],[Exit Date]], "Y"),EmployeeData[[#This Row],[Status]]="Active",DATEDIF(EmployeeData[[#This Row],[Join Date]], TODAY(), "Y"))</f>
        <v>0</v>
      </c>
      <c r="Q89" t="str" cm="1">
        <f t="array" aca="1" ref="Q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90" spans="1:17" x14ac:dyDescent="0.3">
      <c r="A90">
        <v>1089</v>
      </c>
      <c r="B90" t="s">
        <v>98</v>
      </c>
      <c r="C90" t="s">
        <v>10</v>
      </c>
      <c r="D90" t="s">
        <v>11</v>
      </c>
      <c r="E90">
        <v>56</v>
      </c>
      <c r="F90" t="str" cm="1">
        <f t="array" ref="F90">_xlfn.IFS(EmployeeData[[#This Row],[Age]]&lt;30,"20s",EmployeeData[[#This Row],[Age]]&lt;40,"30s",EmployeeData[[#This Row],[Age]]&lt;50,"40s",EmployeeData[[#This Row],[Age]]&lt;60,"50s",EmployeeData[[#This Row],[Age]]&gt;=60,"60s")</f>
        <v>50s</v>
      </c>
      <c r="G90" s="5">
        <v>43251</v>
      </c>
      <c r="I90" t="s">
        <v>17</v>
      </c>
      <c r="J90" t="s">
        <v>18</v>
      </c>
      <c r="K90" cm="1">
        <f t="array" aca="1" ref="K90" ca="1">_xlfn.IFS(EmployeeData[[#This Row],[Status]]="Active",_xlfn.DAYS(TODAY(),EmployeeData[[#This Row],[Join Date]]),EmployeeData[[#This Row],[Status]]="Exited",_xlfn.DAYS(EmployeeData[[#This Row],[Exit Date]],EmployeeData[[#This Row],[Join Date]]))</f>
        <v>2946</v>
      </c>
      <c r="L90" cm="1">
        <f t="array" aca="1" ref="L90" ca="1">_xlfn.IFS(EmployeeData[[#This Row],[Status]]="Exited",DATEDIF(EmployeeData[[#This Row],[Join Date]], EmployeeData[[#This Row],[Exit Date]], "Y"),EmployeeData[[#This Row],[Status]]="Active",DATEDIF(EmployeeData[[#This Row],[Join Date]], TODAY(), "Y"))</f>
        <v>8</v>
      </c>
      <c r="Q90" t="str" cm="1">
        <f t="array" aca="1" ref="Q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24 days</v>
      </c>
    </row>
    <row r="91" spans="1:17" hidden="1" x14ac:dyDescent="0.3">
      <c r="A91">
        <v>1090</v>
      </c>
      <c r="B91" t="s">
        <v>599</v>
      </c>
      <c r="C91" t="s">
        <v>33</v>
      </c>
      <c r="D91" t="s">
        <v>11</v>
      </c>
      <c r="E91">
        <v>21</v>
      </c>
      <c r="F91" t="str" cm="1">
        <f t="array" ref="F91">_xlfn.IFS(EmployeeData[[#This Row],[Age]]&lt;30,"20s",EmployeeData[[#This Row],[Age]]&lt;40,"30s",EmployeeData[[#This Row],[Age]]&lt;50,"40s",EmployeeData[[#This Row],[Age]]&lt;60,"50s",EmployeeData[[#This Row],[Age]]&gt;=60,"60s")</f>
        <v>20s</v>
      </c>
      <c r="G91" s="5">
        <v>45794</v>
      </c>
      <c r="I91" t="s">
        <v>17</v>
      </c>
      <c r="J91" t="s">
        <v>18</v>
      </c>
      <c r="K91" cm="1">
        <f t="array" aca="1" ref="K91" ca="1">_xlfn.IFS(EmployeeData[[#This Row],[Status]]="Active",_xlfn.DAYS(TODAY(),EmployeeData[[#This Row],[Join Date]]),EmployeeData[[#This Row],[Status]]="Exited",_xlfn.DAYS(EmployeeData[[#This Row],[Exit Date]],EmployeeData[[#This Row],[Join Date]]))</f>
        <v>403</v>
      </c>
      <c r="L91" cm="1">
        <f t="array" aca="1" ref="L91" ca="1">_xlfn.IFS(EmployeeData[[#This Row],[Status]]="Exited",DATEDIF(EmployeeData[[#This Row],[Join Date]], EmployeeData[[#This Row],[Exit Date]], "Y"),EmployeeData[[#This Row],[Status]]="Active",DATEDIF(EmployeeData[[#This Row],[Join Date]], TODAY(), "Y"))</f>
        <v>1</v>
      </c>
      <c r="Q91" t="str" cm="1">
        <f t="array" aca="1" ref="Q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7 days</v>
      </c>
    </row>
    <row r="92" spans="1:17" x14ac:dyDescent="0.3">
      <c r="A92">
        <v>1091</v>
      </c>
      <c r="B92" t="s">
        <v>882</v>
      </c>
      <c r="C92" t="s">
        <v>23</v>
      </c>
      <c r="D92" t="s">
        <v>24</v>
      </c>
      <c r="E92">
        <v>49</v>
      </c>
      <c r="F92" t="str" cm="1">
        <f t="array" ref="F92">_xlfn.IFS(EmployeeData[[#This Row],[Age]]&lt;30,"20s",EmployeeData[[#This Row],[Age]]&lt;40,"30s",EmployeeData[[#This Row],[Age]]&lt;50,"40s",EmployeeData[[#This Row],[Age]]&lt;60,"50s",EmployeeData[[#This Row],[Age]]&gt;=60,"60s")</f>
        <v>40s</v>
      </c>
      <c r="G92" s="5">
        <v>43312</v>
      </c>
      <c r="H92" s="5">
        <v>43938</v>
      </c>
      <c r="I92" t="s">
        <v>21</v>
      </c>
      <c r="J92" t="s">
        <v>13</v>
      </c>
      <c r="K92" cm="1">
        <f t="array" aca="1" ref="K92" ca="1">_xlfn.IFS(EmployeeData[[#This Row],[Status]]="Active",_xlfn.DAYS(TODAY(),EmployeeData[[#This Row],[Join Date]]),EmployeeData[[#This Row],[Status]]="Exited",_xlfn.DAYS(EmployeeData[[#This Row],[Exit Date]],EmployeeData[[#This Row],[Join Date]]))</f>
        <v>626</v>
      </c>
      <c r="L92" cm="1">
        <f t="array" aca="1" ref="L92" ca="1">_xlfn.IFS(EmployeeData[[#This Row],[Status]]="Exited",DATEDIF(EmployeeData[[#This Row],[Join Date]], EmployeeData[[#This Row],[Exit Date]], "Y"),EmployeeData[[#This Row],[Status]]="Active",DATEDIF(EmployeeData[[#This Row],[Join Date]], TODAY(), "Y"))</f>
        <v>1</v>
      </c>
      <c r="Q92" t="str" cm="1">
        <f t="array" aca="1" ref="Q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93" spans="1:17" hidden="1" x14ac:dyDescent="0.3">
      <c r="A93">
        <v>1092</v>
      </c>
      <c r="B93" t="s">
        <v>732</v>
      </c>
      <c r="C93" t="s">
        <v>46</v>
      </c>
      <c r="D93" t="s">
        <v>24</v>
      </c>
      <c r="E93">
        <v>36</v>
      </c>
      <c r="F93" t="str" cm="1">
        <f t="array" ref="F93">_xlfn.IFS(EmployeeData[[#This Row],[Age]]&lt;30,"20s",EmployeeData[[#This Row],[Age]]&lt;40,"30s",EmployeeData[[#This Row],[Age]]&lt;50,"40s",EmployeeData[[#This Row],[Age]]&lt;60,"50s",EmployeeData[[#This Row],[Age]]&gt;=60,"60s")</f>
        <v>30s</v>
      </c>
      <c r="G93" s="5">
        <v>43749</v>
      </c>
      <c r="H93" s="5">
        <v>43895</v>
      </c>
      <c r="I93" t="s">
        <v>65</v>
      </c>
      <c r="J93" t="s">
        <v>13</v>
      </c>
      <c r="K93" cm="1">
        <f t="array" aca="1" ref="K93" ca="1">_xlfn.IFS(EmployeeData[[#This Row],[Status]]="Active",_xlfn.DAYS(TODAY(),EmployeeData[[#This Row],[Join Date]]),EmployeeData[[#This Row],[Status]]="Exited",_xlfn.DAYS(EmployeeData[[#This Row],[Exit Date]],EmployeeData[[#This Row],[Join Date]]))</f>
        <v>146</v>
      </c>
      <c r="L93" cm="1">
        <f t="array" aca="1" ref="L93" ca="1">_xlfn.IFS(EmployeeData[[#This Row],[Status]]="Exited",DATEDIF(EmployeeData[[#This Row],[Join Date]], EmployeeData[[#This Row],[Exit Date]], "Y"),EmployeeData[[#This Row],[Status]]="Active",DATEDIF(EmployeeData[[#This Row],[Join Date]], TODAY(), "Y"))</f>
        <v>0</v>
      </c>
      <c r="Q93" t="str" cm="1">
        <f t="array" aca="1" ref="Q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94" spans="1:17" hidden="1" x14ac:dyDescent="0.3">
      <c r="A94">
        <v>1093</v>
      </c>
      <c r="B94" t="s">
        <v>754</v>
      </c>
      <c r="C94" t="s">
        <v>46</v>
      </c>
      <c r="D94" t="s">
        <v>24</v>
      </c>
      <c r="E94">
        <v>28</v>
      </c>
      <c r="F94" t="str" cm="1">
        <f t="array" ref="F94">_xlfn.IFS(EmployeeData[[#This Row],[Age]]&lt;30,"20s",EmployeeData[[#This Row],[Age]]&lt;40,"30s",EmployeeData[[#This Row],[Age]]&lt;50,"40s",EmployeeData[[#This Row],[Age]]&lt;60,"50s",EmployeeData[[#This Row],[Age]]&gt;=60,"60s")</f>
        <v>20s</v>
      </c>
      <c r="G94" s="5">
        <v>45754</v>
      </c>
      <c r="I94" t="s">
        <v>17</v>
      </c>
      <c r="J94" t="s">
        <v>18</v>
      </c>
      <c r="K94" cm="1">
        <f t="array" aca="1" ref="K94" ca="1">_xlfn.IFS(EmployeeData[[#This Row],[Status]]="Active",_xlfn.DAYS(TODAY(),EmployeeData[[#This Row],[Join Date]]),EmployeeData[[#This Row],[Status]]="Exited",_xlfn.DAYS(EmployeeData[[#This Row],[Exit Date]],EmployeeData[[#This Row],[Join Date]]))</f>
        <v>443</v>
      </c>
      <c r="L94" cm="1">
        <f t="array" aca="1" ref="L94" ca="1">_xlfn.IFS(EmployeeData[[#This Row],[Status]]="Exited",DATEDIF(EmployeeData[[#This Row],[Join Date]], EmployeeData[[#This Row],[Exit Date]], "Y"),EmployeeData[[#This Row],[Status]]="Active",DATEDIF(EmployeeData[[#This Row],[Join Date]], TODAY(), "Y"))</f>
        <v>1</v>
      </c>
      <c r="Q94" t="str" cm="1">
        <f t="array" aca="1" ref="Q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17 days</v>
      </c>
    </row>
    <row r="95" spans="1:17" hidden="1" x14ac:dyDescent="0.3">
      <c r="A95">
        <v>1094</v>
      </c>
      <c r="B95" t="s">
        <v>684</v>
      </c>
      <c r="C95" t="s">
        <v>10</v>
      </c>
      <c r="D95" t="s">
        <v>24</v>
      </c>
      <c r="E95">
        <v>51</v>
      </c>
      <c r="F95" t="str" cm="1">
        <f t="array" ref="F95">_xlfn.IFS(EmployeeData[[#This Row],[Age]]&lt;30,"20s",EmployeeData[[#This Row],[Age]]&lt;40,"30s",EmployeeData[[#This Row],[Age]]&lt;50,"40s",EmployeeData[[#This Row],[Age]]&lt;60,"50s",EmployeeData[[#This Row],[Age]]&gt;=60,"60s")</f>
        <v>50s</v>
      </c>
      <c r="G95" s="5">
        <v>44099</v>
      </c>
      <c r="I95" t="s">
        <v>17</v>
      </c>
      <c r="J95" t="s">
        <v>18</v>
      </c>
      <c r="K95" cm="1">
        <f t="array" aca="1" ref="K95" ca="1">_xlfn.IFS(EmployeeData[[#This Row],[Status]]="Active",_xlfn.DAYS(TODAY(),EmployeeData[[#This Row],[Join Date]]),EmployeeData[[#This Row],[Status]]="Exited",_xlfn.DAYS(EmployeeData[[#This Row],[Exit Date]],EmployeeData[[#This Row],[Join Date]]))</f>
        <v>2098</v>
      </c>
      <c r="L95" cm="1">
        <f t="array" aca="1" ref="L95" ca="1">_xlfn.IFS(EmployeeData[[#This Row],[Status]]="Exited",DATEDIF(EmployeeData[[#This Row],[Join Date]], EmployeeData[[#This Row],[Exit Date]], "Y"),EmployeeData[[#This Row],[Status]]="Active",DATEDIF(EmployeeData[[#This Row],[Join Date]], TODAY(), "Y"))</f>
        <v>5</v>
      </c>
      <c r="Q95" t="str" cm="1">
        <f t="array" aca="1" ref="Q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30 days</v>
      </c>
    </row>
    <row r="96" spans="1:17" hidden="1" x14ac:dyDescent="0.3">
      <c r="A96">
        <v>1095</v>
      </c>
      <c r="B96" t="s">
        <v>712</v>
      </c>
      <c r="C96" t="s">
        <v>33</v>
      </c>
      <c r="D96" t="s">
        <v>16</v>
      </c>
      <c r="E96">
        <v>47</v>
      </c>
      <c r="F96" t="str" cm="1">
        <f t="array" ref="F96">_xlfn.IFS(EmployeeData[[#This Row],[Age]]&lt;30,"20s",EmployeeData[[#This Row],[Age]]&lt;40,"30s",EmployeeData[[#This Row],[Age]]&lt;50,"40s",EmployeeData[[#This Row],[Age]]&lt;60,"50s",EmployeeData[[#This Row],[Age]]&gt;=60,"60s")</f>
        <v>40s</v>
      </c>
      <c r="G96" s="5">
        <v>44493</v>
      </c>
      <c r="I96" t="s">
        <v>17</v>
      </c>
      <c r="J96" t="s">
        <v>18</v>
      </c>
      <c r="K96" cm="1">
        <f t="array" aca="1" ref="K96" ca="1">_xlfn.IFS(EmployeeData[[#This Row],[Status]]="Active",_xlfn.DAYS(TODAY(),EmployeeData[[#This Row],[Join Date]]),EmployeeData[[#This Row],[Status]]="Exited",_xlfn.DAYS(EmployeeData[[#This Row],[Exit Date]],EmployeeData[[#This Row],[Join Date]]))</f>
        <v>1704</v>
      </c>
      <c r="L96" cm="1">
        <f t="array" aca="1" ref="L96" ca="1">_xlfn.IFS(EmployeeData[[#This Row],[Status]]="Exited",DATEDIF(EmployeeData[[#This Row],[Join Date]], EmployeeData[[#This Row],[Exit Date]], "Y"),EmployeeData[[#This Row],[Status]]="Active",DATEDIF(EmployeeData[[#This Row],[Join Date]], TODAY(), "Y"))</f>
        <v>4</v>
      </c>
      <c r="Q96" t="str" cm="1">
        <f t="array" aca="1" ref="Q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0 days</v>
      </c>
    </row>
    <row r="97" spans="1:17" hidden="1" x14ac:dyDescent="0.3">
      <c r="A97">
        <v>1096</v>
      </c>
      <c r="B97" t="s">
        <v>950</v>
      </c>
      <c r="C97" t="s">
        <v>10</v>
      </c>
      <c r="D97" t="s">
        <v>16</v>
      </c>
      <c r="E97">
        <v>58</v>
      </c>
      <c r="F97" t="str" cm="1">
        <f t="array" ref="F97">_xlfn.IFS(EmployeeData[[#This Row],[Age]]&lt;30,"20s",EmployeeData[[#This Row],[Age]]&lt;40,"30s",EmployeeData[[#This Row],[Age]]&lt;50,"40s",EmployeeData[[#This Row],[Age]]&lt;60,"50s",EmployeeData[[#This Row],[Age]]&gt;=60,"60s")</f>
        <v>50s</v>
      </c>
      <c r="G97" s="5">
        <v>45476</v>
      </c>
      <c r="I97" t="s">
        <v>17</v>
      </c>
      <c r="J97" t="s">
        <v>18</v>
      </c>
      <c r="K97" cm="1">
        <f t="array" aca="1" ref="K97" ca="1">_xlfn.IFS(EmployeeData[[#This Row],[Status]]="Active",_xlfn.DAYS(TODAY(),EmployeeData[[#This Row],[Join Date]]),EmployeeData[[#This Row],[Status]]="Exited",_xlfn.DAYS(EmployeeData[[#This Row],[Exit Date]],EmployeeData[[#This Row],[Join Date]]))</f>
        <v>721</v>
      </c>
      <c r="L97" cm="1">
        <f t="array" aca="1" ref="L97" ca="1">_xlfn.IFS(EmployeeData[[#This Row],[Status]]="Exited",DATEDIF(EmployeeData[[#This Row],[Join Date]], EmployeeData[[#This Row],[Exit Date]], "Y"),EmployeeData[[#This Row],[Status]]="Active",DATEDIF(EmployeeData[[#This Row],[Join Date]], TODAY(), "Y"))</f>
        <v>1</v>
      </c>
      <c r="Q97" t="str" cm="1">
        <f t="array" aca="1" ref="Q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21 days</v>
      </c>
    </row>
    <row r="98" spans="1:17" hidden="1" x14ac:dyDescent="0.3">
      <c r="A98">
        <v>1097</v>
      </c>
      <c r="B98" t="s">
        <v>775</v>
      </c>
      <c r="C98" t="s">
        <v>10</v>
      </c>
      <c r="D98" t="s">
        <v>24</v>
      </c>
      <c r="E98">
        <v>55</v>
      </c>
      <c r="F98" t="str" cm="1">
        <f t="array" ref="F98">_xlfn.IFS(EmployeeData[[#This Row],[Age]]&lt;30,"20s",EmployeeData[[#This Row],[Age]]&lt;40,"30s",EmployeeData[[#This Row],[Age]]&lt;50,"40s",EmployeeData[[#This Row],[Age]]&lt;60,"50s",EmployeeData[[#This Row],[Age]]&gt;=60,"60s")</f>
        <v>50s</v>
      </c>
      <c r="G98" s="5">
        <v>44646</v>
      </c>
      <c r="I98" t="s">
        <v>17</v>
      </c>
      <c r="J98" t="s">
        <v>18</v>
      </c>
      <c r="K98" cm="1">
        <f t="array" aca="1" ref="K98" ca="1">_xlfn.IFS(EmployeeData[[#This Row],[Status]]="Active",_xlfn.DAYS(TODAY(),EmployeeData[[#This Row],[Join Date]]),EmployeeData[[#This Row],[Status]]="Exited",_xlfn.DAYS(EmployeeData[[#This Row],[Exit Date]],EmployeeData[[#This Row],[Join Date]]))</f>
        <v>1551</v>
      </c>
      <c r="L98" cm="1">
        <f t="array" aca="1" ref="L98" ca="1">_xlfn.IFS(EmployeeData[[#This Row],[Status]]="Exited",DATEDIF(EmployeeData[[#This Row],[Join Date]], EmployeeData[[#This Row],[Exit Date]], "Y"),EmployeeData[[#This Row],[Status]]="Active",DATEDIF(EmployeeData[[#This Row],[Join Date]], TODAY(), "Y"))</f>
        <v>4</v>
      </c>
      <c r="Q98" t="str" cm="1">
        <f t="array" aca="1" ref="Q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29 days</v>
      </c>
    </row>
    <row r="99" spans="1:17" x14ac:dyDescent="0.3">
      <c r="A99">
        <v>1098</v>
      </c>
      <c r="B99" t="s">
        <v>891</v>
      </c>
      <c r="C99" t="s">
        <v>15</v>
      </c>
      <c r="D99" t="s">
        <v>24</v>
      </c>
      <c r="E99">
        <v>47</v>
      </c>
      <c r="F99" t="str" cm="1">
        <f t="array" ref="F99">_xlfn.IFS(EmployeeData[[#This Row],[Age]]&lt;30,"20s",EmployeeData[[#This Row],[Age]]&lt;40,"30s",EmployeeData[[#This Row],[Age]]&lt;50,"40s",EmployeeData[[#This Row],[Age]]&lt;60,"50s",EmployeeData[[#This Row],[Age]]&gt;=60,"60s")</f>
        <v>40s</v>
      </c>
      <c r="G99" s="5">
        <v>43279</v>
      </c>
      <c r="H99" s="5">
        <v>45306</v>
      </c>
      <c r="I99" t="s">
        <v>34</v>
      </c>
      <c r="J99" t="s">
        <v>13</v>
      </c>
      <c r="K99" cm="1">
        <f t="array" aca="1" ref="K99" ca="1">_xlfn.IFS(EmployeeData[[#This Row],[Status]]="Active",_xlfn.DAYS(TODAY(),EmployeeData[[#This Row],[Join Date]]),EmployeeData[[#This Row],[Status]]="Exited",_xlfn.DAYS(EmployeeData[[#This Row],[Exit Date]],EmployeeData[[#This Row],[Join Date]]))</f>
        <v>2027</v>
      </c>
      <c r="L99" cm="1">
        <f t="array" aca="1" ref="L99" ca="1">_xlfn.IFS(EmployeeData[[#This Row],[Status]]="Exited",DATEDIF(EmployeeData[[#This Row],[Join Date]], EmployeeData[[#This Row],[Exit Date]], "Y"),EmployeeData[[#This Row],[Status]]="Active",DATEDIF(EmployeeData[[#This Row],[Join Date]], TODAY(), "Y"))</f>
        <v>5</v>
      </c>
      <c r="Q99" t="str" cm="1">
        <f t="array" aca="1" ref="Q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18 days</v>
      </c>
    </row>
    <row r="100" spans="1:17" hidden="1" x14ac:dyDescent="0.3">
      <c r="A100">
        <v>1099</v>
      </c>
      <c r="B100" t="s">
        <v>1000</v>
      </c>
      <c r="C100" t="s">
        <v>33</v>
      </c>
      <c r="D100" t="s">
        <v>24</v>
      </c>
      <c r="E100">
        <v>30</v>
      </c>
      <c r="F100" t="str" cm="1">
        <f t="array" ref="F100">_xlfn.IFS(EmployeeData[[#This Row],[Age]]&lt;30,"20s",EmployeeData[[#This Row],[Age]]&lt;40,"30s",EmployeeData[[#This Row],[Age]]&lt;50,"40s",EmployeeData[[#This Row],[Age]]&lt;60,"50s",EmployeeData[[#This Row],[Age]]&gt;=60,"60s")</f>
        <v>30s</v>
      </c>
      <c r="G100" s="5">
        <v>45129</v>
      </c>
      <c r="I100" t="s">
        <v>17</v>
      </c>
      <c r="J100" t="s">
        <v>18</v>
      </c>
      <c r="K100" cm="1">
        <f t="array" aca="1" ref="K100" ca="1">_xlfn.IFS(EmployeeData[[#This Row],[Status]]="Active",_xlfn.DAYS(TODAY(),EmployeeData[[#This Row],[Join Date]]),EmployeeData[[#This Row],[Status]]="Exited",_xlfn.DAYS(EmployeeData[[#This Row],[Exit Date]],EmployeeData[[#This Row],[Join Date]]))</f>
        <v>1068</v>
      </c>
      <c r="L100" cm="1">
        <f t="array" aca="1" ref="L100" ca="1">_xlfn.IFS(EmployeeData[[#This Row],[Status]]="Exited",DATEDIF(EmployeeData[[#This Row],[Join Date]], EmployeeData[[#This Row],[Exit Date]], "Y"),EmployeeData[[#This Row],[Status]]="Active",DATEDIF(EmployeeData[[#This Row],[Join Date]], TODAY(), "Y"))</f>
        <v>2</v>
      </c>
      <c r="Q100" t="str" cm="1">
        <f t="array" aca="1" ref="Q1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 days</v>
      </c>
    </row>
    <row r="101" spans="1:17" hidden="1" x14ac:dyDescent="0.3">
      <c r="A101">
        <v>1100</v>
      </c>
      <c r="B101" t="s">
        <v>469</v>
      </c>
      <c r="C101" t="s">
        <v>10</v>
      </c>
      <c r="D101" t="s">
        <v>16</v>
      </c>
      <c r="E101">
        <v>49</v>
      </c>
      <c r="F101" t="str" cm="1">
        <f t="array" ref="F101">_xlfn.IFS(EmployeeData[[#This Row],[Age]]&lt;30,"20s",EmployeeData[[#This Row],[Age]]&lt;40,"30s",EmployeeData[[#This Row],[Age]]&lt;50,"40s",EmployeeData[[#This Row],[Age]]&lt;60,"50s",EmployeeData[[#This Row],[Age]]&gt;=60,"60s")</f>
        <v>40s</v>
      </c>
      <c r="G101" s="5">
        <v>43509</v>
      </c>
      <c r="I101" t="s">
        <v>17</v>
      </c>
      <c r="J101" t="s">
        <v>18</v>
      </c>
      <c r="K101" cm="1">
        <f t="array" aca="1" ref="K101" ca="1">_xlfn.IFS(EmployeeData[[#This Row],[Status]]="Active",_xlfn.DAYS(TODAY(),EmployeeData[[#This Row],[Join Date]]),EmployeeData[[#This Row],[Status]]="Exited",_xlfn.DAYS(EmployeeData[[#This Row],[Exit Date]],EmployeeData[[#This Row],[Join Date]]))</f>
        <v>2688</v>
      </c>
      <c r="L101" cm="1">
        <f t="array" aca="1" ref="L101" ca="1">_xlfn.IFS(EmployeeData[[#This Row],[Status]]="Exited",DATEDIF(EmployeeData[[#This Row],[Join Date]], EmployeeData[[#This Row],[Exit Date]], "Y"),EmployeeData[[#This Row],[Status]]="Active",DATEDIF(EmployeeData[[#This Row],[Join Date]], TODAY(), "Y"))</f>
        <v>7</v>
      </c>
      <c r="Q101" t="str" cm="1">
        <f t="array" aca="1" ref="Q1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11 days</v>
      </c>
    </row>
    <row r="102" spans="1:17" x14ac:dyDescent="0.3">
      <c r="A102">
        <v>1101</v>
      </c>
      <c r="B102" t="s">
        <v>285</v>
      </c>
      <c r="C102" t="s">
        <v>10</v>
      </c>
      <c r="D102" t="s">
        <v>24</v>
      </c>
      <c r="E102">
        <v>30</v>
      </c>
      <c r="F102" t="str" cm="1">
        <f t="array" ref="F102">_xlfn.IFS(EmployeeData[[#This Row],[Age]]&lt;30,"20s",EmployeeData[[#This Row],[Age]]&lt;40,"30s",EmployeeData[[#This Row],[Age]]&lt;50,"40s",EmployeeData[[#This Row],[Age]]&lt;60,"50s",EmployeeData[[#This Row],[Age]]&gt;=60,"60s")</f>
        <v>30s</v>
      </c>
      <c r="G102" s="5">
        <v>43407</v>
      </c>
      <c r="I102" t="s">
        <v>17</v>
      </c>
      <c r="J102" t="s">
        <v>18</v>
      </c>
      <c r="K102" cm="1">
        <f t="array" aca="1" ref="K102" ca="1">_xlfn.IFS(EmployeeData[[#This Row],[Status]]="Active",_xlfn.DAYS(TODAY(),EmployeeData[[#This Row],[Join Date]]),EmployeeData[[#This Row],[Status]]="Exited",_xlfn.DAYS(EmployeeData[[#This Row],[Exit Date]],EmployeeData[[#This Row],[Join Date]]))</f>
        <v>2790</v>
      </c>
      <c r="L102" cm="1">
        <f t="array" aca="1" ref="L102" ca="1">_xlfn.IFS(EmployeeData[[#This Row],[Status]]="Exited",DATEDIF(EmployeeData[[#This Row],[Join Date]], EmployeeData[[#This Row],[Exit Date]], "Y"),EmployeeData[[#This Row],[Status]]="Active",DATEDIF(EmployeeData[[#This Row],[Join Date]], TODAY(), "Y"))</f>
        <v>7</v>
      </c>
      <c r="Q102" t="str" cm="1">
        <f t="array" aca="1" ref="Q1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21 days</v>
      </c>
    </row>
    <row r="103" spans="1:17" hidden="1" x14ac:dyDescent="0.3">
      <c r="A103">
        <v>1102</v>
      </c>
      <c r="B103" t="s">
        <v>425</v>
      </c>
      <c r="C103" t="s">
        <v>10</v>
      </c>
      <c r="D103" t="s">
        <v>16</v>
      </c>
      <c r="E103">
        <v>42</v>
      </c>
      <c r="F103" t="str" cm="1">
        <f t="array" ref="F103">_xlfn.IFS(EmployeeData[[#This Row],[Age]]&lt;30,"20s",EmployeeData[[#This Row],[Age]]&lt;40,"30s",EmployeeData[[#This Row],[Age]]&lt;50,"40s",EmployeeData[[#This Row],[Age]]&lt;60,"50s",EmployeeData[[#This Row],[Age]]&gt;=60,"60s")</f>
        <v>40s</v>
      </c>
      <c r="G103" s="5">
        <v>45863</v>
      </c>
      <c r="I103" t="s">
        <v>17</v>
      </c>
      <c r="J103" t="s">
        <v>18</v>
      </c>
      <c r="K103" cm="1">
        <f t="array" aca="1" ref="K103" ca="1">_xlfn.IFS(EmployeeData[[#This Row],[Status]]="Active",_xlfn.DAYS(TODAY(),EmployeeData[[#This Row],[Join Date]]),EmployeeData[[#This Row],[Status]]="Exited",_xlfn.DAYS(EmployeeData[[#This Row],[Exit Date]],EmployeeData[[#This Row],[Join Date]]))</f>
        <v>334</v>
      </c>
      <c r="L103" cm="1">
        <f t="array" aca="1" ref="L103" ca="1">_xlfn.IFS(EmployeeData[[#This Row],[Status]]="Exited",DATEDIF(EmployeeData[[#This Row],[Join Date]], EmployeeData[[#This Row],[Exit Date]], "Y"),EmployeeData[[#This Row],[Status]]="Active",DATEDIF(EmployeeData[[#This Row],[Join Date]], TODAY(), "Y"))</f>
        <v>0</v>
      </c>
      <c r="Q103" t="str" cm="1">
        <f t="array" aca="1" ref="Q1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30 days</v>
      </c>
    </row>
    <row r="104" spans="1:17" x14ac:dyDescent="0.3">
      <c r="A104">
        <v>1103</v>
      </c>
      <c r="B104" t="s">
        <v>197</v>
      </c>
      <c r="C104" t="s">
        <v>33</v>
      </c>
      <c r="D104" t="s">
        <v>24</v>
      </c>
      <c r="E104">
        <v>55</v>
      </c>
      <c r="F104" t="str" cm="1">
        <f t="array" ref="F104">_xlfn.IFS(EmployeeData[[#This Row],[Age]]&lt;30,"20s",EmployeeData[[#This Row],[Age]]&lt;40,"30s",EmployeeData[[#This Row],[Age]]&lt;50,"40s",EmployeeData[[#This Row],[Age]]&lt;60,"50s",EmployeeData[[#This Row],[Age]]&gt;=60,"60s")</f>
        <v>50s</v>
      </c>
      <c r="G104" s="5">
        <v>43248</v>
      </c>
      <c r="I104" t="s">
        <v>17</v>
      </c>
      <c r="J104" t="s">
        <v>18</v>
      </c>
      <c r="K104" cm="1">
        <f t="array" aca="1" ref="K104" ca="1">_xlfn.IFS(EmployeeData[[#This Row],[Status]]="Active",_xlfn.DAYS(TODAY(),EmployeeData[[#This Row],[Join Date]]),EmployeeData[[#This Row],[Status]]="Exited",_xlfn.DAYS(EmployeeData[[#This Row],[Exit Date]],EmployeeData[[#This Row],[Join Date]]))</f>
        <v>2949</v>
      </c>
      <c r="L104" cm="1">
        <f t="array" aca="1" ref="L104" ca="1">_xlfn.IFS(EmployeeData[[#This Row],[Status]]="Exited",DATEDIF(EmployeeData[[#This Row],[Join Date]], EmployeeData[[#This Row],[Exit Date]], "Y"),EmployeeData[[#This Row],[Status]]="Active",DATEDIF(EmployeeData[[#This Row],[Join Date]], TODAY(), "Y"))</f>
        <v>8</v>
      </c>
      <c r="Q104" t="str" cm="1">
        <f t="array" aca="1" ref="Q1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27 days</v>
      </c>
    </row>
    <row r="105" spans="1:17" hidden="1" x14ac:dyDescent="0.3">
      <c r="A105">
        <v>1104</v>
      </c>
      <c r="B105" t="s">
        <v>637</v>
      </c>
      <c r="C105" t="s">
        <v>10</v>
      </c>
      <c r="D105" t="s">
        <v>16</v>
      </c>
      <c r="E105">
        <v>26</v>
      </c>
      <c r="F105" t="str" cm="1">
        <f t="array" ref="F105">_xlfn.IFS(EmployeeData[[#This Row],[Age]]&lt;30,"20s",EmployeeData[[#This Row],[Age]]&lt;40,"30s",EmployeeData[[#This Row],[Age]]&lt;50,"40s",EmployeeData[[#This Row],[Age]]&lt;60,"50s",EmployeeData[[#This Row],[Age]]&gt;=60,"60s")</f>
        <v>20s</v>
      </c>
      <c r="G105" s="5">
        <v>44878</v>
      </c>
      <c r="I105" t="s">
        <v>17</v>
      </c>
      <c r="J105" t="s">
        <v>18</v>
      </c>
      <c r="K105" cm="1">
        <f t="array" aca="1" ref="K105" ca="1">_xlfn.IFS(EmployeeData[[#This Row],[Status]]="Active",_xlfn.DAYS(TODAY(),EmployeeData[[#This Row],[Join Date]]),EmployeeData[[#This Row],[Status]]="Exited",_xlfn.DAYS(EmployeeData[[#This Row],[Exit Date]],EmployeeData[[#This Row],[Join Date]]))</f>
        <v>1319</v>
      </c>
      <c r="L105" cm="1">
        <f t="array" aca="1" ref="L105" ca="1">_xlfn.IFS(EmployeeData[[#This Row],[Status]]="Exited",DATEDIF(EmployeeData[[#This Row],[Join Date]], EmployeeData[[#This Row],[Exit Date]], "Y"),EmployeeData[[#This Row],[Status]]="Active",DATEDIF(EmployeeData[[#This Row],[Join Date]], TODAY(), "Y"))</f>
        <v>3</v>
      </c>
      <c r="Q105" t="str" cm="1">
        <f t="array" aca="1" ref="Q1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11 days</v>
      </c>
    </row>
    <row r="106" spans="1:17" hidden="1" x14ac:dyDescent="0.3">
      <c r="A106">
        <v>1105</v>
      </c>
      <c r="B106" t="s">
        <v>1054</v>
      </c>
      <c r="C106" t="s">
        <v>46</v>
      </c>
      <c r="D106" t="s">
        <v>16</v>
      </c>
      <c r="E106">
        <v>24</v>
      </c>
      <c r="F106" t="str" cm="1">
        <f t="array" ref="F106">_xlfn.IFS(EmployeeData[[#This Row],[Age]]&lt;30,"20s",EmployeeData[[#This Row],[Age]]&lt;40,"30s",EmployeeData[[#This Row],[Age]]&lt;50,"40s",EmployeeData[[#This Row],[Age]]&lt;60,"50s",EmployeeData[[#This Row],[Age]]&gt;=60,"60s")</f>
        <v>20s</v>
      </c>
      <c r="G106" s="5">
        <v>44302</v>
      </c>
      <c r="H106" s="5">
        <v>45274</v>
      </c>
      <c r="I106" t="s">
        <v>31</v>
      </c>
      <c r="J106" t="s">
        <v>13</v>
      </c>
      <c r="K106" cm="1">
        <f t="array" aca="1" ref="K106" ca="1">_xlfn.IFS(EmployeeData[[#This Row],[Status]]="Active",_xlfn.DAYS(TODAY(),EmployeeData[[#This Row],[Join Date]]),EmployeeData[[#This Row],[Status]]="Exited",_xlfn.DAYS(EmployeeData[[#This Row],[Exit Date]],EmployeeData[[#This Row],[Join Date]]))</f>
        <v>972</v>
      </c>
      <c r="L106" cm="1">
        <f t="array" aca="1" ref="L106" ca="1">_xlfn.IFS(EmployeeData[[#This Row],[Status]]="Exited",DATEDIF(EmployeeData[[#This Row],[Join Date]], EmployeeData[[#This Row],[Exit Date]], "Y"),EmployeeData[[#This Row],[Status]]="Active",DATEDIF(EmployeeData[[#This Row],[Join Date]], TODAY(), "Y"))</f>
        <v>2</v>
      </c>
      <c r="Q106" t="str" cm="1">
        <f t="array" aca="1" ref="Q1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107" spans="1:17" hidden="1" x14ac:dyDescent="0.3">
      <c r="A107">
        <v>1106</v>
      </c>
      <c r="B107" t="s">
        <v>390</v>
      </c>
      <c r="C107" t="s">
        <v>15</v>
      </c>
      <c r="D107" t="s">
        <v>16</v>
      </c>
      <c r="E107">
        <v>45</v>
      </c>
      <c r="F107" t="str" cm="1">
        <f t="array" ref="F107">_xlfn.IFS(EmployeeData[[#This Row],[Age]]&lt;30,"20s",EmployeeData[[#This Row],[Age]]&lt;40,"30s",EmployeeData[[#This Row],[Age]]&lt;50,"40s",EmployeeData[[#This Row],[Age]]&lt;60,"50s",EmployeeData[[#This Row],[Age]]&gt;=60,"60s")</f>
        <v>40s</v>
      </c>
      <c r="G107" s="5">
        <v>45639</v>
      </c>
      <c r="I107" t="s">
        <v>17</v>
      </c>
      <c r="J107" t="s">
        <v>18</v>
      </c>
      <c r="K107" cm="1">
        <f t="array" aca="1" ref="K107" ca="1">_xlfn.IFS(EmployeeData[[#This Row],[Status]]="Active",_xlfn.DAYS(TODAY(),EmployeeData[[#This Row],[Join Date]]),EmployeeData[[#This Row],[Status]]="Exited",_xlfn.DAYS(EmployeeData[[#This Row],[Exit Date]],EmployeeData[[#This Row],[Join Date]]))</f>
        <v>558</v>
      </c>
      <c r="L107" cm="1">
        <f t="array" aca="1" ref="L107" ca="1">_xlfn.IFS(EmployeeData[[#This Row],[Status]]="Exited",DATEDIF(EmployeeData[[#This Row],[Join Date]], EmployeeData[[#This Row],[Exit Date]], "Y"),EmployeeData[[#This Row],[Status]]="Active",DATEDIF(EmployeeData[[#This Row],[Join Date]], TODAY(), "Y"))</f>
        <v>1</v>
      </c>
      <c r="Q107" t="str" cm="1">
        <f t="array" aca="1" ref="Q1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11 days</v>
      </c>
    </row>
    <row r="108" spans="1:17" hidden="1" x14ac:dyDescent="0.3">
      <c r="A108">
        <v>1107</v>
      </c>
      <c r="B108" t="s">
        <v>849</v>
      </c>
      <c r="C108" t="s">
        <v>23</v>
      </c>
      <c r="D108" t="s">
        <v>24</v>
      </c>
      <c r="E108">
        <v>21</v>
      </c>
      <c r="F108" t="str" cm="1">
        <f t="array" ref="F108">_xlfn.IFS(EmployeeData[[#This Row],[Age]]&lt;30,"20s",EmployeeData[[#This Row],[Age]]&lt;40,"30s",EmployeeData[[#This Row],[Age]]&lt;50,"40s",EmployeeData[[#This Row],[Age]]&lt;60,"50s",EmployeeData[[#This Row],[Age]]&gt;=60,"60s")</f>
        <v>20s</v>
      </c>
      <c r="G108" s="5">
        <v>45006</v>
      </c>
      <c r="I108" t="s">
        <v>17</v>
      </c>
      <c r="J108" t="s">
        <v>18</v>
      </c>
      <c r="K108" cm="1">
        <f t="array" aca="1" ref="K108" ca="1">_xlfn.IFS(EmployeeData[[#This Row],[Status]]="Active",_xlfn.DAYS(TODAY(),EmployeeData[[#This Row],[Join Date]]),EmployeeData[[#This Row],[Status]]="Exited",_xlfn.DAYS(EmployeeData[[#This Row],[Exit Date]],EmployeeData[[#This Row],[Join Date]]))</f>
        <v>1191</v>
      </c>
      <c r="L108" cm="1">
        <f t="array" aca="1" ref="L108" ca="1">_xlfn.IFS(EmployeeData[[#This Row],[Status]]="Exited",DATEDIF(EmployeeData[[#This Row],[Join Date]], EmployeeData[[#This Row],[Exit Date]], "Y"),EmployeeData[[#This Row],[Status]]="Active",DATEDIF(EmployeeData[[#This Row],[Join Date]], TODAY(), "Y"))</f>
        <v>3</v>
      </c>
      <c r="Q108" t="str" cm="1">
        <f t="array" aca="1" ref="Q1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3 days</v>
      </c>
    </row>
    <row r="109" spans="1:17" hidden="1" x14ac:dyDescent="0.3">
      <c r="A109">
        <v>1108</v>
      </c>
      <c r="B109" t="s">
        <v>94</v>
      </c>
      <c r="C109" t="s">
        <v>46</v>
      </c>
      <c r="D109" t="s">
        <v>16</v>
      </c>
      <c r="E109">
        <v>48</v>
      </c>
      <c r="F109" t="str" cm="1">
        <f t="array" ref="F109">_xlfn.IFS(EmployeeData[[#This Row],[Age]]&lt;30,"20s",EmployeeData[[#This Row],[Age]]&lt;40,"30s",EmployeeData[[#This Row],[Age]]&lt;50,"40s",EmployeeData[[#This Row],[Age]]&lt;60,"50s",EmployeeData[[#This Row],[Age]]&gt;=60,"60s")</f>
        <v>40s</v>
      </c>
      <c r="G109" s="5">
        <v>45928</v>
      </c>
      <c r="H109" s="5">
        <v>46095</v>
      </c>
      <c r="I109" t="s">
        <v>31</v>
      </c>
      <c r="J109" t="s">
        <v>13</v>
      </c>
      <c r="K109" cm="1">
        <f t="array" aca="1" ref="K109" ca="1">_xlfn.IFS(EmployeeData[[#This Row],[Status]]="Active",_xlfn.DAYS(TODAY(),EmployeeData[[#This Row],[Join Date]]),EmployeeData[[#This Row],[Status]]="Exited",_xlfn.DAYS(EmployeeData[[#This Row],[Exit Date]],EmployeeData[[#This Row],[Join Date]]))</f>
        <v>167</v>
      </c>
      <c r="L109" cm="1">
        <f t="array" aca="1" ref="L109" ca="1">_xlfn.IFS(EmployeeData[[#This Row],[Status]]="Exited",DATEDIF(EmployeeData[[#This Row],[Join Date]], EmployeeData[[#This Row],[Exit Date]], "Y"),EmployeeData[[#This Row],[Status]]="Active",DATEDIF(EmployeeData[[#This Row],[Join Date]], TODAY(), "Y"))</f>
        <v>0</v>
      </c>
      <c r="Q109" t="str" cm="1">
        <f t="array" aca="1" ref="Q1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110" spans="1:17" x14ac:dyDescent="0.3">
      <c r="A110">
        <v>1109</v>
      </c>
      <c r="B110" t="s">
        <v>1049</v>
      </c>
      <c r="C110" t="s">
        <v>23</v>
      </c>
      <c r="D110" t="s">
        <v>24</v>
      </c>
      <c r="E110">
        <v>39</v>
      </c>
      <c r="F110" t="str" cm="1">
        <f t="array" ref="F110">_xlfn.IFS(EmployeeData[[#This Row],[Age]]&lt;30,"20s",EmployeeData[[#This Row],[Age]]&lt;40,"30s",EmployeeData[[#This Row],[Age]]&lt;50,"40s",EmployeeData[[#This Row],[Age]]&lt;60,"50s",EmployeeData[[#This Row],[Age]]&gt;=60,"60s")</f>
        <v>30s</v>
      </c>
      <c r="G110" s="5">
        <v>43190</v>
      </c>
      <c r="I110" t="s">
        <v>17</v>
      </c>
      <c r="J110" t="s">
        <v>18</v>
      </c>
      <c r="K110" cm="1">
        <f t="array" aca="1" ref="K110" ca="1">_xlfn.IFS(EmployeeData[[#This Row],[Status]]="Active",_xlfn.DAYS(TODAY(),EmployeeData[[#This Row],[Join Date]]),EmployeeData[[#This Row],[Status]]="Exited",_xlfn.DAYS(EmployeeData[[#This Row],[Exit Date]],EmployeeData[[#This Row],[Join Date]]))</f>
        <v>3007</v>
      </c>
      <c r="L110" cm="1">
        <f t="array" aca="1" ref="L110" ca="1">_xlfn.IFS(EmployeeData[[#This Row],[Status]]="Exited",DATEDIF(EmployeeData[[#This Row],[Join Date]], EmployeeData[[#This Row],[Exit Date]], "Y"),EmployeeData[[#This Row],[Status]]="Active",DATEDIF(EmployeeData[[#This Row],[Join Date]], TODAY(), "Y"))</f>
        <v>8</v>
      </c>
      <c r="Q110" t="str" cm="1">
        <f t="array" aca="1" ref="Q1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24 days</v>
      </c>
    </row>
    <row r="111" spans="1:17" hidden="1" x14ac:dyDescent="0.3">
      <c r="A111">
        <v>1110</v>
      </c>
      <c r="B111" t="s">
        <v>218</v>
      </c>
      <c r="C111" t="s">
        <v>46</v>
      </c>
      <c r="D111" t="s">
        <v>11</v>
      </c>
      <c r="E111">
        <v>39</v>
      </c>
      <c r="F111" t="str" cm="1">
        <f t="array" ref="F111">_xlfn.IFS(EmployeeData[[#This Row],[Age]]&lt;30,"20s",EmployeeData[[#This Row],[Age]]&lt;40,"30s",EmployeeData[[#This Row],[Age]]&lt;50,"40s",EmployeeData[[#This Row],[Age]]&lt;60,"50s",EmployeeData[[#This Row],[Age]]&gt;=60,"60s")</f>
        <v>30s</v>
      </c>
      <c r="G111" s="5">
        <v>44043</v>
      </c>
      <c r="I111" t="s">
        <v>17</v>
      </c>
      <c r="J111" t="s">
        <v>18</v>
      </c>
      <c r="K111" cm="1">
        <f t="array" aca="1" ref="K111" ca="1">_xlfn.IFS(EmployeeData[[#This Row],[Status]]="Active",_xlfn.DAYS(TODAY(),EmployeeData[[#This Row],[Join Date]]),EmployeeData[[#This Row],[Status]]="Exited",_xlfn.DAYS(EmployeeData[[#This Row],[Exit Date]],EmployeeData[[#This Row],[Join Date]]))</f>
        <v>2154</v>
      </c>
      <c r="L111" cm="1">
        <f t="array" aca="1" ref="L111" ca="1">_xlfn.IFS(EmployeeData[[#This Row],[Status]]="Exited",DATEDIF(EmployeeData[[#This Row],[Join Date]], EmployeeData[[#This Row],[Exit Date]], "Y"),EmployeeData[[#This Row],[Status]]="Active",DATEDIF(EmployeeData[[#This Row],[Join Date]], TODAY(), "Y"))</f>
        <v>5</v>
      </c>
      <c r="Q111" t="str" cm="1">
        <f t="array" aca="1" ref="Q1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24 days</v>
      </c>
    </row>
    <row r="112" spans="1:17" hidden="1" x14ac:dyDescent="0.3">
      <c r="A112">
        <v>1111</v>
      </c>
      <c r="B112" t="s">
        <v>868</v>
      </c>
      <c r="C112" t="s">
        <v>23</v>
      </c>
      <c r="D112" t="s">
        <v>24</v>
      </c>
      <c r="E112">
        <v>29</v>
      </c>
      <c r="F112" t="str" cm="1">
        <f t="array" ref="F112">_xlfn.IFS(EmployeeData[[#This Row],[Age]]&lt;30,"20s",EmployeeData[[#This Row],[Age]]&lt;40,"30s",EmployeeData[[#This Row],[Age]]&lt;50,"40s",EmployeeData[[#This Row],[Age]]&lt;60,"50s",EmployeeData[[#This Row],[Age]]&gt;=60,"60s")</f>
        <v>20s</v>
      </c>
      <c r="G112" s="5">
        <v>45674</v>
      </c>
      <c r="H112" s="5">
        <v>46085</v>
      </c>
      <c r="I112" t="s">
        <v>28</v>
      </c>
      <c r="J112" t="s">
        <v>13</v>
      </c>
      <c r="K112" cm="1">
        <f t="array" aca="1" ref="K112" ca="1">_xlfn.IFS(EmployeeData[[#This Row],[Status]]="Active",_xlfn.DAYS(TODAY(),EmployeeData[[#This Row],[Join Date]]),EmployeeData[[#This Row],[Status]]="Exited",_xlfn.DAYS(EmployeeData[[#This Row],[Exit Date]],EmployeeData[[#This Row],[Join Date]]))</f>
        <v>411</v>
      </c>
      <c r="L112" cm="1">
        <f t="array" aca="1" ref="L112" ca="1">_xlfn.IFS(EmployeeData[[#This Row],[Status]]="Exited",DATEDIF(EmployeeData[[#This Row],[Join Date]], EmployeeData[[#This Row],[Exit Date]], "Y"),EmployeeData[[#This Row],[Status]]="Active",DATEDIF(EmployeeData[[#This Row],[Join Date]], TODAY(), "Y"))</f>
        <v>1</v>
      </c>
      <c r="Q112" t="str" cm="1">
        <f t="array" aca="1" ref="Q1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113" spans="1:17" hidden="1" x14ac:dyDescent="0.3">
      <c r="A113">
        <v>1112</v>
      </c>
      <c r="B113" t="s">
        <v>610</v>
      </c>
      <c r="C113" t="s">
        <v>20</v>
      </c>
      <c r="D113" t="s">
        <v>16</v>
      </c>
      <c r="E113">
        <v>39</v>
      </c>
      <c r="F113" t="str" cm="1">
        <f t="array" ref="F113">_xlfn.IFS(EmployeeData[[#This Row],[Age]]&lt;30,"20s",EmployeeData[[#This Row],[Age]]&lt;40,"30s",EmployeeData[[#This Row],[Age]]&lt;50,"40s",EmployeeData[[#This Row],[Age]]&lt;60,"50s",EmployeeData[[#This Row],[Age]]&gt;=60,"60s")</f>
        <v>30s</v>
      </c>
      <c r="G113" s="5">
        <v>44439</v>
      </c>
      <c r="I113" t="s">
        <v>17</v>
      </c>
      <c r="J113" t="s">
        <v>18</v>
      </c>
      <c r="K113" cm="1">
        <f t="array" aca="1" ref="K113" ca="1">_xlfn.IFS(EmployeeData[[#This Row],[Status]]="Active",_xlfn.DAYS(TODAY(),EmployeeData[[#This Row],[Join Date]]),EmployeeData[[#This Row],[Status]]="Exited",_xlfn.DAYS(EmployeeData[[#This Row],[Exit Date]],EmployeeData[[#This Row],[Join Date]]))</f>
        <v>1758</v>
      </c>
      <c r="L113" cm="1">
        <f t="array" aca="1" ref="L113" ca="1">_xlfn.IFS(EmployeeData[[#This Row],[Status]]="Exited",DATEDIF(EmployeeData[[#This Row],[Join Date]], EmployeeData[[#This Row],[Exit Date]], "Y"),EmployeeData[[#This Row],[Status]]="Active",DATEDIF(EmployeeData[[#This Row],[Join Date]], TODAY(), "Y"))</f>
        <v>4</v>
      </c>
      <c r="Q113" t="str" cm="1">
        <f t="array" aca="1" ref="Q1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24 days</v>
      </c>
    </row>
    <row r="114" spans="1:17" hidden="1" x14ac:dyDescent="0.3">
      <c r="A114">
        <v>1113</v>
      </c>
      <c r="B114" t="s">
        <v>557</v>
      </c>
      <c r="C114" t="s">
        <v>23</v>
      </c>
      <c r="D114" t="s">
        <v>11</v>
      </c>
      <c r="E114">
        <v>31</v>
      </c>
      <c r="F114" t="str" cm="1">
        <f t="array" ref="F114">_xlfn.IFS(EmployeeData[[#This Row],[Age]]&lt;30,"20s",EmployeeData[[#This Row],[Age]]&lt;40,"30s",EmployeeData[[#This Row],[Age]]&lt;50,"40s",EmployeeData[[#This Row],[Age]]&lt;60,"50s",EmployeeData[[#This Row],[Age]]&gt;=60,"60s")</f>
        <v>30s</v>
      </c>
      <c r="G114" s="5">
        <v>44153</v>
      </c>
      <c r="I114" t="s">
        <v>17</v>
      </c>
      <c r="J114" t="s">
        <v>18</v>
      </c>
      <c r="K114" cm="1">
        <f t="array" aca="1" ref="K114" ca="1">_xlfn.IFS(EmployeeData[[#This Row],[Status]]="Active",_xlfn.DAYS(TODAY(),EmployeeData[[#This Row],[Join Date]]),EmployeeData[[#This Row],[Status]]="Exited",_xlfn.DAYS(EmployeeData[[#This Row],[Exit Date]],EmployeeData[[#This Row],[Join Date]]))</f>
        <v>2044</v>
      </c>
      <c r="L114" cm="1">
        <f t="array" aca="1" ref="L114" ca="1">_xlfn.IFS(EmployeeData[[#This Row],[Status]]="Exited",DATEDIF(EmployeeData[[#This Row],[Join Date]], EmployeeData[[#This Row],[Exit Date]], "Y"),EmployeeData[[#This Row],[Status]]="Active",DATEDIF(EmployeeData[[#This Row],[Join Date]], TODAY(), "Y"))</f>
        <v>5</v>
      </c>
      <c r="Q114" t="str" cm="1">
        <f t="array" aca="1" ref="Q1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6 days</v>
      </c>
    </row>
    <row r="115" spans="1:17" hidden="1" x14ac:dyDescent="0.3">
      <c r="A115">
        <v>1114</v>
      </c>
      <c r="B115" t="s">
        <v>233</v>
      </c>
      <c r="C115" t="s">
        <v>10</v>
      </c>
      <c r="D115" t="s">
        <v>16</v>
      </c>
      <c r="E115">
        <v>25</v>
      </c>
      <c r="F115" t="str" cm="1">
        <f t="array" ref="F115">_xlfn.IFS(EmployeeData[[#This Row],[Age]]&lt;30,"20s",EmployeeData[[#This Row],[Age]]&lt;40,"30s",EmployeeData[[#This Row],[Age]]&lt;50,"40s",EmployeeData[[#This Row],[Age]]&lt;60,"50s",EmployeeData[[#This Row],[Age]]&gt;=60,"60s")</f>
        <v>20s</v>
      </c>
      <c r="G115" s="5">
        <v>43677</v>
      </c>
      <c r="I115" t="s">
        <v>17</v>
      </c>
      <c r="J115" t="s">
        <v>18</v>
      </c>
      <c r="K115" cm="1">
        <f t="array" aca="1" ref="K115" ca="1">_xlfn.IFS(EmployeeData[[#This Row],[Status]]="Active",_xlfn.DAYS(TODAY(),EmployeeData[[#This Row],[Join Date]]),EmployeeData[[#This Row],[Status]]="Exited",_xlfn.DAYS(EmployeeData[[#This Row],[Exit Date]],EmployeeData[[#This Row],[Join Date]]))</f>
        <v>2520</v>
      </c>
      <c r="L115" cm="1">
        <f t="array" aca="1" ref="L115" ca="1">_xlfn.IFS(EmployeeData[[#This Row],[Status]]="Exited",DATEDIF(EmployeeData[[#This Row],[Join Date]], EmployeeData[[#This Row],[Exit Date]], "Y"),EmployeeData[[#This Row],[Status]]="Active",DATEDIF(EmployeeData[[#This Row],[Join Date]], TODAY(), "Y"))</f>
        <v>6</v>
      </c>
      <c r="Q115" t="str" cm="1">
        <f t="array" aca="1" ref="Q1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24 days</v>
      </c>
    </row>
    <row r="116" spans="1:17" hidden="1" x14ac:dyDescent="0.3">
      <c r="A116">
        <v>1115</v>
      </c>
      <c r="B116" t="s">
        <v>1069</v>
      </c>
      <c r="C116" t="s">
        <v>46</v>
      </c>
      <c r="D116" t="s">
        <v>11</v>
      </c>
      <c r="E116">
        <v>56</v>
      </c>
      <c r="F116" t="str" cm="1">
        <f t="array" ref="F116">_xlfn.IFS(EmployeeData[[#This Row],[Age]]&lt;30,"20s",EmployeeData[[#This Row],[Age]]&lt;40,"30s",EmployeeData[[#This Row],[Age]]&lt;50,"40s",EmployeeData[[#This Row],[Age]]&lt;60,"50s",EmployeeData[[#This Row],[Age]]&gt;=60,"60s")</f>
        <v>50s</v>
      </c>
      <c r="G116" s="5">
        <v>44599</v>
      </c>
      <c r="H116" s="5">
        <v>45497</v>
      </c>
      <c r="I116" t="s">
        <v>31</v>
      </c>
      <c r="J116" t="s">
        <v>13</v>
      </c>
      <c r="K116" cm="1">
        <f t="array" aca="1" ref="K116" ca="1">_xlfn.IFS(EmployeeData[[#This Row],[Status]]="Active",_xlfn.DAYS(TODAY(),EmployeeData[[#This Row],[Join Date]]),EmployeeData[[#This Row],[Status]]="Exited",_xlfn.DAYS(EmployeeData[[#This Row],[Exit Date]],EmployeeData[[#This Row],[Join Date]]))</f>
        <v>898</v>
      </c>
      <c r="L116" cm="1">
        <f t="array" aca="1" ref="L116" ca="1">_xlfn.IFS(EmployeeData[[#This Row],[Status]]="Exited",DATEDIF(EmployeeData[[#This Row],[Join Date]], EmployeeData[[#This Row],[Exit Date]], "Y"),EmployeeData[[#This Row],[Status]]="Active",DATEDIF(EmployeeData[[#This Row],[Join Date]], TODAY(), "Y"))</f>
        <v>2</v>
      </c>
      <c r="Q116" t="str" cm="1">
        <f t="array" aca="1" ref="Q1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17 days</v>
      </c>
    </row>
    <row r="117" spans="1:17" hidden="1" x14ac:dyDescent="0.3">
      <c r="A117">
        <v>1116</v>
      </c>
      <c r="B117" t="s">
        <v>330</v>
      </c>
      <c r="C117" t="s">
        <v>23</v>
      </c>
      <c r="D117" t="s">
        <v>11</v>
      </c>
      <c r="E117">
        <v>44</v>
      </c>
      <c r="F117" t="str" cm="1">
        <f t="array" ref="F117">_xlfn.IFS(EmployeeData[[#This Row],[Age]]&lt;30,"20s",EmployeeData[[#This Row],[Age]]&lt;40,"30s",EmployeeData[[#This Row],[Age]]&lt;50,"40s",EmployeeData[[#This Row],[Age]]&lt;60,"50s",EmployeeData[[#This Row],[Age]]&gt;=60,"60s")</f>
        <v>40s</v>
      </c>
      <c r="G117" s="5">
        <v>43544</v>
      </c>
      <c r="I117" t="s">
        <v>17</v>
      </c>
      <c r="J117" t="s">
        <v>18</v>
      </c>
      <c r="K117" cm="1">
        <f t="array" aca="1" ref="K117" ca="1">_xlfn.IFS(EmployeeData[[#This Row],[Status]]="Active",_xlfn.DAYS(TODAY(),EmployeeData[[#This Row],[Join Date]]),EmployeeData[[#This Row],[Status]]="Exited",_xlfn.DAYS(EmployeeData[[#This Row],[Exit Date]],EmployeeData[[#This Row],[Join Date]]))</f>
        <v>2653</v>
      </c>
      <c r="L117" cm="1">
        <f t="array" aca="1" ref="L117" ca="1">_xlfn.IFS(EmployeeData[[#This Row],[Status]]="Exited",DATEDIF(EmployeeData[[#This Row],[Join Date]], EmployeeData[[#This Row],[Exit Date]], "Y"),EmployeeData[[#This Row],[Status]]="Active",DATEDIF(EmployeeData[[#This Row],[Join Date]], TODAY(), "Y"))</f>
        <v>7</v>
      </c>
      <c r="Q117" t="str" cm="1">
        <f t="array" aca="1" ref="Q1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4 days</v>
      </c>
    </row>
    <row r="118" spans="1:17" hidden="1" x14ac:dyDescent="0.3">
      <c r="A118">
        <v>1117</v>
      </c>
      <c r="B118" t="s">
        <v>893</v>
      </c>
      <c r="C118" t="s">
        <v>46</v>
      </c>
      <c r="D118" t="s">
        <v>24</v>
      </c>
      <c r="E118">
        <v>35</v>
      </c>
      <c r="F118" t="str" cm="1">
        <f t="array" ref="F118">_xlfn.IFS(EmployeeData[[#This Row],[Age]]&lt;30,"20s",EmployeeData[[#This Row],[Age]]&lt;40,"30s",EmployeeData[[#This Row],[Age]]&lt;50,"40s",EmployeeData[[#This Row],[Age]]&lt;60,"50s",EmployeeData[[#This Row],[Age]]&gt;=60,"60s")</f>
        <v>30s</v>
      </c>
      <c r="G118" s="5">
        <v>45753</v>
      </c>
      <c r="H118" s="5">
        <v>46080</v>
      </c>
      <c r="I118" t="s">
        <v>52</v>
      </c>
      <c r="J118" t="s">
        <v>13</v>
      </c>
      <c r="K118" cm="1">
        <f t="array" aca="1" ref="K118" ca="1">_xlfn.IFS(EmployeeData[[#This Row],[Status]]="Active",_xlfn.DAYS(TODAY(),EmployeeData[[#This Row],[Join Date]]),EmployeeData[[#This Row],[Status]]="Exited",_xlfn.DAYS(EmployeeData[[#This Row],[Exit Date]],EmployeeData[[#This Row],[Join Date]]))</f>
        <v>327</v>
      </c>
      <c r="L118" cm="1">
        <f t="array" aca="1" ref="L118" ca="1">_xlfn.IFS(EmployeeData[[#This Row],[Status]]="Exited",DATEDIF(EmployeeData[[#This Row],[Join Date]], EmployeeData[[#This Row],[Exit Date]], "Y"),EmployeeData[[#This Row],[Status]]="Active",DATEDIF(EmployeeData[[#This Row],[Join Date]], TODAY(), "Y"))</f>
        <v>0</v>
      </c>
      <c r="Q118" t="str" cm="1">
        <f t="array" aca="1" ref="Q1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21 days</v>
      </c>
    </row>
    <row r="119" spans="1:17" hidden="1" x14ac:dyDescent="0.3">
      <c r="A119">
        <v>1118</v>
      </c>
      <c r="B119" t="s">
        <v>600</v>
      </c>
      <c r="C119" t="s">
        <v>15</v>
      </c>
      <c r="D119" t="s">
        <v>16</v>
      </c>
      <c r="E119">
        <v>52</v>
      </c>
      <c r="F119" t="str" cm="1">
        <f t="array" ref="F119">_xlfn.IFS(EmployeeData[[#This Row],[Age]]&lt;30,"20s",EmployeeData[[#This Row],[Age]]&lt;40,"30s",EmployeeData[[#This Row],[Age]]&lt;50,"40s",EmployeeData[[#This Row],[Age]]&lt;60,"50s",EmployeeData[[#This Row],[Age]]&gt;=60,"60s")</f>
        <v>50s</v>
      </c>
      <c r="G119" s="5">
        <v>43576</v>
      </c>
      <c r="H119" s="5">
        <v>44221</v>
      </c>
      <c r="I119" t="s">
        <v>12</v>
      </c>
      <c r="J119" t="s">
        <v>13</v>
      </c>
      <c r="K119" cm="1">
        <f t="array" aca="1" ref="K119" ca="1">_xlfn.IFS(EmployeeData[[#This Row],[Status]]="Active",_xlfn.DAYS(TODAY(),EmployeeData[[#This Row],[Join Date]]),EmployeeData[[#This Row],[Status]]="Exited",_xlfn.DAYS(EmployeeData[[#This Row],[Exit Date]],EmployeeData[[#This Row],[Join Date]]))</f>
        <v>645</v>
      </c>
      <c r="L119" cm="1">
        <f t="array" aca="1" ref="L119" ca="1">_xlfn.IFS(EmployeeData[[#This Row],[Status]]="Exited",DATEDIF(EmployeeData[[#This Row],[Join Date]], EmployeeData[[#This Row],[Exit Date]], "Y"),EmployeeData[[#This Row],[Status]]="Active",DATEDIF(EmployeeData[[#This Row],[Join Date]], TODAY(), "Y"))</f>
        <v>1</v>
      </c>
      <c r="Q119" t="str" cm="1">
        <f t="array" aca="1" ref="Q1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4 days</v>
      </c>
    </row>
    <row r="120" spans="1:17" hidden="1" x14ac:dyDescent="0.3">
      <c r="A120">
        <v>1119</v>
      </c>
      <c r="B120" t="s">
        <v>413</v>
      </c>
      <c r="C120" t="s">
        <v>20</v>
      </c>
      <c r="D120" t="s">
        <v>24</v>
      </c>
      <c r="E120">
        <v>58</v>
      </c>
      <c r="F120" t="str" cm="1">
        <f t="array" ref="F120">_xlfn.IFS(EmployeeData[[#This Row],[Age]]&lt;30,"20s",EmployeeData[[#This Row],[Age]]&lt;40,"30s",EmployeeData[[#This Row],[Age]]&lt;50,"40s",EmployeeData[[#This Row],[Age]]&lt;60,"50s",EmployeeData[[#This Row],[Age]]&gt;=60,"60s")</f>
        <v>50s</v>
      </c>
      <c r="G120" s="5">
        <v>43733</v>
      </c>
      <c r="I120" t="s">
        <v>17</v>
      </c>
      <c r="J120" t="s">
        <v>18</v>
      </c>
      <c r="K120" cm="1">
        <f t="array" aca="1" ref="K120" ca="1">_xlfn.IFS(EmployeeData[[#This Row],[Status]]="Active",_xlfn.DAYS(TODAY(),EmployeeData[[#This Row],[Join Date]]),EmployeeData[[#This Row],[Status]]="Exited",_xlfn.DAYS(EmployeeData[[#This Row],[Exit Date]],EmployeeData[[#This Row],[Join Date]]))</f>
        <v>2464</v>
      </c>
      <c r="L120" cm="1">
        <f t="array" aca="1" ref="L120" ca="1">_xlfn.IFS(EmployeeData[[#This Row],[Status]]="Exited",DATEDIF(EmployeeData[[#This Row],[Join Date]], EmployeeData[[#This Row],[Exit Date]], "Y"),EmployeeData[[#This Row],[Status]]="Active",DATEDIF(EmployeeData[[#This Row],[Join Date]], TODAY(), "Y"))</f>
        <v>6</v>
      </c>
      <c r="Q120" t="str" cm="1">
        <f t="array" aca="1" ref="Q1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30 days</v>
      </c>
    </row>
    <row r="121" spans="1:17" hidden="1" x14ac:dyDescent="0.3">
      <c r="A121">
        <v>1120</v>
      </c>
      <c r="B121" t="s">
        <v>404</v>
      </c>
      <c r="C121" t="s">
        <v>46</v>
      </c>
      <c r="D121" t="s">
        <v>16</v>
      </c>
      <c r="E121">
        <v>44</v>
      </c>
      <c r="F121" t="str" cm="1">
        <f t="array" ref="F121">_xlfn.IFS(EmployeeData[[#This Row],[Age]]&lt;30,"20s",EmployeeData[[#This Row],[Age]]&lt;40,"30s",EmployeeData[[#This Row],[Age]]&lt;50,"40s",EmployeeData[[#This Row],[Age]]&lt;60,"50s",EmployeeData[[#This Row],[Age]]&gt;=60,"60s")</f>
        <v>40s</v>
      </c>
      <c r="G121" s="5">
        <v>43990</v>
      </c>
      <c r="I121" t="s">
        <v>17</v>
      </c>
      <c r="J121" t="s">
        <v>18</v>
      </c>
      <c r="K121" cm="1">
        <f t="array" aca="1" ref="K121" ca="1">_xlfn.IFS(EmployeeData[[#This Row],[Status]]="Active",_xlfn.DAYS(TODAY(),EmployeeData[[#This Row],[Join Date]]),EmployeeData[[#This Row],[Status]]="Exited",_xlfn.DAYS(EmployeeData[[#This Row],[Exit Date]],EmployeeData[[#This Row],[Join Date]]))</f>
        <v>2207</v>
      </c>
      <c r="L121" cm="1">
        <f t="array" aca="1" ref="L121" ca="1">_xlfn.IFS(EmployeeData[[#This Row],[Status]]="Exited",DATEDIF(EmployeeData[[#This Row],[Join Date]], EmployeeData[[#This Row],[Exit Date]], "Y"),EmployeeData[[#This Row],[Status]]="Active",DATEDIF(EmployeeData[[#This Row],[Join Date]], TODAY(), "Y"))</f>
        <v>6</v>
      </c>
      <c r="Q121" t="str" cm="1">
        <f t="array" aca="1" ref="Q1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16 days</v>
      </c>
    </row>
    <row r="122" spans="1:17" x14ac:dyDescent="0.3">
      <c r="A122">
        <v>1121</v>
      </c>
      <c r="B122" t="s">
        <v>926</v>
      </c>
      <c r="C122" t="s">
        <v>23</v>
      </c>
      <c r="D122" t="s">
        <v>11</v>
      </c>
      <c r="E122">
        <v>43</v>
      </c>
      <c r="F122" t="str" cm="1">
        <f t="array" ref="F122">_xlfn.IFS(EmployeeData[[#This Row],[Age]]&lt;30,"20s",EmployeeData[[#This Row],[Age]]&lt;40,"30s",EmployeeData[[#This Row],[Age]]&lt;50,"40s",EmployeeData[[#This Row],[Age]]&lt;60,"50s",EmployeeData[[#This Row],[Age]]&gt;=60,"60s")</f>
        <v>40s</v>
      </c>
      <c r="G122" s="5">
        <v>43349</v>
      </c>
      <c r="I122" t="s">
        <v>17</v>
      </c>
      <c r="J122" t="s">
        <v>18</v>
      </c>
      <c r="K122" cm="1">
        <f t="array" aca="1" ref="K122" ca="1">_xlfn.IFS(EmployeeData[[#This Row],[Status]]="Active",_xlfn.DAYS(TODAY(),EmployeeData[[#This Row],[Join Date]]),EmployeeData[[#This Row],[Status]]="Exited",_xlfn.DAYS(EmployeeData[[#This Row],[Exit Date]],EmployeeData[[#This Row],[Join Date]]))</f>
        <v>2848</v>
      </c>
      <c r="L122" cm="1">
        <f t="array" aca="1" ref="L122" ca="1">_xlfn.IFS(EmployeeData[[#This Row],[Status]]="Exited",DATEDIF(EmployeeData[[#This Row],[Join Date]], EmployeeData[[#This Row],[Exit Date]], "Y"),EmployeeData[[#This Row],[Status]]="Active",DATEDIF(EmployeeData[[#This Row],[Join Date]], TODAY(), "Y"))</f>
        <v>7</v>
      </c>
      <c r="Q122" t="str" cm="1">
        <f t="array" aca="1" ref="Q1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18 days</v>
      </c>
    </row>
    <row r="123" spans="1:17" hidden="1" x14ac:dyDescent="0.3">
      <c r="A123">
        <v>1122</v>
      </c>
      <c r="B123" t="s">
        <v>777</v>
      </c>
      <c r="C123" t="s">
        <v>33</v>
      </c>
      <c r="D123" t="s">
        <v>16</v>
      </c>
      <c r="E123">
        <v>34</v>
      </c>
      <c r="F123" t="str" cm="1">
        <f t="array" ref="F123">_xlfn.IFS(EmployeeData[[#This Row],[Age]]&lt;30,"20s",EmployeeData[[#This Row],[Age]]&lt;40,"30s",EmployeeData[[#This Row],[Age]]&lt;50,"40s",EmployeeData[[#This Row],[Age]]&lt;60,"50s",EmployeeData[[#This Row],[Age]]&gt;=60,"60s")</f>
        <v>30s</v>
      </c>
      <c r="G123" s="5">
        <v>45729</v>
      </c>
      <c r="I123" t="s">
        <v>17</v>
      </c>
      <c r="J123" t="s">
        <v>18</v>
      </c>
      <c r="K123" cm="1">
        <f t="array" aca="1" ref="K123" ca="1">_xlfn.IFS(EmployeeData[[#This Row],[Status]]="Active",_xlfn.DAYS(TODAY(),EmployeeData[[#This Row],[Join Date]]),EmployeeData[[#This Row],[Status]]="Exited",_xlfn.DAYS(EmployeeData[[#This Row],[Exit Date]],EmployeeData[[#This Row],[Join Date]]))</f>
        <v>468</v>
      </c>
      <c r="L123" cm="1">
        <f t="array" aca="1" ref="L123" ca="1">_xlfn.IFS(EmployeeData[[#This Row],[Status]]="Exited",DATEDIF(EmployeeData[[#This Row],[Join Date]], EmployeeData[[#This Row],[Exit Date]], "Y"),EmployeeData[[#This Row],[Status]]="Active",DATEDIF(EmployeeData[[#This Row],[Join Date]], TODAY(), "Y"))</f>
        <v>1</v>
      </c>
      <c r="Q123" t="str" cm="1">
        <f t="array" aca="1" ref="Q1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11 days</v>
      </c>
    </row>
    <row r="124" spans="1:17" hidden="1" x14ac:dyDescent="0.3">
      <c r="A124">
        <v>1123</v>
      </c>
      <c r="B124" t="s">
        <v>1009</v>
      </c>
      <c r="C124" t="s">
        <v>10</v>
      </c>
      <c r="D124" t="s">
        <v>16</v>
      </c>
      <c r="E124">
        <v>57</v>
      </c>
      <c r="F124" t="str" cm="1">
        <f t="array" ref="F124">_xlfn.IFS(EmployeeData[[#This Row],[Age]]&lt;30,"20s",EmployeeData[[#This Row],[Age]]&lt;40,"30s",EmployeeData[[#This Row],[Age]]&lt;50,"40s",EmployeeData[[#This Row],[Age]]&lt;60,"50s",EmployeeData[[#This Row],[Age]]&gt;=60,"60s")</f>
        <v>50s</v>
      </c>
      <c r="G124" s="5">
        <v>43941</v>
      </c>
      <c r="H124" s="5">
        <v>44879</v>
      </c>
      <c r="I124" t="s">
        <v>28</v>
      </c>
      <c r="J124" t="s">
        <v>13</v>
      </c>
      <c r="K124" cm="1">
        <f t="array" aca="1" ref="K124" ca="1">_xlfn.IFS(EmployeeData[[#This Row],[Status]]="Active",_xlfn.DAYS(TODAY(),EmployeeData[[#This Row],[Join Date]]),EmployeeData[[#This Row],[Status]]="Exited",_xlfn.DAYS(EmployeeData[[#This Row],[Exit Date]],EmployeeData[[#This Row],[Join Date]]))</f>
        <v>938</v>
      </c>
      <c r="L124" cm="1">
        <f t="array" aca="1" ref="L124" ca="1">_xlfn.IFS(EmployeeData[[#This Row],[Status]]="Exited",DATEDIF(EmployeeData[[#This Row],[Join Date]], EmployeeData[[#This Row],[Exit Date]], "Y"),EmployeeData[[#This Row],[Status]]="Active",DATEDIF(EmployeeData[[#This Row],[Join Date]], TODAY(), "Y"))</f>
        <v>2</v>
      </c>
      <c r="Q124" t="str" cm="1">
        <f t="array" aca="1" ref="Q1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125" spans="1:17" hidden="1" x14ac:dyDescent="0.3">
      <c r="A125">
        <v>1124</v>
      </c>
      <c r="B125" t="s">
        <v>802</v>
      </c>
      <c r="C125" t="s">
        <v>33</v>
      </c>
      <c r="D125" t="s">
        <v>24</v>
      </c>
      <c r="E125">
        <v>38</v>
      </c>
      <c r="F125" t="str" cm="1">
        <f t="array" ref="F125">_xlfn.IFS(EmployeeData[[#This Row],[Age]]&lt;30,"20s",EmployeeData[[#This Row],[Age]]&lt;40,"30s",EmployeeData[[#This Row],[Age]]&lt;50,"40s",EmployeeData[[#This Row],[Age]]&lt;60,"50s",EmployeeData[[#This Row],[Age]]&gt;=60,"60s")</f>
        <v>30s</v>
      </c>
      <c r="G125" s="5">
        <v>43693</v>
      </c>
      <c r="I125" t="s">
        <v>17</v>
      </c>
      <c r="J125" t="s">
        <v>18</v>
      </c>
      <c r="K125" cm="1">
        <f t="array" aca="1" ref="K125" ca="1">_xlfn.IFS(EmployeeData[[#This Row],[Status]]="Active",_xlfn.DAYS(TODAY(),EmployeeData[[#This Row],[Join Date]]),EmployeeData[[#This Row],[Status]]="Exited",_xlfn.DAYS(EmployeeData[[#This Row],[Exit Date]],EmployeeData[[#This Row],[Join Date]]))</f>
        <v>2504</v>
      </c>
      <c r="L125" cm="1">
        <f t="array" aca="1" ref="L125" ca="1">_xlfn.IFS(EmployeeData[[#This Row],[Status]]="Exited",DATEDIF(EmployeeData[[#This Row],[Join Date]], EmployeeData[[#This Row],[Exit Date]], "Y"),EmployeeData[[#This Row],[Status]]="Active",DATEDIF(EmployeeData[[#This Row],[Join Date]], TODAY(), "Y"))</f>
        <v>6</v>
      </c>
      <c r="Q125" t="str" cm="1">
        <f t="array" aca="1" ref="Q1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8 days</v>
      </c>
    </row>
    <row r="126" spans="1:17" x14ac:dyDescent="0.3">
      <c r="A126">
        <v>1125</v>
      </c>
      <c r="B126" t="s">
        <v>273</v>
      </c>
      <c r="C126" t="s">
        <v>15</v>
      </c>
      <c r="D126" t="s">
        <v>11</v>
      </c>
      <c r="E126">
        <v>29</v>
      </c>
      <c r="F126" t="str" cm="1">
        <f t="array" ref="F126">_xlfn.IFS(EmployeeData[[#This Row],[Age]]&lt;30,"20s",EmployeeData[[#This Row],[Age]]&lt;40,"30s",EmployeeData[[#This Row],[Age]]&lt;50,"40s",EmployeeData[[#This Row],[Age]]&lt;60,"50s",EmployeeData[[#This Row],[Age]]&gt;=60,"60s")</f>
        <v>20s</v>
      </c>
      <c r="G126" s="5">
        <v>43161</v>
      </c>
      <c r="H126" s="5">
        <v>44225</v>
      </c>
      <c r="I126" t="s">
        <v>28</v>
      </c>
      <c r="J126" t="s">
        <v>13</v>
      </c>
      <c r="K126" cm="1">
        <f t="array" aca="1" ref="K126" ca="1">_xlfn.IFS(EmployeeData[[#This Row],[Status]]="Active",_xlfn.DAYS(TODAY(),EmployeeData[[#This Row],[Join Date]]),EmployeeData[[#This Row],[Status]]="Exited",_xlfn.DAYS(EmployeeData[[#This Row],[Exit Date]],EmployeeData[[#This Row],[Join Date]]))</f>
        <v>1064</v>
      </c>
      <c r="L126" cm="1">
        <f t="array" aca="1" ref="L126" ca="1">_xlfn.IFS(EmployeeData[[#This Row],[Status]]="Exited",DATEDIF(EmployeeData[[#This Row],[Join Date]], EmployeeData[[#This Row],[Exit Date]], "Y"),EmployeeData[[#This Row],[Status]]="Active",DATEDIF(EmployeeData[[#This Row],[Join Date]], TODAY(), "Y"))</f>
        <v>2</v>
      </c>
      <c r="Q126" t="str" cm="1">
        <f t="array" aca="1" ref="Q1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27 days</v>
      </c>
    </row>
    <row r="127" spans="1:17" hidden="1" x14ac:dyDescent="0.3">
      <c r="A127">
        <v>1126</v>
      </c>
      <c r="B127" t="s">
        <v>393</v>
      </c>
      <c r="C127" t="s">
        <v>20</v>
      </c>
      <c r="D127" t="s">
        <v>24</v>
      </c>
      <c r="E127">
        <v>25</v>
      </c>
      <c r="F127" t="str" cm="1">
        <f t="array" ref="F127">_xlfn.IFS(EmployeeData[[#This Row],[Age]]&lt;30,"20s",EmployeeData[[#This Row],[Age]]&lt;40,"30s",EmployeeData[[#This Row],[Age]]&lt;50,"40s",EmployeeData[[#This Row],[Age]]&lt;60,"50s",EmployeeData[[#This Row],[Age]]&gt;=60,"60s")</f>
        <v>20s</v>
      </c>
      <c r="G127" s="5">
        <v>45051</v>
      </c>
      <c r="I127" t="s">
        <v>17</v>
      </c>
      <c r="J127" t="s">
        <v>18</v>
      </c>
      <c r="K127" cm="1">
        <f t="array" aca="1" ref="K127" ca="1">_xlfn.IFS(EmployeeData[[#This Row],[Status]]="Active",_xlfn.DAYS(TODAY(),EmployeeData[[#This Row],[Join Date]]),EmployeeData[[#This Row],[Status]]="Exited",_xlfn.DAYS(EmployeeData[[#This Row],[Exit Date]],EmployeeData[[#This Row],[Join Date]]))</f>
        <v>1146</v>
      </c>
      <c r="L127" cm="1">
        <f t="array" aca="1" ref="L127" ca="1">_xlfn.IFS(EmployeeData[[#This Row],[Status]]="Exited",DATEDIF(EmployeeData[[#This Row],[Join Date]], EmployeeData[[#This Row],[Exit Date]], "Y"),EmployeeData[[#This Row],[Status]]="Active",DATEDIF(EmployeeData[[#This Row],[Join Date]], TODAY(), "Y"))</f>
        <v>3</v>
      </c>
      <c r="Q127" t="str" cm="1">
        <f t="array" aca="1" ref="Q1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19 days</v>
      </c>
    </row>
    <row r="128" spans="1:17" hidden="1" x14ac:dyDescent="0.3">
      <c r="A128">
        <v>1127</v>
      </c>
      <c r="B128" t="s">
        <v>242</v>
      </c>
      <c r="C128" t="s">
        <v>23</v>
      </c>
      <c r="D128" t="s">
        <v>11</v>
      </c>
      <c r="E128">
        <v>23</v>
      </c>
      <c r="F128" t="str" cm="1">
        <f t="array" ref="F128">_xlfn.IFS(EmployeeData[[#This Row],[Age]]&lt;30,"20s",EmployeeData[[#This Row],[Age]]&lt;40,"30s",EmployeeData[[#This Row],[Age]]&lt;50,"40s",EmployeeData[[#This Row],[Age]]&lt;60,"50s",EmployeeData[[#This Row],[Age]]&gt;=60,"60s")</f>
        <v>20s</v>
      </c>
      <c r="G128" s="5">
        <v>45799</v>
      </c>
      <c r="I128" t="s">
        <v>17</v>
      </c>
      <c r="J128" t="s">
        <v>18</v>
      </c>
      <c r="K128" cm="1">
        <f t="array" aca="1" ref="K128" ca="1">_xlfn.IFS(EmployeeData[[#This Row],[Status]]="Active",_xlfn.DAYS(TODAY(),EmployeeData[[#This Row],[Join Date]]),EmployeeData[[#This Row],[Status]]="Exited",_xlfn.DAYS(EmployeeData[[#This Row],[Exit Date]],EmployeeData[[#This Row],[Join Date]]))</f>
        <v>398</v>
      </c>
      <c r="L128" cm="1">
        <f t="array" aca="1" ref="L128" ca="1">_xlfn.IFS(EmployeeData[[#This Row],[Status]]="Exited",DATEDIF(EmployeeData[[#This Row],[Join Date]], EmployeeData[[#This Row],[Exit Date]], "Y"),EmployeeData[[#This Row],[Status]]="Active",DATEDIF(EmployeeData[[#This Row],[Join Date]], TODAY(), "Y"))</f>
        <v>1</v>
      </c>
      <c r="Q128" t="str" cm="1">
        <f t="array" aca="1" ref="Q1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129" spans="1:17" hidden="1" x14ac:dyDescent="0.3">
      <c r="A129">
        <v>1128</v>
      </c>
      <c r="B129" t="s">
        <v>424</v>
      </c>
      <c r="C129" t="s">
        <v>15</v>
      </c>
      <c r="D129" t="s">
        <v>24</v>
      </c>
      <c r="E129">
        <v>46</v>
      </c>
      <c r="F129" t="str" cm="1">
        <f t="array" ref="F129">_xlfn.IFS(EmployeeData[[#This Row],[Age]]&lt;30,"20s",EmployeeData[[#This Row],[Age]]&lt;40,"30s",EmployeeData[[#This Row],[Age]]&lt;50,"40s",EmployeeData[[#This Row],[Age]]&lt;60,"50s",EmployeeData[[#This Row],[Age]]&gt;=60,"60s")</f>
        <v>40s</v>
      </c>
      <c r="G129" s="5">
        <v>44847</v>
      </c>
      <c r="I129" t="s">
        <v>17</v>
      </c>
      <c r="J129" t="s">
        <v>18</v>
      </c>
      <c r="K129" cm="1">
        <f t="array" aca="1" ref="K129" ca="1">_xlfn.IFS(EmployeeData[[#This Row],[Status]]="Active",_xlfn.DAYS(TODAY(),EmployeeData[[#This Row],[Join Date]]),EmployeeData[[#This Row],[Status]]="Exited",_xlfn.DAYS(EmployeeData[[#This Row],[Exit Date]],EmployeeData[[#This Row],[Join Date]]))</f>
        <v>1350</v>
      </c>
      <c r="L129" cm="1">
        <f t="array" aca="1" ref="L129" ca="1">_xlfn.IFS(EmployeeData[[#This Row],[Status]]="Exited",DATEDIF(EmployeeData[[#This Row],[Join Date]], EmployeeData[[#This Row],[Exit Date]], "Y"),EmployeeData[[#This Row],[Status]]="Active",DATEDIF(EmployeeData[[#This Row],[Join Date]], TODAY(), "Y"))</f>
        <v>3</v>
      </c>
      <c r="Q129" t="str" cm="1">
        <f t="array" aca="1" ref="Q1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11 days</v>
      </c>
    </row>
    <row r="130" spans="1:17" x14ac:dyDescent="0.3">
      <c r="A130">
        <v>1129</v>
      </c>
      <c r="B130" t="s">
        <v>875</v>
      </c>
      <c r="C130" t="s">
        <v>15</v>
      </c>
      <c r="D130" t="s">
        <v>16</v>
      </c>
      <c r="E130">
        <v>30</v>
      </c>
      <c r="F130" t="str" cm="1">
        <f t="array" ref="F130">_xlfn.IFS(EmployeeData[[#This Row],[Age]]&lt;30,"20s",EmployeeData[[#This Row],[Age]]&lt;40,"30s",EmployeeData[[#This Row],[Age]]&lt;50,"40s",EmployeeData[[#This Row],[Age]]&lt;60,"50s",EmployeeData[[#This Row],[Age]]&gt;=60,"60s")</f>
        <v>30s</v>
      </c>
      <c r="G130" s="5">
        <v>43370</v>
      </c>
      <c r="H130" s="5">
        <v>44791</v>
      </c>
      <c r="I130" t="s">
        <v>12</v>
      </c>
      <c r="J130" t="s">
        <v>13</v>
      </c>
      <c r="K130" cm="1">
        <f t="array" aca="1" ref="K130" ca="1">_xlfn.IFS(EmployeeData[[#This Row],[Status]]="Active",_xlfn.DAYS(TODAY(),EmployeeData[[#This Row],[Join Date]]),EmployeeData[[#This Row],[Status]]="Exited",_xlfn.DAYS(EmployeeData[[#This Row],[Exit Date]],EmployeeData[[#This Row],[Join Date]]))</f>
        <v>1421</v>
      </c>
      <c r="L130" cm="1">
        <f t="array" aca="1" ref="L130" ca="1">_xlfn.IFS(EmployeeData[[#This Row],[Status]]="Exited",DATEDIF(EmployeeData[[#This Row],[Join Date]], EmployeeData[[#This Row],[Exit Date]], "Y"),EmployeeData[[#This Row],[Status]]="Active",DATEDIF(EmployeeData[[#This Row],[Join Date]], TODAY(), "Y"))</f>
        <v>3</v>
      </c>
      <c r="Q130" t="str" cm="1">
        <f t="array" aca="1" ref="Q1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22 days</v>
      </c>
    </row>
    <row r="131" spans="1:17" hidden="1" x14ac:dyDescent="0.3">
      <c r="A131">
        <v>1130</v>
      </c>
      <c r="B131" t="s">
        <v>140</v>
      </c>
      <c r="C131" t="s">
        <v>15</v>
      </c>
      <c r="D131" t="s">
        <v>11</v>
      </c>
      <c r="E131">
        <v>56</v>
      </c>
      <c r="F131" t="str" cm="1">
        <f t="array" ref="F131">_xlfn.IFS(EmployeeData[[#This Row],[Age]]&lt;30,"20s",EmployeeData[[#This Row],[Age]]&lt;40,"30s",EmployeeData[[#This Row],[Age]]&lt;50,"40s",EmployeeData[[#This Row],[Age]]&lt;60,"50s",EmployeeData[[#This Row],[Age]]&gt;=60,"60s")</f>
        <v>50s</v>
      </c>
      <c r="G131" s="5">
        <v>43981</v>
      </c>
      <c r="I131" t="s">
        <v>17</v>
      </c>
      <c r="J131" t="s">
        <v>18</v>
      </c>
      <c r="K131" cm="1">
        <f t="array" aca="1" ref="K131" ca="1">_xlfn.IFS(EmployeeData[[#This Row],[Status]]="Active",_xlfn.DAYS(TODAY(),EmployeeData[[#This Row],[Join Date]]),EmployeeData[[#This Row],[Status]]="Exited",_xlfn.DAYS(EmployeeData[[#This Row],[Exit Date]],EmployeeData[[#This Row],[Join Date]]))</f>
        <v>2216</v>
      </c>
      <c r="L131" cm="1">
        <f t="array" aca="1" ref="L131" ca="1">_xlfn.IFS(EmployeeData[[#This Row],[Status]]="Exited",DATEDIF(EmployeeData[[#This Row],[Join Date]], EmployeeData[[#This Row],[Exit Date]], "Y"),EmployeeData[[#This Row],[Status]]="Active",DATEDIF(EmployeeData[[#This Row],[Join Date]], TODAY(), "Y"))</f>
        <v>6</v>
      </c>
      <c r="Q131" t="str" cm="1">
        <f t="array" aca="1" ref="Q1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25 days</v>
      </c>
    </row>
    <row r="132" spans="1:17" hidden="1" x14ac:dyDescent="0.3">
      <c r="A132">
        <v>1131</v>
      </c>
      <c r="B132" t="s">
        <v>838</v>
      </c>
      <c r="C132" t="s">
        <v>10</v>
      </c>
      <c r="D132" t="s">
        <v>11</v>
      </c>
      <c r="E132">
        <v>41</v>
      </c>
      <c r="F132" t="str" cm="1">
        <f t="array" ref="F132">_xlfn.IFS(EmployeeData[[#This Row],[Age]]&lt;30,"20s",EmployeeData[[#This Row],[Age]]&lt;40,"30s",EmployeeData[[#This Row],[Age]]&lt;50,"40s",EmployeeData[[#This Row],[Age]]&lt;60,"50s",EmployeeData[[#This Row],[Age]]&gt;=60,"60s")</f>
        <v>40s</v>
      </c>
      <c r="G132" s="5">
        <v>44849</v>
      </c>
      <c r="H132" s="5">
        <v>45461</v>
      </c>
      <c r="I132" t="s">
        <v>12</v>
      </c>
      <c r="J132" t="s">
        <v>13</v>
      </c>
      <c r="K132" cm="1">
        <f t="array" aca="1" ref="K132" ca="1">_xlfn.IFS(EmployeeData[[#This Row],[Status]]="Active",_xlfn.DAYS(TODAY(),EmployeeData[[#This Row],[Join Date]]),EmployeeData[[#This Row],[Status]]="Exited",_xlfn.DAYS(EmployeeData[[#This Row],[Exit Date]],EmployeeData[[#This Row],[Join Date]]))</f>
        <v>612</v>
      </c>
      <c r="L132" cm="1">
        <f t="array" aca="1" ref="L132" ca="1">_xlfn.IFS(EmployeeData[[#This Row],[Status]]="Exited",DATEDIF(EmployeeData[[#This Row],[Join Date]], EmployeeData[[#This Row],[Exit Date]], "Y"),EmployeeData[[#This Row],[Status]]="Active",DATEDIF(EmployeeData[[#This Row],[Join Date]], TODAY(), "Y"))</f>
        <v>1</v>
      </c>
      <c r="Q132" t="str" cm="1">
        <f t="array" aca="1" ref="Q1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133" spans="1:17" hidden="1" x14ac:dyDescent="0.3">
      <c r="A133">
        <v>1132</v>
      </c>
      <c r="B133" t="s">
        <v>178</v>
      </c>
      <c r="C133" t="s">
        <v>15</v>
      </c>
      <c r="D133" t="s">
        <v>11</v>
      </c>
      <c r="E133">
        <v>26</v>
      </c>
      <c r="F133" t="str" cm="1">
        <f t="array" ref="F133">_xlfn.IFS(EmployeeData[[#This Row],[Age]]&lt;30,"20s",EmployeeData[[#This Row],[Age]]&lt;40,"30s",EmployeeData[[#This Row],[Age]]&lt;50,"40s",EmployeeData[[#This Row],[Age]]&lt;60,"50s",EmployeeData[[#This Row],[Age]]&gt;=60,"60s")</f>
        <v>20s</v>
      </c>
      <c r="G133" s="5">
        <v>44869</v>
      </c>
      <c r="H133" s="5">
        <v>45722</v>
      </c>
      <c r="I133" t="s">
        <v>52</v>
      </c>
      <c r="J133" t="s">
        <v>13</v>
      </c>
      <c r="K133" cm="1">
        <f t="array" aca="1" ref="K133" ca="1">_xlfn.IFS(EmployeeData[[#This Row],[Status]]="Active",_xlfn.DAYS(TODAY(),EmployeeData[[#This Row],[Join Date]]),EmployeeData[[#This Row],[Status]]="Exited",_xlfn.DAYS(EmployeeData[[#This Row],[Exit Date]],EmployeeData[[#This Row],[Join Date]]))</f>
        <v>853</v>
      </c>
      <c r="L133" cm="1">
        <f t="array" aca="1" ref="L133" ca="1">_xlfn.IFS(EmployeeData[[#This Row],[Status]]="Exited",DATEDIF(EmployeeData[[#This Row],[Join Date]], EmployeeData[[#This Row],[Exit Date]], "Y"),EmployeeData[[#This Row],[Status]]="Active",DATEDIF(EmployeeData[[#This Row],[Join Date]], TODAY(), "Y"))</f>
        <v>2</v>
      </c>
      <c r="Q133" t="str" cm="1">
        <f t="array" aca="1" ref="Q1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134" spans="1:17" x14ac:dyDescent="0.3">
      <c r="A134">
        <v>1133</v>
      </c>
      <c r="B134" t="s">
        <v>323</v>
      </c>
      <c r="C134" t="s">
        <v>20</v>
      </c>
      <c r="D134" t="s">
        <v>24</v>
      </c>
      <c r="E134">
        <v>48</v>
      </c>
      <c r="F134" t="str" cm="1">
        <f t="array" ref="F134">_xlfn.IFS(EmployeeData[[#This Row],[Age]]&lt;30,"20s",EmployeeData[[#This Row],[Age]]&lt;40,"30s",EmployeeData[[#This Row],[Age]]&lt;50,"40s",EmployeeData[[#This Row],[Age]]&lt;60,"50s",EmployeeData[[#This Row],[Age]]&gt;=60,"60s")</f>
        <v>40s</v>
      </c>
      <c r="G134" s="5">
        <v>43311</v>
      </c>
      <c r="I134" t="s">
        <v>17</v>
      </c>
      <c r="J134" t="s">
        <v>18</v>
      </c>
      <c r="K134" cm="1">
        <f t="array" aca="1" ref="K134" ca="1">_xlfn.IFS(EmployeeData[[#This Row],[Status]]="Active",_xlfn.DAYS(TODAY(),EmployeeData[[#This Row],[Join Date]]),EmployeeData[[#This Row],[Status]]="Exited",_xlfn.DAYS(EmployeeData[[#This Row],[Exit Date]],EmployeeData[[#This Row],[Join Date]]))</f>
        <v>2886</v>
      </c>
      <c r="L134" cm="1">
        <f t="array" aca="1" ref="L134" ca="1">_xlfn.IFS(EmployeeData[[#This Row],[Status]]="Exited",DATEDIF(EmployeeData[[#This Row],[Join Date]], EmployeeData[[#This Row],[Exit Date]], "Y"),EmployeeData[[#This Row],[Status]]="Active",DATEDIF(EmployeeData[[#This Row],[Join Date]], TODAY(), "Y"))</f>
        <v>7</v>
      </c>
      <c r="Q134" t="str" cm="1">
        <f t="array" aca="1" ref="Q1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25 days</v>
      </c>
    </row>
    <row r="135" spans="1:17" hidden="1" x14ac:dyDescent="0.3">
      <c r="A135">
        <v>1134</v>
      </c>
      <c r="B135" t="s">
        <v>973</v>
      </c>
      <c r="C135" t="s">
        <v>15</v>
      </c>
      <c r="D135" t="s">
        <v>24</v>
      </c>
      <c r="E135">
        <v>27</v>
      </c>
      <c r="F135" t="str" cm="1">
        <f t="array" ref="F135">_xlfn.IFS(EmployeeData[[#This Row],[Age]]&lt;30,"20s",EmployeeData[[#This Row],[Age]]&lt;40,"30s",EmployeeData[[#This Row],[Age]]&lt;50,"40s",EmployeeData[[#This Row],[Age]]&lt;60,"50s",EmployeeData[[#This Row],[Age]]&gt;=60,"60s")</f>
        <v>20s</v>
      </c>
      <c r="G135" s="5">
        <v>44535</v>
      </c>
      <c r="I135" t="s">
        <v>17</v>
      </c>
      <c r="J135" t="s">
        <v>18</v>
      </c>
      <c r="K135" cm="1">
        <f t="array" aca="1" ref="K135" ca="1">_xlfn.IFS(EmployeeData[[#This Row],[Status]]="Active",_xlfn.DAYS(TODAY(),EmployeeData[[#This Row],[Join Date]]),EmployeeData[[#This Row],[Status]]="Exited",_xlfn.DAYS(EmployeeData[[#This Row],[Exit Date]],EmployeeData[[#This Row],[Join Date]]))</f>
        <v>1662</v>
      </c>
      <c r="L135" cm="1">
        <f t="array" aca="1" ref="L135" ca="1">_xlfn.IFS(EmployeeData[[#This Row],[Status]]="Exited",DATEDIF(EmployeeData[[#This Row],[Join Date]], EmployeeData[[#This Row],[Exit Date]], "Y"),EmployeeData[[#This Row],[Status]]="Active",DATEDIF(EmployeeData[[#This Row],[Join Date]], TODAY(), "Y"))</f>
        <v>4</v>
      </c>
      <c r="Q135" t="str" cm="1">
        <f t="array" aca="1" ref="Q1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19 days</v>
      </c>
    </row>
    <row r="136" spans="1:17" hidden="1" x14ac:dyDescent="0.3">
      <c r="A136">
        <v>1135</v>
      </c>
      <c r="B136" t="s">
        <v>389</v>
      </c>
      <c r="C136" t="s">
        <v>23</v>
      </c>
      <c r="D136" t="s">
        <v>11</v>
      </c>
      <c r="E136">
        <v>56</v>
      </c>
      <c r="F136" t="str" cm="1">
        <f t="array" ref="F136">_xlfn.IFS(EmployeeData[[#This Row],[Age]]&lt;30,"20s",EmployeeData[[#This Row],[Age]]&lt;40,"30s",EmployeeData[[#This Row],[Age]]&lt;50,"40s",EmployeeData[[#This Row],[Age]]&lt;60,"50s",EmployeeData[[#This Row],[Age]]&gt;=60,"60s")</f>
        <v>50s</v>
      </c>
      <c r="G136" s="5">
        <v>45647</v>
      </c>
      <c r="I136" t="s">
        <v>17</v>
      </c>
      <c r="J136" t="s">
        <v>18</v>
      </c>
      <c r="K136" cm="1">
        <f t="array" aca="1" ref="K136" ca="1">_xlfn.IFS(EmployeeData[[#This Row],[Status]]="Active",_xlfn.DAYS(TODAY(),EmployeeData[[#This Row],[Join Date]]),EmployeeData[[#This Row],[Status]]="Exited",_xlfn.DAYS(EmployeeData[[#This Row],[Exit Date]],EmployeeData[[#This Row],[Join Date]]))</f>
        <v>550</v>
      </c>
      <c r="L136" cm="1">
        <f t="array" aca="1" ref="L136" ca="1">_xlfn.IFS(EmployeeData[[#This Row],[Status]]="Exited",DATEDIF(EmployeeData[[#This Row],[Join Date]], EmployeeData[[#This Row],[Exit Date]], "Y"),EmployeeData[[#This Row],[Status]]="Active",DATEDIF(EmployeeData[[#This Row],[Join Date]], TODAY(), "Y"))</f>
        <v>1</v>
      </c>
      <c r="Q136" t="str" cm="1">
        <f t="array" aca="1" ref="Q1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3 days</v>
      </c>
    </row>
    <row r="137" spans="1:17" hidden="1" x14ac:dyDescent="0.3">
      <c r="A137">
        <v>1136</v>
      </c>
      <c r="B137" t="s">
        <v>490</v>
      </c>
      <c r="C137" t="s">
        <v>20</v>
      </c>
      <c r="D137" t="s">
        <v>11</v>
      </c>
      <c r="E137">
        <v>22</v>
      </c>
      <c r="F137" t="str" cm="1">
        <f t="array" ref="F137">_xlfn.IFS(EmployeeData[[#This Row],[Age]]&lt;30,"20s",EmployeeData[[#This Row],[Age]]&lt;40,"30s",EmployeeData[[#This Row],[Age]]&lt;50,"40s",EmployeeData[[#This Row],[Age]]&lt;60,"50s",EmployeeData[[#This Row],[Age]]&gt;=60,"60s")</f>
        <v>20s</v>
      </c>
      <c r="G137" s="5">
        <v>43839</v>
      </c>
      <c r="H137" s="5">
        <v>45194</v>
      </c>
      <c r="I137" t="s">
        <v>21</v>
      </c>
      <c r="J137" t="s">
        <v>13</v>
      </c>
      <c r="K137" cm="1">
        <f t="array" aca="1" ref="K137" ca="1">_xlfn.IFS(EmployeeData[[#This Row],[Status]]="Active",_xlfn.DAYS(TODAY(),EmployeeData[[#This Row],[Join Date]]),EmployeeData[[#This Row],[Status]]="Exited",_xlfn.DAYS(EmployeeData[[#This Row],[Exit Date]],EmployeeData[[#This Row],[Join Date]]))</f>
        <v>1355</v>
      </c>
      <c r="L137" cm="1">
        <f t="array" aca="1" ref="L137" ca="1">_xlfn.IFS(EmployeeData[[#This Row],[Status]]="Exited",DATEDIF(EmployeeData[[#This Row],[Join Date]], EmployeeData[[#This Row],[Exit Date]], "Y"),EmployeeData[[#This Row],[Status]]="Active",DATEDIF(EmployeeData[[#This Row],[Join Date]], TODAY(), "Y"))</f>
        <v>3</v>
      </c>
      <c r="Q137" t="str" cm="1">
        <f t="array" aca="1" ref="Q1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38" spans="1:17" hidden="1" x14ac:dyDescent="0.3">
      <c r="A138">
        <v>1137</v>
      </c>
      <c r="B138" t="s">
        <v>69</v>
      </c>
      <c r="C138" t="s">
        <v>23</v>
      </c>
      <c r="D138" t="s">
        <v>24</v>
      </c>
      <c r="E138">
        <v>30</v>
      </c>
      <c r="F138" t="str" cm="1">
        <f t="array" ref="F138">_xlfn.IFS(EmployeeData[[#This Row],[Age]]&lt;30,"20s",EmployeeData[[#This Row],[Age]]&lt;40,"30s",EmployeeData[[#This Row],[Age]]&lt;50,"40s",EmployeeData[[#This Row],[Age]]&lt;60,"50s",EmployeeData[[#This Row],[Age]]&gt;=60,"60s")</f>
        <v>30s</v>
      </c>
      <c r="G138" s="5">
        <v>45694</v>
      </c>
      <c r="I138" t="s">
        <v>17</v>
      </c>
      <c r="J138" t="s">
        <v>18</v>
      </c>
      <c r="K138" cm="1">
        <f t="array" aca="1" ref="K138" ca="1">_xlfn.IFS(EmployeeData[[#This Row],[Status]]="Active",_xlfn.DAYS(TODAY(),EmployeeData[[#This Row],[Join Date]]),EmployeeData[[#This Row],[Status]]="Exited",_xlfn.DAYS(EmployeeData[[#This Row],[Exit Date]],EmployeeData[[#This Row],[Join Date]]))</f>
        <v>503</v>
      </c>
      <c r="L138" cm="1">
        <f t="array" aca="1" ref="L138" ca="1">_xlfn.IFS(EmployeeData[[#This Row],[Status]]="Exited",DATEDIF(EmployeeData[[#This Row],[Join Date]], EmployeeData[[#This Row],[Exit Date]], "Y"),EmployeeData[[#This Row],[Status]]="Active",DATEDIF(EmployeeData[[#This Row],[Join Date]], TODAY(), "Y"))</f>
        <v>1</v>
      </c>
      <c r="Q138" t="str" cm="1">
        <f t="array" aca="1" ref="Q1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18 days</v>
      </c>
    </row>
    <row r="139" spans="1:17" hidden="1" x14ac:dyDescent="0.3">
      <c r="A139">
        <v>1138</v>
      </c>
      <c r="B139" t="s">
        <v>622</v>
      </c>
      <c r="C139" t="s">
        <v>10</v>
      </c>
      <c r="D139" t="s">
        <v>24</v>
      </c>
      <c r="E139">
        <v>44</v>
      </c>
      <c r="F139" t="str" cm="1">
        <f t="array" ref="F139">_xlfn.IFS(EmployeeData[[#This Row],[Age]]&lt;30,"20s",EmployeeData[[#This Row],[Age]]&lt;40,"30s",EmployeeData[[#This Row],[Age]]&lt;50,"40s",EmployeeData[[#This Row],[Age]]&lt;60,"50s",EmployeeData[[#This Row],[Age]]&gt;=60,"60s")</f>
        <v>40s</v>
      </c>
      <c r="G139" s="5">
        <v>44377</v>
      </c>
      <c r="I139" t="s">
        <v>17</v>
      </c>
      <c r="J139" t="s">
        <v>18</v>
      </c>
      <c r="K139" cm="1">
        <f t="array" aca="1" ref="K139" ca="1">_xlfn.IFS(EmployeeData[[#This Row],[Status]]="Active",_xlfn.DAYS(TODAY(),EmployeeData[[#This Row],[Join Date]]),EmployeeData[[#This Row],[Status]]="Exited",_xlfn.DAYS(EmployeeData[[#This Row],[Exit Date]],EmployeeData[[#This Row],[Join Date]]))</f>
        <v>1820</v>
      </c>
      <c r="L139" cm="1">
        <f t="array" aca="1" ref="L139" ca="1">_xlfn.IFS(EmployeeData[[#This Row],[Status]]="Exited",DATEDIF(EmployeeData[[#This Row],[Join Date]], EmployeeData[[#This Row],[Exit Date]], "Y"),EmployeeData[[#This Row],[Status]]="Active",DATEDIF(EmployeeData[[#This Row],[Join Date]], TODAY(), "Y"))</f>
        <v>4</v>
      </c>
      <c r="Q139" t="str" cm="1">
        <f t="array" aca="1" ref="Q1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25 days</v>
      </c>
    </row>
    <row r="140" spans="1:17" hidden="1" x14ac:dyDescent="0.3">
      <c r="A140">
        <v>1139</v>
      </c>
      <c r="B140" t="s">
        <v>293</v>
      </c>
      <c r="C140" t="s">
        <v>15</v>
      </c>
      <c r="D140" t="s">
        <v>11</v>
      </c>
      <c r="E140">
        <v>24</v>
      </c>
      <c r="F140" t="str" cm="1">
        <f t="array" ref="F140">_xlfn.IFS(EmployeeData[[#This Row],[Age]]&lt;30,"20s",EmployeeData[[#This Row],[Age]]&lt;40,"30s",EmployeeData[[#This Row],[Age]]&lt;50,"40s",EmployeeData[[#This Row],[Age]]&lt;60,"50s",EmployeeData[[#This Row],[Age]]&gt;=60,"60s")</f>
        <v>20s</v>
      </c>
      <c r="G140" s="5">
        <v>45861</v>
      </c>
      <c r="H140" s="5">
        <v>46064</v>
      </c>
      <c r="I140" t="s">
        <v>28</v>
      </c>
      <c r="J140" t="s">
        <v>13</v>
      </c>
      <c r="K140" cm="1">
        <f t="array" aca="1" ref="K140" ca="1">_xlfn.IFS(EmployeeData[[#This Row],[Status]]="Active",_xlfn.DAYS(TODAY(),EmployeeData[[#This Row],[Join Date]]),EmployeeData[[#This Row],[Status]]="Exited",_xlfn.DAYS(EmployeeData[[#This Row],[Exit Date]],EmployeeData[[#This Row],[Join Date]]))</f>
        <v>203</v>
      </c>
      <c r="L140" cm="1">
        <f t="array" aca="1" ref="L140" ca="1">_xlfn.IFS(EmployeeData[[#This Row],[Status]]="Exited",DATEDIF(EmployeeData[[#This Row],[Join Date]], EmployeeData[[#This Row],[Exit Date]], "Y"),EmployeeData[[#This Row],[Status]]="Active",DATEDIF(EmployeeData[[#This Row],[Join Date]], TODAY(), "Y"))</f>
        <v>0</v>
      </c>
      <c r="Q140" t="str" cm="1">
        <f t="array" aca="1" ref="Q1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141" spans="1:17" hidden="1" x14ac:dyDescent="0.3">
      <c r="A141">
        <v>1140</v>
      </c>
      <c r="B141" t="s">
        <v>984</v>
      </c>
      <c r="C141" t="s">
        <v>15</v>
      </c>
      <c r="D141" t="s">
        <v>24</v>
      </c>
      <c r="E141">
        <v>43</v>
      </c>
      <c r="F141" t="str" cm="1">
        <f t="array" ref="F141">_xlfn.IFS(EmployeeData[[#This Row],[Age]]&lt;30,"20s",EmployeeData[[#This Row],[Age]]&lt;40,"30s",EmployeeData[[#This Row],[Age]]&lt;50,"40s",EmployeeData[[#This Row],[Age]]&lt;60,"50s",EmployeeData[[#This Row],[Age]]&gt;=60,"60s")</f>
        <v>40s</v>
      </c>
      <c r="G141" s="5">
        <v>44861</v>
      </c>
      <c r="H141" s="5">
        <v>46165</v>
      </c>
      <c r="I141" t="s">
        <v>65</v>
      </c>
      <c r="J141" t="s">
        <v>13</v>
      </c>
      <c r="K141" cm="1">
        <f t="array" aca="1" ref="K141" ca="1">_xlfn.IFS(EmployeeData[[#This Row],[Status]]="Active",_xlfn.DAYS(TODAY(),EmployeeData[[#This Row],[Join Date]]),EmployeeData[[#This Row],[Status]]="Exited",_xlfn.DAYS(EmployeeData[[#This Row],[Exit Date]],EmployeeData[[#This Row],[Join Date]]))</f>
        <v>1304</v>
      </c>
      <c r="L141" cm="1">
        <f t="array" aca="1" ref="L141" ca="1">_xlfn.IFS(EmployeeData[[#This Row],[Status]]="Exited",DATEDIF(EmployeeData[[#This Row],[Join Date]], EmployeeData[[#This Row],[Exit Date]], "Y"),EmployeeData[[#This Row],[Status]]="Active",DATEDIF(EmployeeData[[#This Row],[Join Date]], TODAY(), "Y"))</f>
        <v>3</v>
      </c>
      <c r="Q141" t="str" cm="1">
        <f t="array" aca="1" ref="Q1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26 days</v>
      </c>
    </row>
    <row r="142" spans="1:17" hidden="1" x14ac:dyDescent="0.3">
      <c r="A142">
        <v>1141</v>
      </c>
      <c r="B142" t="s">
        <v>522</v>
      </c>
      <c r="C142" t="s">
        <v>15</v>
      </c>
      <c r="D142" t="s">
        <v>16</v>
      </c>
      <c r="E142">
        <v>34</v>
      </c>
      <c r="F142" t="str" cm="1">
        <f t="array" ref="F142">_xlfn.IFS(EmployeeData[[#This Row],[Age]]&lt;30,"20s",EmployeeData[[#This Row],[Age]]&lt;40,"30s",EmployeeData[[#This Row],[Age]]&lt;50,"40s",EmployeeData[[#This Row],[Age]]&lt;60,"50s",EmployeeData[[#This Row],[Age]]&gt;=60,"60s")</f>
        <v>30s</v>
      </c>
      <c r="G142" s="5">
        <v>43663</v>
      </c>
      <c r="I142" t="s">
        <v>17</v>
      </c>
      <c r="J142" t="s">
        <v>18</v>
      </c>
      <c r="K142" cm="1">
        <f t="array" aca="1" ref="K142" ca="1">_xlfn.IFS(EmployeeData[[#This Row],[Status]]="Active",_xlfn.DAYS(TODAY(),EmployeeData[[#This Row],[Join Date]]),EmployeeData[[#This Row],[Status]]="Exited",_xlfn.DAYS(EmployeeData[[#This Row],[Exit Date]],EmployeeData[[#This Row],[Join Date]]))</f>
        <v>2534</v>
      </c>
      <c r="L142" cm="1">
        <f t="array" aca="1" ref="L142" ca="1">_xlfn.IFS(EmployeeData[[#This Row],[Status]]="Exited",DATEDIF(EmployeeData[[#This Row],[Join Date]], EmployeeData[[#This Row],[Exit Date]], "Y"),EmployeeData[[#This Row],[Status]]="Active",DATEDIF(EmployeeData[[#This Row],[Join Date]], TODAY(), "Y"))</f>
        <v>6</v>
      </c>
      <c r="Q142" t="str" cm="1">
        <f t="array" aca="1" ref="Q1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7 days</v>
      </c>
    </row>
    <row r="143" spans="1:17" hidden="1" x14ac:dyDescent="0.3">
      <c r="A143">
        <v>1142</v>
      </c>
      <c r="B143" t="s">
        <v>644</v>
      </c>
      <c r="C143" t="s">
        <v>20</v>
      </c>
      <c r="D143" t="s">
        <v>16</v>
      </c>
      <c r="E143">
        <v>45</v>
      </c>
      <c r="F143" t="str" cm="1">
        <f t="array" ref="F143">_xlfn.IFS(EmployeeData[[#This Row],[Age]]&lt;30,"20s",EmployeeData[[#This Row],[Age]]&lt;40,"30s",EmployeeData[[#This Row],[Age]]&lt;50,"40s",EmployeeData[[#This Row],[Age]]&lt;60,"50s",EmployeeData[[#This Row],[Age]]&gt;=60,"60s")</f>
        <v>40s</v>
      </c>
      <c r="G143" s="5">
        <v>45282</v>
      </c>
      <c r="I143" t="s">
        <v>17</v>
      </c>
      <c r="J143" t="s">
        <v>18</v>
      </c>
      <c r="K143" cm="1">
        <f t="array" aca="1" ref="K143" ca="1">_xlfn.IFS(EmployeeData[[#This Row],[Status]]="Active",_xlfn.DAYS(TODAY(),EmployeeData[[#This Row],[Join Date]]),EmployeeData[[#This Row],[Status]]="Exited",_xlfn.DAYS(EmployeeData[[#This Row],[Exit Date]],EmployeeData[[#This Row],[Join Date]]))</f>
        <v>915</v>
      </c>
      <c r="L143" cm="1">
        <f t="array" aca="1" ref="L143" ca="1">_xlfn.IFS(EmployeeData[[#This Row],[Status]]="Exited",DATEDIF(EmployeeData[[#This Row],[Join Date]], EmployeeData[[#This Row],[Exit Date]], "Y"),EmployeeData[[#This Row],[Status]]="Active",DATEDIF(EmployeeData[[#This Row],[Join Date]], TODAY(), "Y"))</f>
        <v>2</v>
      </c>
      <c r="Q143" t="str" cm="1">
        <f t="array" aca="1" ref="Q1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 days</v>
      </c>
    </row>
    <row r="144" spans="1:17" hidden="1" x14ac:dyDescent="0.3">
      <c r="A144">
        <v>1143</v>
      </c>
      <c r="B144" t="s">
        <v>650</v>
      </c>
      <c r="C144" t="s">
        <v>20</v>
      </c>
      <c r="D144" t="s">
        <v>16</v>
      </c>
      <c r="E144">
        <v>23</v>
      </c>
      <c r="F144" t="str" cm="1">
        <f t="array" ref="F144">_xlfn.IFS(EmployeeData[[#This Row],[Age]]&lt;30,"20s",EmployeeData[[#This Row],[Age]]&lt;40,"30s",EmployeeData[[#This Row],[Age]]&lt;50,"40s",EmployeeData[[#This Row],[Age]]&lt;60,"50s",EmployeeData[[#This Row],[Age]]&gt;=60,"60s")</f>
        <v>20s</v>
      </c>
      <c r="G144" s="5">
        <v>44887</v>
      </c>
      <c r="H144" s="5">
        <v>45136</v>
      </c>
      <c r="I144" t="s">
        <v>52</v>
      </c>
      <c r="J144" t="s">
        <v>13</v>
      </c>
      <c r="K144" cm="1">
        <f t="array" aca="1" ref="K144" ca="1">_xlfn.IFS(EmployeeData[[#This Row],[Status]]="Active",_xlfn.DAYS(TODAY(),EmployeeData[[#This Row],[Join Date]]),EmployeeData[[#This Row],[Status]]="Exited",_xlfn.DAYS(EmployeeData[[#This Row],[Exit Date]],EmployeeData[[#This Row],[Join Date]]))</f>
        <v>249</v>
      </c>
      <c r="L144" cm="1">
        <f t="array" aca="1" ref="L144" ca="1">_xlfn.IFS(EmployeeData[[#This Row],[Status]]="Exited",DATEDIF(EmployeeData[[#This Row],[Join Date]], EmployeeData[[#This Row],[Exit Date]], "Y"),EmployeeData[[#This Row],[Status]]="Active",DATEDIF(EmployeeData[[#This Row],[Join Date]], TODAY(), "Y"))</f>
        <v>0</v>
      </c>
      <c r="Q144" t="str" cm="1">
        <f t="array" aca="1" ref="Q1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145" spans="1:17" hidden="1" x14ac:dyDescent="0.3">
      <c r="A145">
        <v>1144</v>
      </c>
      <c r="B145" t="s">
        <v>149</v>
      </c>
      <c r="C145" t="s">
        <v>10</v>
      </c>
      <c r="D145" t="s">
        <v>24</v>
      </c>
      <c r="E145">
        <v>41</v>
      </c>
      <c r="F145" t="str" cm="1">
        <f t="array" ref="F145">_xlfn.IFS(EmployeeData[[#This Row],[Age]]&lt;30,"20s",EmployeeData[[#This Row],[Age]]&lt;40,"30s",EmployeeData[[#This Row],[Age]]&lt;50,"40s",EmployeeData[[#This Row],[Age]]&lt;60,"50s",EmployeeData[[#This Row],[Age]]&gt;=60,"60s")</f>
        <v>40s</v>
      </c>
      <c r="G145" s="5">
        <v>43804</v>
      </c>
      <c r="I145" t="s">
        <v>17</v>
      </c>
      <c r="J145" t="s">
        <v>18</v>
      </c>
      <c r="K145" cm="1">
        <f t="array" aca="1" ref="K145" ca="1">_xlfn.IFS(EmployeeData[[#This Row],[Status]]="Active",_xlfn.DAYS(TODAY(),EmployeeData[[#This Row],[Join Date]]),EmployeeData[[#This Row],[Status]]="Exited",_xlfn.DAYS(EmployeeData[[#This Row],[Exit Date]],EmployeeData[[#This Row],[Join Date]]))</f>
        <v>2393</v>
      </c>
      <c r="L145" cm="1">
        <f t="array" aca="1" ref="L145" ca="1">_xlfn.IFS(EmployeeData[[#This Row],[Status]]="Exited",DATEDIF(EmployeeData[[#This Row],[Join Date]], EmployeeData[[#This Row],[Exit Date]], "Y"),EmployeeData[[#This Row],[Status]]="Active",DATEDIF(EmployeeData[[#This Row],[Join Date]], TODAY(), "Y"))</f>
        <v>6</v>
      </c>
      <c r="Q145" t="str" cm="1">
        <f t="array" aca="1" ref="Q1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146" spans="1:17" hidden="1" x14ac:dyDescent="0.3">
      <c r="A146">
        <v>1145</v>
      </c>
      <c r="B146" t="s">
        <v>158</v>
      </c>
      <c r="C146" t="s">
        <v>15</v>
      </c>
      <c r="D146" t="s">
        <v>11</v>
      </c>
      <c r="E146">
        <v>36</v>
      </c>
      <c r="F146" t="str" cm="1">
        <f t="array" ref="F146">_xlfn.IFS(EmployeeData[[#This Row],[Age]]&lt;30,"20s",EmployeeData[[#This Row],[Age]]&lt;40,"30s",EmployeeData[[#This Row],[Age]]&lt;50,"40s",EmployeeData[[#This Row],[Age]]&lt;60,"50s",EmployeeData[[#This Row],[Age]]&gt;=60,"60s")</f>
        <v>30s</v>
      </c>
      <c r="G146" s="5">
        <v>44885</v>
      </c>
      <c r="I146" t="s">
        <v>17</v>
      </c>
      <c r="J146" t="s">
        <v>18</v>
      </c>
      <c r="K146" cm="1">
        <f t="array" aca="1" ref="K146" ca="1">_xlfn.IFS(EmployeeData[[#This Row],[Status]]="Active",_xlfn.DAYS(TODAY(),EmployeeData[[#This Row],[Join Date]]),EmployeeData[[#This Row],[Status]]="Exited",_xlfn.DAYS(EmployeeData[[#This Row],[Exit Date]],EmployeeData[[#This Row],[Join Date]]))</f>
        <v>1312</v>
      </c>
      <c r="L146" cm="1">
        <f t="array" aca="1" ref="L146" ca="1">_xlfn.IFS(EmployeeData[[#This Row],[Status]]="Exited",DATEDIF(EmployeeData[[#This Row],[Join Date]], EmployeeData[[#This Row],[Exit Date]], "Y"),EmployeeData[[#This Row],[Status]]="Active",DATEDIF(EmployeeData[[#This Row],[Join Date]], TODAY(), "Y"))</f>
        <v>3</v>
      </c>
      <c r="Q146" t="str" cm="1">
        <f t="array" aca="1" ref="Q1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4 days</v>
      </c>
    </row>
    <row r="147" spans="1:17" x14ac:dyDescent="0.3">
      <c r="A147">
        <v>1146</v>
      </c>
      <c r="B147" t="s">
        <v>873</v>
      </c>
      <c r="C147" t="s">
        <v>20</v>
      </c>
      <c r="D147" t="s">
        <v>16</v>
      </c>
      <c r="E147">
        <v>31</v>
      </c>
      <c r="F147" t="str" cm="1">
        <f t="array" ref="F147">_xlfn.IFS(EmployeeData[[#This Row],[Age]]&lt;30,"20s",EmployeeData[[#This Row],[Age]]&lt;40,"30s",EmployeeData[[#This Row],[Age]]&lt;50,"40s",EmployeeData[[#This Row],[Age]]&lt;60,"50s",EmployeeData[[#This Row],[Age]]&gt;=60,"60s")</f>
        <v>30s</v>
      </c>
      <c r="G147" s="5">
        <v>43413</v>
      </c>
      <c r="I147" t="s">
        <v>17</v>
      </c>
      <c r="J147" t="s">
        <v>18</v>
      </c>
      <c r="K147" cm="1">
        <f t="array" aca="1" ref="K147" ca="1">_xlfn.IFS(EmployeeData[[#This Row],[Status]]="Active",_xlfn.DAYS(TODAY(),EmployeeData[[#This Row],[Join Date]]),EmployeeData[[#This Row],[Status]]="Exited",_xlfn.DAYS(EmployeeData[[#This Row],[Exit Date]],EmployeeData[[#This Row],[Join Date]]))</f>
        <v>2784</v>
      </c>
      <c r="L147" cm="1">
        <f t="array" aca="1" ref="L147" ca="1">_xlfn.IFS(EmployeeData[[#This Row],[Status]]="Exited",DATEDIF(EmployeeData[[#This Row],[Join Date]], EmployeeData[[#This Row],[Exit Date]], "Y"),EmployeeData[[#This Row],[Status]]="Active",DATEDIF(EmployeeData[[#This Row],[Join Date]], TODAY(), "Y"))</f>
        <v>7</v>
      </c>
      <c r="Q147" t="str" cm="1">
        <f t="array" aca="1" ref="Q1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15 days</v>
      </c>
    </row>
    <row r="148" spans="1:17" hidden="1" x14ac:dyDescent="0.3">
      <c r="A148">
        <v>1147</v>
      </c>
      <c r="B148" t="s">
        <v>512</v>
      </c>
      <c r="C148" t="s">
        <v>10</v>
      </c>
      <c r="D148" t="s">
        <v>11</v>
      </c>
      <c r="E148">
        <v>30</v>
      </c>
      <c r="F148" t="str" cm="1">
        <f t="array" ref="F148">_xlfn.IFS(EmployeeData[[#This Row],[Age]]&lt;30,"20s",EmployeeData[[#This Row],[Age]]&lt;40,"30s",EmployeeData[[#This Row],[Age]]&lt;50,"40s",EmployeeData[[#This Row],[Age]]&lt;60,"50s",EmployeeData[[#This Row],[Age]]&gt;=60,"60s")</f>
        <v>30s</v>
      </c>
      <c r="G148" s="5">
        <v>44068</v>
      </c>
      <c r="H148" s="5">
        <v>44682</v>
      </c>
      <c r="I148" t="s">
        <v>31</v>
      </c>
      <c r="J148" t="s">
        <v>13</v>
      </c>
      <c r="K148" cm="1">
        <f t="array" aca="1" ref="K148" ca="1">_xlfn.IFS(EmployeeData[[#This Row],[Status]]="Active",_xlfn.DAYS(TODAY(),EmployeeData[[#This Row],[Join Date]]),EmployeeData[[#This Row],[Status]]="Exited",_xlfn.DAYS(EmployeeData[[#This Row],[Exit Date]],EmployeeData[[#This Row],[Join Date]]))</f>
        <v>614</v>
      </c>
      <c r="L148" cm="1">
        <f t="array" aca="1" ref="L148" ca="1">_xlfn.IFS(EmployeeData[[#This Row],[Status]]="Exited",DATEDIF(EmployeeData[[#This Row],[Join Date]], EmployeeData[[#This Row],[Exit Date]], "Y"),EmployeeData[[#This Row],[Status]]="Active",DATEDIF(EmployeeData[[#This Row],[Join Date]], TODAY(), "Y"))</f>
        <v>1</v>
      </c>
      <c r="Q148" t="str" cm="1">
        <f t="array" aca="1" ref="Q1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149" spans="1:17" hidden="1" x14ac:dyDescent="0.3">
      <c r="A149">
        <v>1148</v>
      </c>
      <c r="B149" t="s">
        <v>814</v>
      </c>
      <c r="C149" t="s">
        <v>20</v>
      </c>
      <c r="D149" t="s">
        <v>16</v>
      </c>
      <c r="E149">
        <v>52</v>
      </c>
      <c r="F149" t="str" cm="1">
        <f t="array" ref="F149">_xlfn.IFS(EmployeeData[[#This Row],[Age]]&lt;30,"20s",EmployeeData[[#This Row],[Age]]&lt;40,"30s",EmployeeData[[#This Row],[Age]]&lt;50,"40s",EmployeeData[[#This Row],[Age]]&lt;60,"50s",EmployeeData[[#This Row],[Age]]&gt;=60,"60s")</f>
        <v>50s</v>
      </c>
      <c r="G149" s="5">
        <v>45001</v>
      </c>
      <c r="I149" t="s">
        <v>17</v>
      </c>
      <c r="J149" t="s">
        <v>18</v>
      </c>
      <c r="K149" cm="1">
        <f t="array" aca="1" ref="K149" ca="1">_xlfn.IFS(EmployeeData[[#This Row],[Status]]="Active",_xlfn.DAYS(TODAY(),EmployeeData[[#This Row],[Join Date]]),EmployeeData[[#This Row],[Status]]="Exited",_xlfn.DAYS(EmployeeData[[#This Row],[Exit Date]],EmployeeData[[#This Row],[Join Date]]))</f>
        <v>1196</v>
      </c>
      <c r="L149" cm="1">
        <f t="array" aca="1" ref="L149" ca="1">_xlfn.IFS(EmployeeData[[#This Row],[Status]]="Exited",DATEDIF(EmployeeData[[#This Row],[Join Date]], EmployeeData[[#This Row],[Exit Date]], "Y"),EmployeeData[[#This Row],[Status]]="Active",DATEDIF(EmployeeData[[#This Row],[Join Date]], TODAY(), "Y"))</f>
        <v>3</v>
      </c>
      <c r="Q149" t="str" cm="1">
        <f t="array" aca="1" ref="Q1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8 days</v>
      </c>
    </row>
    <row r="150" spans="1:17" hidden="1" x14ac:dyDescent="0.3">
      <c r="A150">
        <v>1149</v>
      </c>
      <c r="B150" t="s">
        <v>724</v>
      </c>
      <c r="C150" t="s">
        <v>23</v>
      </c>
      <c r="D150" t="s">
        <v>24</v>
      </c>
      <c r="E150">
        <v>41</v>
      </c>
      <c r="F150" t="str" cm="1">
        <f t="array" ref="F150">_xlfn.IFS(EmployeeData[[#This Row],[Age]]&lt;30,"20s",EmployeeData[[#This Row],[Age]]&lt;40,"30s",EmployeeData[[#This Row],[Age]]&lt;50,"40s",EmployeeData[[#This Row],[Age]]&lt;60,"50s",EmployeeData[[#This Row],[Age]]&gt;=60,"60s")</f>
        <v>40s</v>
      </c>
      <c r="G150" s="5">
        <v>45670</v>
      </c>
      <c r="H150" s="5">
        <v>45985</v>
      </c>
      <c r="I150" t="s">
        <v>31</v>
      </c>
      <c r="J150" t="s">
        <v>13</v>
      </c>
      <c r="K150" cm="1">
        <f t="array" aca="1" ref="K150" ca="1">_xlfn.IFS(EmployeeData[[#This Row],[Status]]="Active",_xlfn.DAYS(TODAY(),EmployeeData[[#This Row],[Join Date]]),EmployeeData[[#This Row],[Status]]="Exited",_xlfn.DAYS(EmployeeData[[#This Row],[Exit Date]],EmployeeData[[#This Row],[Join Date]]))</f>
        <v>315</v>
      </c>
      <c r="L150" cm="1">
        <f t="array" aca="1" ref="L150" ca="1">_xlfn.IFS(EmployeeData[[#This Row],[Status]]="Exited",DATEDIF(EmployeeData[[#This Row],[Join Date]], EmployeeData[[#This Row],[Exit Date]], "Y"),EmployeeData[[#This Row],[Status]]="Active",DATEDIF(EmployeeData[[#This Row],[Join Date]], TODAY(), "Y"))</f>
        <v>0</v>
      </c>
      <c r="Q150" t="str" cm="1">
        <f t="array" aca="1" ref="Q1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151" spans="1:17" hidden="1" x14ac:dyDescent="0.3">
      <c r="A151">
        <v>1150</v>
      </c>
      <c r="B151" t="s">
        <v>916</v>
      </c>
      <c r="C151" t="s">
        <v>23</v>
      </c>
      <c r="D151" t="s">
        <v>24</v>
      </c>
      <c r="E151">
        <v>25</v>
      </c>
      <c r="F151" t="str" cm="1">
        <f t="array" ref="F151">_xlfn.IFS(EmployeeData[[#This Row],[Age]]&lt;30,"20s",EmployeeData[[#This Row],[Age]]&lt;40,"30s",EmployeeData[[#This Row],[Age]]&lt;50,"40s",EmployeeData[[#This Row],[Age]]&lt;60,"50s",EmployeeData[[#This Row],[Age]]&gt;=60,"60s")</f>
        <v>20s</v>
      </c>
      <c r="G151" s="5">
        <v>44372</v>
      </c>
      <c r="I151" t="s">
        <v>17</v>
      </c>
      <c r="J151" t="s">
        <v>18</v>
      </c>
      <c r="K151" cm="1">
        <f t="array" aca="1" ref="K151" ca="1">_xlfn.IFS(EmployeeData[[#This Row],[Status]]="Active",_xlfn.DAYS(TODAY(),EmployeeData[[#This Row],[Join Date]]),EmployeeData[[#This Row],[Status]]="Exited",_xlfn.DAYS(EmployeeData[[#This Row],[Exit Date]],EmployeeData[[#This Row],[Join Date]]))</f>
        <v>1825</v>
      </c>
      <c r="L151" cm="1">
        <f t="array" aca="1" ref="L151" ca="1">_xlfn.IFS(EmployeeData[[#This Row],[Status]]="Exited",DATEDIF(EmployeeData[[#This Row],[Join Date]], EmployeeData[[#This Row],[Exit Date]], "Y"),EmployeeData[[#This Row],[Status]]="Active",DATEDIF(EmployeeData[[#This Row],[Join Date]], TODAY(), "Y"))</f>
        <v>4</v>
      </c>
      <c r="Q151" t="str" cm="1">
        <f t="array" aca="1" ref="Q1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30 days</v>
      </c>
    </row>
    <row r="152" spans="1:17" hidden="1" x14ac:dyDescent="0.3">
      <c r="A152">
        <v>1151</v>
      </c>
      <c r="B152" t="s">
        <v>844</v>
      </c>
      <c r="C152" t="s">
        <v>15</v>
      </c>
      <c r="D152" t="s">
        <v>11</v>
      </c>
      <c r="E152">
        <v>26</v>
      </c>
      <c r="F152" t="str" cm="1">
        <f t="array" ref="F152">_xlfn.IFS(EmployeeData[[#This Row],[Age]]&lt;30,"20s",EmployeeData[[#This Row],[Age]]&lt;40,"30s",EmployeeData[[#This Row],[Age]]&lt;50,"40s",EmployeeData[[#This Row],[Age]]&lt;60,"50s",EmployeeData[[#This Row],[Age]]&gt;=60,"60s")</f>
        <v>20s</v>
      </c>
      <c r="G152" s="5">
        <v>45620</v>
      </c>
      <c r="I152" t="s">
        <v>17</v>
      </c>
      <c r="J152" t="s">
        <v>18</v>
      </c>
      <c r="K152" cm="1">
        <f t="array" aca="1" ref="K152" ca="1">_xlfn.IFS(EmployeeData[[#This Row],[Status]]="Active",_xlfn.DAYS(TODAY(),EmployeeData[[#This Row],[Join Date]]),EmployeeData[[#This Row],[Status]]="Exited",_xlfn.DAYS(EmployeeData[[#This Row],[Exit Date]],EmployeeData[[#This Row],[Join Date]]))</f>
        <v>577</v>
      </c>
      <c r="L152" cm="1">
        <f t="array" aca="1" ref="L152" ca="1">_xlfn.IFS(EmployeeData[[#This Row],[Status]]="Exited",DATEDIF(EmployeeData[[#This Row],[Join Date]], EmployeeData[[#This Row],[Exit Date]], "Y"),EmployeeData[[#This Row],[Status]]="Active",DATEDIF(EmployeeData[[#This Row],[Join Date]], TODAY(), "Y"))</f>
        <v>1</v>
      </c>
      <c r="Q152" t="str" cm="1">
        <f t="array" aca="1" ref="Q1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0 days</v>
      </c>
    </row>
    <row r="153" spans="1:17" hidden="1" x14ac:dyDescent="0.3">
      <c r="A153">
        <v>1152</v>
      </c>
      <c r="B153" t="s">
        <v>964</v>
      </c>
      <c r="C153" t="s">
        <v>10</v>
      </c>
      <c r="D153" t="s">
        <v>11</v>
      </c>
      <c r="E153">
        <v>33</v>
      </c>
      <c r="F153" t="str" cm="1">
        <f t="array" ref="F153">_xlfn.IFS(EmployeeData[[#This Row],[Age]]&lt;30,"20s",EmployeeData[[#This Row],[Age]]&lt;40,"30s",EmployeeData[[#This Row],[Age]]&lt;50,"40s",EmployeeData[[#This Row],[Age]]&lt;60,"50s",EmployeeData[[#This Row],[Age]]&gt;=60,"60s")</f>
        <v>30s</v>
      </c>
      <c r="G153" s="5">
        <v>44417</v>
      </c>
      <c r="I153" t="s">
        <v>17</v>
      </c>
      <c r="J153" t="s">
        <v>18</v>
      </c>
      <c r="K153" cm="1">
        <f t="array" aca="1" ref="K153" ca="1">_xlfn.IFS(EmployeeData[[#This Row],[Status]]="Active",_xlfn.DAYS(TODAY(),EmployeeData[[#This Row],[Join Date]]),EmployeeData[[#This Row],[Status]]="Exited",_xlfn.DAYS(EmployeeData[[#This Row],[Exit Date]],EmployeeData[[#This Row],[Join Date]]))</f>
        <v>1780</v>
      </c>
      <c r="L153" cm="1">
        <f t="array" aca="1" ref="L153" ca="1">_xlfn.IFS(EmployeeData[[#This Row],[Status]]="Exited",DATEDIF(EmployeeData[[#This Row],[Join Date]], EmployeeData[[#This Row],[Exit Date]], "Y"),EmployeeData[[#This Row],[Status]]="Active",DATEDIF(EmployeeData[[#This Row],[Join Date]], TODAY(), "Y"))</f>
        <v>4</v>
      </c>
      <c r="Q153" t="str" cm="1">
        <f t="array" aca="1" ref="Q1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154" spans="1:17" x14ac:dyDescent="0.3">
      <c r="A154">
        <v>1153</v>
      </c>
      <c r="B154" t="s">
        <v>217</v>
      </c>
      <c r="C154" t="s">
        <v>10</v>
      </c>
      <c r="D154" t="s">
        <v>11</v>
      </c>
      <c r="E154">
        <v>42</v>
      </c>
      <c r="F154" t="str" cm="1">
        <f t="array" ref="F154">_xlfn.IFS(EmployeeData[[#This Row],[Age]]&lt;30,"20s",EmployeeData[[#This Row],[Age]]&lt;40,"30s",EmployeeData[[#This Row],[Age]]&lt;50,"40s",EmployeeData[[#This Row],[Age]]&lt;60,"50s",EmployeeData[[#This Row],[Age]]&gt;=60,"60s")</f>
        <v>40s</v>
      </c>
      <c r="G154" s="5">
        <v>43446</v>
      </c>
      <c r="I154" t="s">
        <v>17</v>
      </c>
      <c r="J154" t="s">
        <v>18</v>
      </c>
      <c r="K154" cm="1">
        <f t="array" aca="1" ref="K154" ca="1">_xlfn.IFS(EmployeeData[[#This Row],[Status]]="Active",_xlfn.DAYS(TODAY(),EmployeeData[[#This Row],[Join Date]]),EmployeeData[[#This Row],[Status]]="Exited",_xlfn.DAYS(EmployeeData[[#This Row],[Exit Date]],EmployeeData[[#This Row],[Join Date]]))</f>
        <v>2751</v>
      </c>
      <c r="L154" cm="1">
        <f t="array" aca="1" ref="L154" ca="1">_xlfn.IFS(EmployeeData[[#This Row],[Status]]="Exited",DATEDIF(EmployeeData[[#This Row],[Join Date]], EmployeeData[[#This Row],[Exit Date]], "Y"),EmployeeData[[#This Row],[Status]]="Active",DATEDIF(EmployeeData[[#This Row],[Join Date]], TODAY(), "Y"))</f>
        <v>7</v>
      </c>
      <c r="Q154" t="str" cm="1">
        <f t="array" aca="1" ref="Q1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12 days</v>
      </c>
    </row>
    <row r="155" spans="1:17" hidden="1" x14ac:dyDescent="0.3">
      <c r="A155">
        <v>1154</v>
      </c>
      <c r="B155" t="s">
        <v>225</v>
      </c>
      <c r="C155" t="s">
        <v>46</v>
      </c>
      <c r="D155" t="s">
        <v>24</v>
      </c>
      <c r="E155">
        <v>31</v>
      </c>
      <c r="F155" t="str" cm="1">
        <f t="array" ref="F155">_xlfn.IFS(EmployeeData[[#This Row],[Age]]&lt;30,"20s",EmployeeData[[#This Row],[Age]]&lt;40,"30s",EmployeeData[[#This Row],[Age]]&lt;50,"40s",EmployeeData[[#This Row],[Age]]&lt;60,"50s",EmployeeData[[#This Row],[Age]]&gt;=60,"60s")</f>
        <v>30s</v>
      </c>
      <c r="G155" s="5">
        <v>44591</v>
      </c>
      <c r="H155" s="5">
        <v>45260</v>
      </c>
      <c r="I155" t="s">
        <v>12</v>
      </c>
      <c r="J155" t="s">
        <v>13</v>
      </c>
      <c r="K155" cm="1">
        <f t="array" aca="1" ref="K155" ca="1">_xlfn.IFS(EmployeeData[[#This Row],[Status]]="Active",_xlfn.DAYS(TODAY(),EmployeeData[[#This Row],[Join Date]]),EmployeeData[[#This Row],[Status]]="Exited",_xlfn.DAYS(EmployeeData[[#This Row],[Exit Date]],EmployeeData[[#This Row],[Join Date]]))</f>
        <v>669</v>
      </c>
      <c r="L155" cm="1">
        <f t="array" aca="1" ref="L155" ca="1">_xlfn.IFS(EmployeeData[[#This Row],[Status]]="Exited",DATEDIF(EmployeeData[[#This Row],[Join Date]], EmployeeData[[#This Row],[Exit Date]], "Y"),EmployeeData[[#This Row],[Status]]="Active",DATEDIF(EmployeeData[[#This Row],[Join Date]], TODAY(), "Y"))</f>
        <v>1</v>
      </c>
      <c r="Q155" t="str" cm="1">
        <f t="array" aca="1" ref="Q1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0 days</v>
      </c>
    </row>
    <row r="156" spans="1:17" hidden="1" x14ac:dyDescent="0.3">
      <c r="A156">
        <v>1155</v>
      </c>
      <c r="B156" t="s">
        <v>182</v>
      </c>
      <c r="C156" t="s">
        <v>15</v>
      </c>
      <c r="D156" t="s">
        <v>16</v>
      </c>
      <c r="E156">
        <v>45</v>
      </c>
      <c r="F156" t="str" cm="1">
        <f t="array" ref="F156">_xlfn.IFS(EmployeeData[[#This Row],[Age]]&lt;30,"20s",EmployeeData[[#This Row],[Age]]&lt;40,"30s",EmployeeData[[#This Row],[Age]]&lt;50,"40s",EmployeeData[[#This Row],[Age]]&lt;60,"50s",EmployeeData[[#This Row],[Age]]&gt;=60,"60s")</f>
        <v>40s</v>
      </c>
      <c r="G156" s="5">
        <v>44264</v>
      </c>
      <c r="H156" s="5">
        <v>46098</v>
      </c>
      <c r="I156" t="s">
        <v>28</v>
      </c>
      <c r="J156" t="s">
        <v>13</v>
      </c>
      <c r="K156" cm="1">
        <f t="array" aca="1" ref="K156" ca="1">_xlfn.IFS(EmployeeData[[#This Row],[Status]]="Active",_xlfn.DAYS(TODAY(),EmployeeData[[#This Row],[Join Date]]),EmployeeData[[#This Row],[Status]]="Exited",_xlfn.DAYS(EmployeeData[[#This Row],[Exit Date]],EmployeeData[[#This Row],[Join Date]]))</f>
        <v>1834</v>
      </c>
      <c r="L156" cm="1">
        <f t="array" aca="1" ref="L156" ca="1">_xlfn.IFS(EmployeeData[[#This Row],[Status]]="Exited",DATEDIF(EmployeeData[[#This Row],[Join Date]], EmployeeData[[#This Row],[Exit Date]], "Y"),EmployeeData[[#This Row],[Status]]="Active",DATEDIF(EmployeeData[[#This Row],[Join Date]], TODAY(), "Y"))</f>
        <v>5</v>
      </c>
      <c r="Q156" t="str" cm="1">
        <f t="array" aca="1" ref="Q1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8 days</v>
      </c>
    </row>
    <row r="157" spans="1:17" hidden="1" x14ac:dyDescent="0.3">
      <c r="A157">
        <v>1156</v>
      </c>
      <c r="B157" t="s">
        <v>533</v>
      </c>
      <c r="C157" t="s">
        <v>46</v>
      </c>
      <c r="D157" t="s">
        <v>16</v>
      </c>
      <c r="E157">
        <v>46</v>
      </c>
      <c r="F157" t="str" cm="1">
        <f t="array" ref="F157">_xlfn.IFS(EmployeeData[[#This Row],[Age]]&lt;30,"20s",EmployeeData[[#This Row],[Age]]&lt;40,"30s",EmployeeData[[#This Row],[Age]]&lt;50,"40s",EmployeeData[[#This Row],[Age]]&lt;60,"50s",EmployeeData[[#This Row],[Age]]&gt;=60,"60s")</f>
        <v>40s</v>
      </c>
      <c r="G157" s="5">
        <v>43629</v>
      </c>
      <c r="I157" t="s">
        <v>17</v>
      </c>
      <c r="J157" t="s">
        <v>18</v>
      </c>
      <c r="K157" cm="1">
        <f t="array" aca="1" ref="K157" ca="1">_xlfn.IFS(EmployeeData[[#This Row],[Status]]="Active",_xlfn.DAYS(TODAY(),EmployeeData[[#This Row],[Join Date]]),EmployeeData[[#This Row],[Status]]="Exited",_xlfn.DAYS(EmployeeData[[#This Row],[Exit Date]],EmployeeData[[#This Row],[Join Date]]))</f>
        <v>2568</v>
      </c>
      <c r="L157" cm="1">
        <f t="array" aca="1" ref="L157" ca="1">_xlfn.IFS(EmployeeData[[#This Row],[Status]]="Exited",DATEDIF(EmployeeData[[#This Row],[Join Date]], EmployeeData[[#This Row],[Exit Date]], "Y"),EmployeeData[[#This Row],[Status]]="Active",DATEDIF(EmployeeData[[#This Row],[Join Date]], TODAY(), "Y"))</f>
        <v>7</v>
      </c>
      <c r="Q157" t="str" cm="1">
        <f t="array" aca="1" ref="Q1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11 days</v>
      </c>
    </row>
    <row r="158" spans="1:17" hidden="1" x14ac:dyDescent="0.3">
      <c r="A158">
        <v>1157</v>
      </c>
      <c r="B158" t="s">
        <v>778</v>
      </c>
      <c r="C158" t="s">
        <v>33</v>
      </c>
      <c r="D158" t="s">
        <v>24</v>
      </c>
      <c r="E158">
        <v>54</v>
      </c>
      <c r="F158" t="str" cm="1">
        <f t="array" ref="F158">_xlfn.IFS(EmployeeData[[#This Row],[Age]]&lt;30,"20s",EmployeeData[[#This Row],[Age]]&lt;40,"30s",EmployeeData[[#This Row],[Age]]&lt;50,"40s",EmployeeData[[#This Row],[Age]]&lt;60,"50s",EmployeeData[[#This Row],[Age]]&gt;=60,"60s")</f>
        <v>50s</v>
      </c>
      <c r="G158" s="5">
        <v>43483</v>
      </c>
      <c r="I158" t="s">
        <v>17</v>
      </c>
      <c r="J158" t="s">
        <v>18</v>
      </c>
      <c r="K158" cm="1">
        <f t="array" aca="1" ref="K158" ca="1">_xlfn.IFS(EmployeeData[[#This Row],[Status]]="Active",_xlfn.DAYS(TODAY(),EmployeeData[[#This Row],[Join Date]]),EmployeeData[[#This Row],[Status]]="Exited",_xlfn.DAYS(EmployeeData[[#This Row],[Exit Date]],EmployeeData[[#This Row],[Join Date]]))</f>
        <v>2714</v>
      </c>
      <c r="L158" cm="1">
        <f t="array" aca="1" ref="L158" ca="1">_xlfn.IFS(EmployeeData[[#This Row],[Status]]="Exited",DATEDIF(EmployeeData[[#This Row],[Join Date]], EmployeeData[[#This Row],[Exit Date]], "Y"),EmployeeData[[#This Row],[Status]]="Active",DATEDIF(EmployeeData[[#This Row],[Join Date]], TODAY(), "Y"))</f>
        <v>7</v>
      </c>
      <c r="Q158" t="str" cm="1">
        <f t="array" aca="1" ref="Q1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159" spans="1:17" hidden="1" x14ac:dyDescent="0.3">
      <c r="A159">
        <v>1158</v>
      </c>
      <c r="B159" t="s">
        <v>1011</v>
      </c>
      <c r="C159" t="s">
        <v>10</v>
      </c>
      <c r="D159" t="s">
        <v>11</v>
      </c>
      <c r="E159">
        <v>42</v>
      </c>
      <c r="F159" t="str" cm="1">
        <f t="array" ref="F159">_xlfn.IFS(EmployeeData[[#This Row],[Age]]&lt;30,"20s",EmployeeData[[#This Row],[Age]]&lt;40,"30s",EmployeeData[[#This Row],[Age]]&lt;50,"40s",EmployeeData[[#This Row],[Age]]&lt;60,"50s",EmployeeData[[#This Row],[Age]]&gt;=60,"60s")</f>
        <v>40s</v>
      </c>
      <c r="G159" s="5">
        <v>45092</v>
      </c>
      <c r="H159" s="5">
        <v>45322</v>
      </c>
      <c r="I159" t="s">
        <v>31</v>
      </c>
      <c r="J159" t="s">
        <v>13</v>
      </c>
      <c r="K159" cm="1">
        <f t="array" aca="1" ref="K159" ca="1">_xlfn.IFS(EmployeeData[[#This Row],[Status]]="Active",_xlfn.DAYS(TODAY(),EmployeeData[[#This Row],[Join Date]]),EmployeeData[[#This Row],[Status]]="Exited",_xlfn.DAYS(EmployeeData[[#This Row],[Exit Date]],EmployeeData[[#This Row],[Join Date]]))</f>
        <v>230</v>
      </c>
      <c r="L159" cm="1">
        <f t="array" aca="1" ref="L159" ca="1">_xlfn.IFS(EmployeeData[[#This Row],[Status]]="Exited",DATEDIF(EmployeeData[[#This Row],[Join Date]], EmployeeData[[#This Row],[Exit Date]], "Y"),EmployeeData[[#This Row],[Status]]="Active",DATEDIF(EmployeeData[[#This Row],[Join Date]], TODAY(), "Y"))</f>
        <v>0</v>
      </c>
      <c r="Q159" t="str" cm="1">
        <f t="array" aca="1" ref="Q1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60" spans="1:17" hidden="1" x14ac:dyDescent="0.3">
      <c r="A160">
        <v>1159</v>
      </c>
      <c r="B160" t="s">
        <v>945</v>
      </c>
      <c r="C160" t="s">
        <v>20</v>
      </c>
      <c r="D160" t="s">
        <v>11</v>
      </c>
      <c r="E160">
        <v>29</v>
      </c>
      <c r="F160" t="str" cm="1">
        <f t="array" ref="F160">_xlfn.IFS(EmployeeData[[#This Row],[Age]]&lt;30,"20s",EmployeeData[[#This Row],[Age]]&lt;40,"30s",EmployeeData[[#This Row],[Age]]&lt;50,"40s",EmployeeData[[#This Row],[Age]]&lt;60,"50s",EmployeeData[[#This Row],[Age]]&gt;=60,"60s")</f>
        <v>20s</v>
      </c>
      <c r="G160" s="5">
        <v>45547</v>
      </c>
      <c r="H160" s="5">
        <v>45803</v>
      </c>
      <c r="I160" t="s">
        <v>31</v>
      </c>
      <c r="J160" t="s">
        <v>13</v>
      </c>
      <c r="K160" cm="1">
        <f t="array" aca="1" ref="K160" ca="1">_xlfn.IFS(EmployeeData[[#This Row],[Status]]="Active",_xlfn.DAYS(TODAY(),EmployeeData[[#This Row],[Join Date]]),EmployeeData[[#This Row],[Status]]="Exited",_xlfn.DAYS(EmployeeData[[#This Row],[Exit Date]],EmployeeData[[#This Row],[Join Date]]))</f>
        <v>256</v>
      </c>
      <c r="L160" cm="1">
        <f t="array" aca="1" ref="L160" ca="1">_xlfn.IFS(EmployeeData[[#This Row],[Status]]="Exited",DATEDIF(EmployeeData[[#This Row],[Join Date]], EmployeeData[[#This Row],[Exit Date]], "Y"),EmployeeData[[#This Row],[Status]]="Active",DATEDIF(EmployeeData[[#This Row],[Join Date]], TODAY(), "Y"))</f>
        <v>0</v>
      </c>
      <c r="Q160" t="str" cm="1">
        <f t="array" aca="1" ref="Q1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161" spans="1:17" hidden="1" x14ac:dyDescent="0.3">
      <c r="A161">
        <v>1160</v>
      </c>
      <c r="B161" t="s">
        <v>1020</v>
      </c>
      <c r="C161" t="s">
        <v>15</v>
      </c>
      <c r="D161" t="s">
        <v>24</v>
      </c>
      <c r="E161">
        <v>36</v>
      </c>
      <c r="F161" t="str" cm="1">
        <f t="array" ref="F161">_xlfn.IFS(EmployeeData[[#This Row],[Age]]&lt;30,"20s",EmployeeData[[#This Row],[Age]]&lt;40,"30s",EmployeeData[[#This Row],[Age]]&lt;50,"40s",EmployeeData[[#This Row],[Age]]&lt;60,"50s",EmployeeData[[#This Row],[Age]]&gt;=60,"60s")</f>
        <v>30s</v>
      </c>
      <c r="G161" s="5">
        <v>44920</v>
      </c>
      <c r="I161" t="s">
        <v>17</v>
      </c>
      <c r="J161" t="s">
        <v>18</v>
      </c>
      <c r="K161" cm="1">
        <f t="array" aca="1" ref="K161" ca="1">_xlfn.IFS(EmployeeData[[#This Row],[Status]]="Active",_xlfn.DAYS(TODAY(),EmployeeData[[#This Row],[Join Date]]),EmployeeData[[#This Row],[Status]]="Exited",_xlfn.DAYS(EmployeeData[[#This Row],[Exit Date]],EmployeeData[[#This Row],[Join Date]]))</f>
        <v>1277</v>
      </c>
      <c r="L161" cm="1">
        <f t="array" aca="1" ref="L161" ca="1">_xlfn.IFS(EmployeeData[[#This Row],[Status]]="Exited",DATEDIF(EmployeeData[[#This Row],[Join Date]], EmployeeData[[#This Row],[Exit Date]], "Y"),EmployeeData[[#This Row],[Status]]="Active",DATEDIF(EmployeeData[[#This Row],[Join Date]], TODAY(), "Y"))</f>
        <v>3</v>
      </c>
      <c r="Q161" t="str" cm="1">
        <f t="array" aca="1" ref="Q1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30 days</v>
      </c>
    </row>
    <row r="162" spans="1:17" hidden="1" x14ac:dyDescent="0.3">
      <c r="A162">
        <v>1161</v>
      </c>
      <c r="B162" t="s">
        <v>433</v>
      </c>
      <c r="C162" t="s">
        <v>46</v>
      </c>
      <c r="D162" t="s">
        <v>11</v>
      </c>
      <c r="E162">
        <v>33</v>
      </c>
      <c r="F162" t="str" cm="1">
        <f t="array" ref="F162">_xlfn.IFS(EmployeeData[[#This Row],[Age]]&lt;30,"20s",EmployeeData[[#This Row],[Age]]&lt;40,"30s",EmployeeData[[#This Row],[Age]]&lt;50,"40s",EmployeeData[[#This Row],[Age]]&lt;60,"50s",EmployeeData[[#This Row],[Age]]&gt;=60,"60s")</f>
        <v>30s</v>
      </c>
      <c r="G162" s="5">
        <v>44607</v>
      </c>
      <c r="I162" t="s">
        <v>17</v>
      </c>
      <c r="J162" t="s">
        <v>18</v>
      </c>
      <c r="K162" cm="1">
        <f t="array" aca="1" ref="K162" ca="1">_xlfn.IFS(EmployeeData[[#This Row],[Status]]="Active",_xlfn.DAYS(TODAY(),EmployeeData[[#This Row],[Join Date]]),EmployeeData[[#This Row],[Status]]="Exited",_xlfn.DAYS(EmployeeData[[#This Row],[Exit Date]],EmployeeData[[#This Row],[Join Date]]))</f>
        <v>1590</v>
      </c>
      <c r="L162" cm="1">
        <f t="array" aca="1" ref="L162" ca="1">_xlfn.IFS(EmployeeData[[#This Row],[Status]]="Exited",DATEDIF(EmployeeData[[#This Row],[Join Date]], EmployeeData[[#This Row],[Exit Date]], "Y"),EmployeeData[[#This Row],[Status]]="Active",DATEDIF(EmployeeData[[#This Row],[Join Date]], TODAY(), "Y"))</f>
        <v>4</v>
      </c>
      <c r="Q162" t="str" cm="1">
        <f t="array" aca="1" ref="Q1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63" spans="1:17" hidden="1" x14ac:dyDescent="0.3">
      <c r="A163">
        <v>1162</v>
      </c>
      <c r="B163" t="s">
        <v>978</v>
      </c>
      <c r="C163" t="s">
        <v>20</v>
      </c>
      <c r="D163" t="s">
        <v>24</v>
      </c>
      <c r="E163">
        <v>47</v>
      </c>
      <c r="F163" t="str" cm="1">
        <f t="array" ref="F163">_xlfn.IFS(EmployeeData[[#This Row],[Age]]&lt;30,"20s",EmployeeData[[#This Row],[Age]]&lt;40,"30s",EmployeeData[[#This Row],[Age]]&lt;50,"40s",EmployeeData[[#This Row],[Age]]&lt;60,"50s",EmployeeData[[#This Row],[Age]]&gt;=60,"60s")</f>
        <v>40s</v>
      </c>
      <c r="G163" s="5">
        <v>43764</v>
      </c>
      <c r="I163" t="s">
        <v>17</v>
      </c>
      <c r="J163" t="s">
        <v>18</v>
      </c>
      <c r="K163" cm="1">
        <f t="array" aca="1" ref="K163" ca="1">_xlfn.IFS(EmployeeData[[#This Row],[Status]]="Active",_xlfn.DAYS(TODAY(),EmployeeData[[#This Row],[Join Date]]),EmployeeData[[#This Row],[Status]]="Exited",_xlfn.DAYS(EmployeeData[[#This Row],[Exit Date]],EmployeeData[[#This Row],[Join Date]]))</f>
        <v>2433</v>
      </c>
      <c r="L163" cm="1">
        <f t="array" aca="1" ref="L163" ca="1">_xlfn.IFS(EmployeeData[[#This Row],[Status]]="Exited",DATEDIF(EmployeeData[[#This Row],[Join Date]], EmployeeData[[#This Row],[Exit Date]], "Y"),EmployeeData[[#This Row],[Status]]="Active",DATEDIF(EmployeeData[[#This Row],[Join Date]], TODAY(), "Y"))</f>
        <v>6</v>
      </c>
      <c r="Q163" t="str" cm="1">
        <f t="array" aca="1" ref="Q1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29 days</v>
      </c>
    </row>
    <row r="164" spans="1:17" hidden="1" x14ac:dyDescent="0.3">
      <c r="A164">
        <v>1163</v>
      </c>
      <c r="B164" t="s">
        <v>673</v>
      </c>
      <c r="C164" t="s">
        <v>15</v>
      </c>
      <c r="D164" t="s">
        <v>24</v>
      </c>
      <c r="E164">
        <v>44</v>
      </c>
      <c r="F164" t="str" cm="1">
        <f t="array" ref="F164">_xlfn.IFS(EmployeeData[[#This Row],[Age]]&lt;30,"20s",EmployeeData[[#This Row],[Age]]&lt;40,"30s",EmployeeData[[#This Row],[Age]]&lt;50,"40s",EmployeeData[[#This Row],[Age]]&lt;60,"50s",EmployeeData[[#This Row],[Age]]&gt;=60,"60s")</f>
        <v>40s</v>
      </c>
      <c r="G164" s="5">
        <v>45372</v>
      </c>
      <c r="I164" t="s">
        <v>17</v>
      </c>
      <c r="J164" t="s">
        <v>18</v>
      </c>
      <c r="K164" cm="1">
        <f t="array" aca="1" ref="K164" ca="1">_xlfn.IFS(EmployeeData[[#This Row],[Status]]="Active",_xlfn.DAYS(TODAY(),EmployeeData[[#This Row],[Join Date]]),EmployeeData[[#This Row],[Status]]="Exited",_xlfn.DAYS(EmployeeData[[#This Row],[Exit Date]],EmployeeData[[#This Row],[Join Date]]))</f>
        <v>825</v>
      </c>
      <c r="L164" cm="1">
        <f t="array" aca="1" ref="L164" ca="1">_xlfn.IFS(EmployeeData[[#This Row],[Status]]="Exited",DATEDIF(EmployeeData[[#This Row],[Join Date]], EmployeeData[[#This Row],[Exit Date]], "Y"),EmployeeData[[#This Row],[Status]]="Active",DATEDIF(EmployeeData[[#This Row],[Join Date]], TODAY(), "Y"))</f>
        <v>2</v>
      </c>
      <c r="Q164" t="str" cm="1">
        <f t="array" aca="1" ref="Q1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3 days</v>
      </c>
    </row>
    <row r="165" spans="1:17" hidden="1" x14ac:dyDescent="0.3">
      <c r="A165">
        <v>1164</v>
      </c>
      <c r="B165" t="s">
        <v>589</v>
      </c>
      <c r="C165" t="s">
        <v>10</v>
      </c>
      <c r="D165" t="s">
        <v>11</v>
      </c>
      <c r="E165">
        <v>30</v>
      </c>
      <c r="F165" t="str" cm="1">
        <f t="array" ref="F165">_xlfn.IFS(EmployeeData[[#This Row],[Age]]&lt;30,"20s",EmployeeData[[#This Row],[Age]]&lt;40,"30s",EmployeeData[[#This Row],[Age]]&lt;50,"40s",EmployeeData[[#This Row],[Age]]&lt;60,"50s",EmployeeData[[#This Row],[Age]]&gt;=60,"60s")</f>
        <v>30s</v>
      </c>
      <c r="G165" s="5">
        <v>44892</v>
      </c>
      <c r="H165" s="5">
        <v>45436</v>
      </c>
      <c r="I165" t="s">
        <v>52</v>
      </c>
      <c r="J165" t="s">
        <v>13</v>
      </c>
      <c r="K165" cm="1">
        <f t="array" aca="1" ref="K165" ca="1">_xlfn.IFS(EmployeeData[[#This Row],[Status]]="Active",_xlfn.DAYS(TODAY(),EmployeeData[[#This Row],[Join Date]]),EmployeeData[[#This Row],[Status]]="Exited",_xlfn.DAYS(EmployeeData[[#This Row],[Exit Date]],EmployeeData[[#This Row],[Join Date]]))</f>
        <v>544</v>
      </c>
      <c r="L165" cm="1">
        <f t="array" aca="1" ref="L165" ca="1">_xlfn.IFS(EmployeeData[[#This Row],[Status]]="Exited",DATEDIF(EmployeeData[[#This Row],[Join Date]], EmployeeData[[#This Row],[Exit Date]], "Y"),EmployeeData[[#This Row],[Status]]="Active",DATEDIF(EmployeeData[[#This Row],[Join Date]], TODAY(), "Y"))</f>
        <v>1</v>
      </c>
      <c r="Q165" t="str" cm="1">
        <f t="array" aca="1" ref="Q1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27 days</v>
      </c>
    </row>
    <row r="166" spans="1:17" hidden="1" x14ac:dyDescent="0.3">
      <c r="A166">
        <v>1165</v>
      </c>
      <c r="B166" t="s">
        <v>790</v>
      </c>
      <c r="C166" t="s">
        <v>23</v>
      </c>
      <c r="D166" t="s">
        <v>16</v>
      </c>
      <c r="E166">
        <v>26</v>
      </c>
      <c r="F166" t="str" cm="1">
        <f t="array" ref="F166">_xlfn.IFS(EmployeeData[[#This Row],[Age]]&lt;30,"20s",EmployeeData[[#This Row],[Age]]&lt;40,"30s",EmployeeData[[#This Row],[Age]]&lt;50,"40s",EmployeeData[[#This Row],[Age]]&lt;60,"50s",EmployeeData[[#This Row],[Age]]&gt;=60,"60s")</f>
        <v>20s</v>
      </c>
      <c r="G166" s="5">
        <v>44636</v>
      </c>
      <c r="H166" s="5">
        <v>45378</v>
      </c>
      <c r="I166" t="s">
        <v>21</v>
      </c>
      <c r="J166" t="s">
        <v>13</v>
      </c>
      <c r="K166" cm="1">
        <f t="array" aca="1" ref="K166" ca="1">_xlfn.IFS(EmployeeData[[#This Row],[Status]]="Active",_xlfn.DAYS(TODAY(),EmployeeData[[#This Row],[Join Date]]),EmployeeData[[#This Row],[Status]]="Exited",_xlfn.DAYS(EmployeeData[[#This Row],[Exit Date]],EmployeeData[[#This Row],[Join Date]]))</f>
        <v>742</v>
      </c>
      <c r="L166" cm="1">
        <f t="array" aca="1" ref="L166" ca="1">_xlfn.IFS(EmployeeData[[#This Row],[Status]]="Exited",DATEDIF(EmployeeData[[#This Row],[Join Date]], EmployeeData[[#This Row],[Exit Date]], "Y"),EmployeeData[[#This Row],[Status]]="Active",DATEDIF(EmployeeData[[#This Row],[Join Date]], TODAY(), "Y"))</f>
        <v>2</v>
      </c>
      <c r="Q166" t="str" cm="1">
        <f t="array" aca="1" ref="Q1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11 days</v>
      </c>
    </row>
    <row r="167" spans="1:17" hidden="1" x14ac:dyDescent="0.3">
      <c r="A167">
        <v>1166</v>
      </c>
      <c r="B167" t="s">
        <v>1040</v>
      </c>
      <c r="C167" t="s">
        <v>46</v>
      </c>
      <c r="D167" t="s">
        <v>24</v>
      </c>
      <c r="E167">
        <v>29</v>
      </c>
      <c r="F167" t="str" cm="1">
        <f t="array" ref="F167">_xlfn.IFS(EmployeeData[[#This Row],[Age]]&lt;30,"20s",EmployeeData[[#This Row],[Age]]&lt;40,"30s",EmployeeData[[#This Row],[Age]]&lt;50,"40s",EmployeeData[[#This Row],[Age]]&lt;60,"50s",EmployeeData[[#This Row],[Age]]&gt;=60,"60s")</f>
        <v>20s</v>
      </c>
      <c r="G167" s="5">
        <v>45990</v>
      </c>
      <c r="I167" t="s">
        <v>17</v>
      </c>
      <c r="J167" t="s">
        <v>18</v>
      </c>
      <c r="K167" cm="1">
        <f t="array" aca="1" ref="K167" ca="1">_xlfn.IFS(EmployeeData[[#This Row],[Status]]="Active",_xlfn.DAYS(TODAY(),EmployeeData[[#This Row],[Join Date]]),EmployeeData[[#This Row],[Status]]="Exited",_xlfn.DAYS(EmployeeData[[#This Row],[Exit Date]],EmployeeData[[#This Row],[Join Date]]))</f>
        <v>207</v>
      </c>
      <c r="L167" cm="1">
        <f t="array" aca="1" ref="L167" ca="1">_xlfn.IFS(EmployeeData[[#This Row],[Status]]="Exited",DATEDIF(EmployeeData[[#This Row],[Join Date]], EmployeeData[[#This Row],[Exit Date]], "Y"),EmployeeData[[#This Row],[Status]]="Active",DATEDIF(EmployeeData[[#This Row],[Join Date]], TODAY(), "Y"))</f>
        <v>0</v>
      </c>
      <c r="Q167" t="str" cm="1">
        <f t="array" aca="1" ref="Q1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168" spans="1:17" hidden="1" x14ac:dyDescent="0.3">
      <c r="A168">
        <v>1167</v>
      </c>
      <c r="B168" t="s">
        <v>541</v>
      </c>
      <c r="C168" t="s">
        <v>33</v>
      </c>
      <c r="D168" t="s">
        <v>24</v>
      </c>
      <c r="E168">
        <v>53</v>
      </c>
      <c r="F168" t="str" cm="1">
        <f t="array" ref="F168">_xlfn.IFS(EmployeeData[[#This Row],[Age]]&lt;30,"20s",EmployeeData[[#This Row],[Age]]&lt;40,"30s",EmployeeData[[#This Row],[Age]]&lt;50,"40s",EmployeeData[[#This Row],[Age]]&lt;60,"50s",EmployeeData[[#This Row],[Age]]&gt;=60,"60s")</f>
        <v>50s</v>
      </c>
      <c r="G168" s="5">
        <v>44834</v>
      </c>
      <c r="H168" s="5">
        <v>45514</v>
      </c>
      <c r="I168" t="s">
        <v>26</v>
      </c>
      <c r="J168" t="s">
        <v>13</v>
      </c>
      <c r="K168" cm="1">
        <f t="array" aca="1" ref="K168" ca="1">_xlfn.IFS(EmployeeData[[#This Row],[Status]]="Active",_xlfn.DAYS(TODAY(),EmployeeData[[#This Row],[Join Date]]),EmployeeData[[#This Row],[Status]]="Exited",_xlfn.DAYS(EmployeeData[[#This Row],[Exit Date]],EmployeeData[[#This Row],[Join Date]]))</f>
        <v>680</v>
      </c>
      <c r="L168" cm="1">
        <f t="array" aca="1" ref="L168" ca="1">_xlfn.IFS(EmployeeData[[#This Row],[Status]]="Exited",DATEDIF(EmployeeData[[#This Row],[Join Date]], EmployeeData[[#This Row],[Exit Date]], "Y"),EmployeeData[[#This Row],[Status]]="Active",DATEDIF(EmployeeData[[#This Row],[Join Date]], TODAY(), "Y"))</f>
        <v>1</v>
      </c>
      <c r="Q168" t="str" cm="1">
        <f t="array" aca="1" ref="Q1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169" spans="1:17" hidden="1" x14ac:dyDescent="0.3">
      <c r="A169">
        <v>1168</v>
      </c>
      <c r="B169" t="s">
        <v>177</v>
      </c>
      <c r="C169" t="s">
        <v>15</v>
      </c>
      <c r="D169" t="s">
        <v>11</v>
      </c>
      <c r="E169">
        <v>52</v>
      </c>
      <c r="F169" t="str" cm="1">
        <f t="array" ref="F169">_xlfn.IFS(EmployeeData[[#This Row],[Age]]&lt;30,"20s",EmployeeData[[#This Row],[Age]]&lt;40,"30s",EmployeeData[[#This Row],[Age]]&lt;50,"40s",EmployeeData[[#This Row],[Age]]&lt;60,"50s",EmployeeData[[#This Row],[Age]]&gt;=60,"60s")</f>
        <v>50s</v>
      </c>
      <c r="G169" s="5">
        <v>45545</v>
      </c>
      <c r="I169" t="s">
        <v>17</v>
      </c>
      <c r="J169" t="s">
        <v>18</v>
      </c>
      <c r="K169" cm="1">
        <f t="array" aca="1" ref="K169" ca="1">_xlfn.IFS(EmployeeData[[#This Row],[Status]]="Active",_xlfn.DAYS(TODAY(),EmployeeData[[#This Row],[Join Date]]),EmployeeData[[#This Row],[Status]]="Exited",_xlfn.DAYS(EmployeeData[[#This Row],[Exit Date]],EmployeeData[[#This Row],[Join Date]]))</f>
        <v>652</v>
      </c>
      <c r="L169" cm="1">
        <f t="array" aca="1" ref="L169" ca="1">_xlfn.IFS(EmployeeData[[#This Row],[Status]]="Exited",DATEDIF(EmployeeData[[#This Row],[Join Date]], EmployeeData[[#This Row],[Exit Date]], "Y"),EmployeeData[[#This Row],[Status]]="Active",DATEDIF(EmployeeData[[#This Row],[Join Date]], TODAY(), "Y"))</f>
        <v>1</v>
      </c>
      <c r="Q169" t="str" cm="1">
        <f t="array" aca="1" ref="Q1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14 days</v>
      </c>
    </row>
    <row r="170" spans="1:17" hidden="1" x14ac:dyDescent="0.3">
      <c r="A170">
        <v>1169</v>
      </c>
      <c r="B170" t="s">
        <v>597</v>
      </c>
      <c r="C170" t="s">
        <v>10</v>
      </c>
      <c r="D170" t="s">
        <v>16</v>
      </c>
      <c r="E170">
        <v>43</v>
      </c>
      <c r="F170" t="str" cm="1">
        <f t="array" ref="F170">_xlfn.IFS(EmployeeData[[#This Row],[Age]]&lt;30,"20s",EmployeeData[[#This Row],[Age]]&lt;40,"30s",EmployeeData[[#This Row],[Age]]&lt;50,"40s",EmployeeData[[#This Row],[Age]]&lt;60,"50s",EmployeeData[[#This Row],[Age]]&gt;=60,"60s")</f>
        <v>40s</v>
      </c>
      <c r="G170" s="5">
        <v>44086</v>
      </c>
      <c r="I170" t="s">
        <v>17</v>
      </c>
      <c r="J170" t="s">
        <v>18</v>
      </c>
      <c r="K170" cm="1">
        <f t="array" aca="1" ref="K170" ca="1">_xlfn.IFS(EmployeeData[[#This Row],[Status]]="Active",_xlfn.DAYS(TODAY(),EmployeeData[[#This Row],[Join Date]]),EmployeeData[[#This Row],[Status]]="Exited",_xlfn.DAYS(EmployeeData[[#This Row],[Exit Date]],EmployeeData[[#This Row],[Join Date]]))</f>
        <v>2111</v>
      </c>
      <c r="L170" cm="1">
        <f t="array" aca="1" ref="L170" ca="1">_xlfn.IFS(EmployeeData[[#This Row],[Status]]="Exited",DATEDIF(EmployeeData[[#This Row],[Join Date]], EmployeeData[[#This Row],[Exit Date]], "Y"),EmployeeData[[#This Row],[Status]]="Active",DATEDIF(EmployeeData[[#This Row],[Join Date]], TODAY(), "Y"))</f>
        <v>5</v>
      </c>
      <c r="Q170" t="str" cm="1">
        <f t="array" aca="1" ref="Q1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12 days</v>
      </c>
    </row>
    <row r="171" spans="1:17" hidden="1" x14ac:dyDescent="0.3">
      <c r="A171">
        <v>1170</v>
      </c>
      <c r="B171" t="s">
        <v>1076</v>
      </c>
      <c r="C171" t="s">
        <v>23</v>
      </c>
      <c r="D171" t="s">
        <v>24</v>
      </c>
      <c r="E171">
        <v>54</v>
      </c>
      <c r="F171" t="str" cm="1">
        <f t="array" ref="F171">_xlfn.IFS(EmployeeData[[#This Row],[Age]]&lt;30,"20s",EmployeeData[[#This Row],[Age]]&lt;40,"30s",EmployeeData[[#This Row],[Age]]&lt;50,"40s",EmployeeData[[#This Row],[Age]]&lt;60,"50s",EmployeeData[[#This Row],[Age]]&gt;=60,"60s")</f>
        <v>50s</v>
      </c>
      <c r="G171" s="5">
        <v>45329</v>
      </c>
      <c r="I171" t="s">
        <v>17</v>
      </c>
      <c r="J171" t="s">
        <v>18</v>
      </c>
      <c r="K171" cm="1">
        <f t="array" aca="1" ref="K171" ca="1">_xlfn.IFS(EmployeeData[[#This Row],[Status]]="Active",_xlfn.DAYS(TODAY(),EmployeeData[[#This Row],[Join Date]]),EmployeeData[[#This Row],[Status]]="Exited",_xlfn.DAYS(EmployeeData[[#This Row],[Exit Date]],EmployeeData[[#This Row],[Join Date]]))</f>
        <v>868</v>
      </c>
      <c r="L171" cm="1">
        <f t="array" aca="1" ref="L171" ca="1">_xlfn.IFS(EmployeeData[[#This Row],[Status]]="Exited",DATEDIF(EmployeeData[[#This Row],[Join Date]], EmployeeData[[#This Row],[Exit Date]], "Y"),EmployeeData[[#This Row],[Status]]="Active",DATEDIF(EmployeeData[[#This Row],[Join Date]], TODAY(), "Y"))</f>
        <v>2</v>
      </c>
      <c r="Q171" t="str" cm="1">
        <f t="array" aca="1" ref="Q1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17 days</v>
      </c>
    </row>
    <row r="172" spans="1:17" hidden="1" x14ac:dyDescent="0.3">
      <c r="A172">
        <v>1171</v>
      </c>
      <c r="B172" t="s">
        <v>885</v>
      </c>
      <c r="C172" t="s">
        <v>15</v>
      </c>
      <c r="D172" t="s">
        <v>24</v>
      </c>
      <c r="E172">
        <v>44</v>
      </c>
      <c r="F172" t="str" cm="1">
        <f t="array" ref="F172">_xlfn.IFS(EmployeeData[[#This Row],[Age]]&lt;30,"20s",EmployeeData[[#This Row],[Age]]&lt;40,"30s",EmployeeData[[#This Row],[Age]]&lt;50,"40s",EmployeeData[[#This Row],[Age]]&lt;60,"50s",EmployeeData[[#This Row],[Age]]&gt;=60,"60s")</f>
        <v>40s</v>
      </c>
      <c r="G172" s="5">
        <v>44139</v>
      </c>
      <c r="I172" t="s">
        <v>17</v>
      </c>
      <c r="J172" t="s">
        <v>18</v>
      </c>
      <c r="K172" cm="1">
        <f t="array" aca="1" ref="K172" ca="1">_xlfn.IFS(EmployeeData[[#This Row],[Status]]="Active",_xlfn.DAYS(TODAY(),EmployeeData[[#This Row],[Join Date]]),EmployeeData[[#This Row],[Status]]="Exited",_xlfn.DAYS(EmployeeData[[#This Row],[Exit Date]],EmployeeData[[#This Row],[Join Date]]))</f>
        <v>2058</v>
      </c>
      <c r="L172" cm="1">
        <f t="array" aca="1" ref="L172" ca="1">_xlfn.IFS(EmployeeData[[#This Row],[Status]]="Exited",DATEDIF(EmployeeData[[#This Row],[Join Date]], EmployeeData[[#This Row],[Exit Date]], "Y"),EmployeeData[[#This Row],[Status]]="Active",DATEDIF(EmployeeData[[#This Row],[Join Date]], TODAY(), "Y"))</f>
        <v>5</v>
      </c>
      <c r="Q172" t="str" cm="1">
        <f t="array" aca="1" ref="Q1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20 days</v>
      </c>
    </row>
    <row r="173" spans="1:17" hidden="1" x14ac:dyDescent="0.3">
      <c r="A173">
        <v>1172</v>
      </c>
      <c r="B173" t="s">
        <v>142</v>
      </c>
      <c r="C173" t="s">
        <v>20</v>
      </c>
      <c r="D173" t="s">
        <v>11</v>
      </c>
      <c r="E173">
        <v>42</v>
      </c>
      <c r="F173" t="str" cm="1">
        <f t="array" ref="F173">_xlfn.IFS(EmployeeData[[#This Row],[Age]]&lt;30,"20s",EmployeeData[[#This Row],[Age]]&lt;40,"30s",EmployeeData[[#This Row],[Age]]&lt;50,"40s",EmployeeData[[#This Row],[Age]]&lt;60,"50s",EmployeeData[[#This Row],[Age]]&gt;=60,"60s")</f>
        <v>40s</v>
      </c>
      <c r="G173" s="5">
        <v>43647</v>
      </c>
      <c r="H173" s="5">
        <v>45123</v>
      </c>
      <c r="I173" t="s">
        <v>52</v>
      </c>
      <c r="J173" t="s">
        <v>13</v>
      </c>
      <c r="K173" cm="1">
        <f t="array" aca="1" ref="K173" ca="1">_xlfn.IFS(EmployeeData[[#This Row],[Status]]="Active",_xlfn.DAYS(TODAY(),EmployeeData[[#This Row],[Join Date]]),EmployeeData[[#This Row],[Status]]="Exited",_xlfn.DAYS(EmployeeData[[#This Row],[Exit Date]],EmployeeData[[#This Row],[Join Date]]))</f>
        <v>1476</v>
      </c>
      <c r="L173" cm="1">
        <f t="array" aca="1" ref="L173" ca="1">_xlfn.IFS(EmployeeData[[#This Row],[Status]]="Exited",DATEDIF(EmployeeData[[#This Row],[Join Date]], EmployeeData[[#This Row],[Exit Date]], "Y"),EmployeeData[[#This Row],[Status]]="Active",DATEDIF(EmployeeData[[#This Row],[Join Date]], TODAY(), "Y"))</f>
        <v>4</v>
      </c>
      <c r="Q173" t="str" cm="1">
        <f t="array" aca="1" ref="Q1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15 days</v>
      </c>
    </row>
    <row r="174" spans="1:17" hidden="1" x14ac:dyDescent="0.3">
      <c r="A174">
        <v>1173</v>
      </c>
      <c r="B174" t="s">
        <v>43</v>
      </c>
      <c r="C174" t="s">
        <v>23</v>
      </c>
      <c r="D174" t="s">
        <v>11</v>
      </c>
      <c r="E174">
        <v>25</v>
      </c>
      <c r="F174" t="str" cm="1">
        <f t="array" ref="F174">_xlfn.IFS(EmployeeData[[#This Row],[Age]]&lt;30,"20s",EmployeeData[[#This Row],[Age]]&lt;40,"30s",EmployeeData[[#This Row],[Age]]&lt;50,"40s",EmployeeData[[#This Row],[Age]]&lt;60,"50s",EmployeeData[[#This Row],[Age]]&gt;=60,"60s")</f>
        <v>20s</v>
      </c>
      <c r="G174" s="5">
        <v>44975</v>
      </c>
      <c r="H174" s="5">
        <v>45477</v>
      </c>
      <c r="I174" t="s">
        <v>31</v>
      </c>
      <c r="J174" t="s">
        <v>13</v>
      </c>
      <c r="K174" cm="1">
        <f t="array" aca="1" ref="K174" ca="1">_xlfn.IFS(EmployeeData[[#This Row],[Status]]="Active",_xlfn.DAYS(TODAY(),EmployeeData[[#This Row],[Join Date]]),EmployeeData[[#This Row],[Status]]="Exited",_xlfn.DAYS(EmployeeData[[#This Row],[Exit Date]],EmployeeData[[#This Row],[Join Date]]))</f>
        <v>502</v>
      </c>
      <c r="L174" cm="1">
        <f t="array" aca="1" ref="L174" ca="1">_xlfn.IFS(EmployeeData[[#This Row],[Status]]="Exited",DATEDIF(EmployeeData[[#This Row],[Join Date]], EmployeeData[[#This Row],[Exit Date]], "Y"),EmployeeData[[#This Row],[Status]]="Active",DATEDIF(EmployeeData[[#This Row],[Join Date]], TODAY(), "Y"))</f>
        <v>1</v>
      </c>
      <c r="Q174" t="str" cm="1">
        <f t="array" aca="1" ref="Q1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16 days</v>
      </c>
    </row>
    <row r="175" spans="1:17" hidden="1" x14ac:dyDescent="0.3">
      <c r="A175">
        <v>1174</v>
      </c>
      <c r="B175" t="s">
        <v>711</v>
      </c>
      <c r="C175" t="s">
        <v>23</v>
      </c>
      <c r="D175" t="s">
        <v>11</v>
      </c>
      <c r="E175">
        <v>51</v>
      </c>
      <c r="F175" t="str" cm="1">
        <f t="array" ref="F175">_xlfn.IFS(EmployeeData[[#This Row],[Age]]&lt;30,"20s",EmployeeData[[#This Row],[Age]]&lt;40,"30s",EmployeeData[[#This Row],[Age]]&lt;50,"40s",EmployeeData[[#This Row],[Age]]&lt;60,"50s",EmployeeData[[#This Row],[Age]]&gt;=60,"60s")</f>
        <v>50s</v>
      </c>
      <c r="G175" s="5">
        <v>45040</v>
      </c>
      <c r="H175" s="5">
        <v>45521</v>
      </c>
      <c r="I175" t="s">
        <v>26</v>
      </c>
      <c r="J175" t="s">
        <v>13</v>
      </c>
      <c r="K175" cm="1">
        <f t="array" aca="1" ref="K175" ca="1">_xlfn.IFS(EmployeeData[[#This Row],[Status]]="Active",_xlfn.DAYS(TODAY(),EmployeeData[[#This Row],[Join Date]]),EmployeeData[[#This Row],[Status]]="Exited",_xlfn.DAYS(EmployeeData[[#This Row],[Exit Date]],EmployeeData[[#This Row],[Join Date]]))</f>
        <v>481</v>
      </c>
      <c r="L175" cm="1">
        <f t="array" aca="1" ref="L175" ca="1">_xlfn.IFS(EmployeeData[[#This Row],[Status]]="Exited",DATEDIF(EmployeeData[[#This Row],[Join Date]], EmployeeData[[#This Row],[Exit Date]], "Y"),EmployeeData[[#This Row],[Status]]="Active",DATEDIF(EmployeeData[[#This Row],[Join Date]], TODAY(), "Y"))</f>
        <v>1</v>
      </c>
      <c r="Q175" t="str" cm="1">
        <f t="array" aca="1" ref="Q1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176" spans="1:17" hidden="1" x14ac:dyDescent="0.3">
      <c r="A176">
        <v>1175</v>
      </c>
      <c r="B176" t="s">
        <v>440</v>
      </c>
      <c r="C176" t="s">
        <v>10</v>
      </c>
      <c r="D176" t="s">
        <v>24</v>
      </c>
      <c r="E176">
        <v>49</v>
      </c>
      <c r="F176" t="str" cm="1">
        <f t="array" ref="F176">_xlfn.IFS(EmployeeData[[#This Row],[Age]]&lt;30,"20s",EmployeeData[[#This Row],[Age]]&lt;40,"30s",EmployeeData[[#This Row],[Age]]&lt;50,"40s",EmployeeData[[#This Row],[Age]]&lt;60,"50s",EmployeeData[[#This Row],[Age]]&gt;=60,"60s")</f>
        <v>40s</v>
      </c>
      <c r="G176" s="5">
        <v>44684</v>
      </c>
      <c r="H176" s="5">
        <v>45156</v>
      </c>
      <c r="I176" t="s">
        <v>65</v>
      </c>
      <c r="J176" t="s">
        <v>13</v>
      </c>
      <c r="K176" cm="1">
        <f t="array" aca="1" ref="K176" ca="1">_xlfn.IFS(EmployeeData[[#This Row],[Status]]="Active",_xlfn.DAYS(TODAY(),EmployeeData[[#This Row],[Join Date]]),EmployeeData[[#This Row],[Status]]="Exited",_xlfn.DAYS(EmployeeData[[#This Row],[Exit Date]],EmployeeData[[#This Row],[Join Date]]))</f>
        <v>472</v>
      </c>
      <c r="L176" cm="1">
        <f t="array" aca="1" ref="L176" ca="1">_xlfn.IFS(EmployeeData[[#This Row],[Status]]="Exited",DATEDIF(EmployeeData[[#This Row],[Join Date]], EmployeeData[[#This Row],[Exit Date]], "Y"),EmployeeData[[#This Row],[Status]]="Active",DATEDIF(EmployeeData[[#This Row],[Join Date]], TODAY(), "Y"))</f>
        <v>1</v>
      </c>
      <c r="Q176" t="str" cm="1">
        <f t="array" aca="1" ref="Q1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177" spans="1:17" x14ac:dyDescent="0.3">
      <c r="A177">
        <v>1176</v>
      </c>
      <c r="B177" t="s">
        <v>593</v>
      </c>
      <c r="C177" t="s">
        <v>23</v>
      </c>
      <c r="D177" t="s">
        <v>11</v>
      </c>
      <c r="E177">
        <v>48</v>
      </c>
      <c r="F177" t="str" cm="1">
        <f t="array" ref="F177">_xlfn.IFS(EmployeeData[[#This Row],[Age]]&lt;30,"20s",EmployeeData[[#This Row],[Age]]&lt;40,"30s",EmployeeData[[#This Row],[Age]]&lt;50,"40s",EmployeeData[[#This Row],[Age]]&lt;60,"50s",EmployeeData[[#This Row],[Age]]&gt;=60,"60s")</f>
        <v>40s</v>
      </c>
      <c r="G177" s="5">
        <v>43424</v>
      </c>
      <c r="I177" t="s">
        <v>17</v>
      </c>
      <c r="J177" t="s">
        <v>18</v>
      </c>
      <c r="K177" cm="1">
        <f t="array" aca="1" ref="K177" ca="1">_xlfn.IFS(EmployeeData[[#This Row],[Status]]="Active",_xlfn.DAYS(TODAY(),EmployeeData[[#This Row],[Join Date]]),EmployeeData[[#This Row],[Status]]="Exited",_xlfn.DAYS(EmployeeData[[#This Row],[Exit Date]],EmployeeData[[#This Row],[Join Date]]))</f>
        <v>2773</v>
      </c>
      <c r="L177" cm="1">
        <f t="array" aca="1" ref="L177" ca="1">_xlfn.IFS(EmployeeData[[#This Row],[Status]]="Exited",DATEDIF(EmployeeData[[#This Row],[Join Date]], EmployeeData[[#This Row],[Exit Date]], "Y"),EmployeeData[[#This Row],[Status]]="Active",DATEDIF(EmployeeData[[#This Row],[Join Date]], TODAY(), "Y"))</f>
        <v>7</v>
      </c>
      <c r="Q177" t="str" cm="1">
        <f t="array" aca="1" ref="Q1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4 days</v>
      </c>
    </row>
    <row r="178" spans="1:17" hidden="1" x14ac:dyDescent="0.3">
      <c r="A178">
        <v>1177</v>
      </c>
      <c r="B178" t="s">
        <v>1093</v>
      </c>
      <c r="C178" t="s">
        <v>15</v>
      </c>
      <c r="D178" t="s">
        <v>24</v>
      </c>
      <c r="E178">
        <v>40</v>
      </c>
      <c r="F178" t="str" cm="1">
        <f t="array" ref="F178">_xlfn.IFS(EmployeeData[[#This Row],[Age]]&lt;30,"20s",EmployeeData[[#This Row],[Age]]&lt;40,"30s",EmployeeData[[#This Row],[Age]]&lt;50,"40s",EmployeeData[[#This Row],[Age]]&lt;60,"50s",EmployeeData[[#This Row],[Age]]&gt;=60,"60s")</f>
        <v>40s</v>
      </c>
      <c r="G178" s="5">
        <v>44927</v>
      </c>
      <c r="I178" t="s">
        <v>17</v>
      </c>
      <c r="J178" t="s">
        <v>18</v>
      </c>
      <c r="K178" cm="1">
        <f t="array" aca="1" ref="K178" ca="1">_xlfn.IFS(EmployeeData[[#This Row],[Status]]="Active",_xlfn.DAYS(TODAY(),EmployeeData[[#This Row],[Join Date]]),EmployeeData[[#This Row],[Status]]="Exited",_xlfn.DAYS(EmployeeData[[#This Row],[Exit Date]],EmployeeData[[#This Row],[Join Date]]))</f>
        <v>1270</v>
      </c>
      <c r="L178" cm="1">
        <f t="array" aca="1" ref="L178" ca="1">_xlfn.IFS(EmployeeData[[#This Row],[Status]]="Exited",DATEDIF(EmployeeData[[#This Row],[Join Date]], EmployeeData[[#This Row],[Exit Date]], "Y"),EmployeeData[[#This Row],[Status]]="Active",DATEDIF(EmployeeData[[#This Row],[Join Date]], TODAY(), "Y"))</f>
        <v>3</v>
      </c>
      <c r="Q178" t="str" cm="1">
        <f t="array" aca="1" ref="Q1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23 days</v>
      </c>
    </row>
    <row r="179" spans="1:17" hidden="1" x14ac:dyDescent="0.3">
      <c r="A179">
        <v>1178</v>
      </c>
      <c r="B179" t="s">
        <v>171</v>
      </c>
      <c r="C179" t="s">
        <v>10</v>
      </c>
      <c r="D179" t="s">
        <v>16</v>
      </c>
      <c r="E179">
        <v>43</v>
      </c>
      <c r="F179" t="str" cm="1">
        <f t="array" ref="F179">_xlfn.IFS(EmployeeData[[#This Row],[Age]]&lt;30,"20s",EmployeeData[[#This Row],[Age]]&lt;40,"30s",EmployeeData[[#This Row],[Age]]&lt;50,"40s",EmployeeData[[#This Row],[Age]]&lt;60,"50s",EmployeeData[[#This Row],[Age]]&gt;=60,"60s")</f>
        <v>40s</v>
      </c>
      <c r="G179" s="5">
        <v>45619</v>
      </c>
      <c r="I179" t="s">
        <v>17</v>
      </c>
      <c r="J179" t="s">
        <v>18</v>
      </c>
      <c r="K179" cm="1">
        <f t="array" aca="1" ref="K179" ca="1">_xlfn.IFS(EmployeeData[[#This Row],[Status]]="Active",_xlfn.DAYS(TODAY(),EmployeeData[[#This Row],[Join Date]]),EmployeeData[[#This Row],[Status]]="Exited",_xlfn.DAYS(EmployeeData[[#This Row],[Exit Date]],EmployeeData[[#This Row],[Join Date]]))</f>
        <v>578</v>
      </c>
      <c r="L179" cm="1">
        <f t="array" aca="1" ref="L179" ca="1">_xlfn.IFS(EmployeeData[[#This Row],[Status]]="Exited",DATEDIF(EmployeeData[[#This Row],[Join Date]], EmployeeData[[#This Row],[Exit Date]], "Y"),EmployeeData[[#This Row],[Status]]="Active",DATEDIF(EmployeeData[[#This Row],[Join Date]], TODAY(), "Y"))</f>
        <v>1</v>
      </c>
      <c r="Q179" t="str" cm="1">
        <f t="array" aca="1" ref="Q1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180" spans="1:17" hidden="1" x14ac:dyDescent="0.3">
      <c r="A180">
        <v>1179</v>
      </c>
      <c r="B180" t="s">
        <v>680</v>
      </c>
      <c r="C180" t="s">
        <v>46</v>
      </c>
      <c r="D180" t="s">
        <v>16</v>
      </c>
      <c r="E180">
        <v>46</v>
      </c>
      <c r="F180" t="str" cm="1">
        <f t="array" ref="F180">_xlfn.IFS(EmployeeData[[#This Row],[Age]]&lt;30,"20s",EmployeeData[[#This Row],[Age]]&lt;40,"30s",EmployeeData[[#This Row],[Age]]&lt;50,"40s",EmployeeData[[#This Row],[Age]]&lt;60,"50s",EmployeeData[[#This Row],[Age]]&gt;=60,"60s")</f>
        <v>40s</v>
      </c>
      <c r="G180" s="5">
        <v>44589</v>
      </c>
      <c r="I180" t="s">
        <v>17</v>
      </c>
      <c r="J180" t="s">
        <v>18</v>
      </c>
      <c r="K180" cm="1">
        <f t="array" aca="1" ref="K180" ca="1">_xlfn.IFS(EmployeeData[[#This Row],[Status]]="Active",_xlfn.DAYS(TODAY(),EmployeeData[[#This Row],[Join Date]]),EmployeeData[[#This Row],[Status]]="Exited",_xlfn.DAYS(EmployeeData[[#This Row],[Exit Date]],EmployeeData[[#This Row],[Join Date]]))</f>
        <v>1608</v>
      </c>
      <c r="L180" cm="1">
        <f t="array" aca="1" ref="L180" ca="1">_xlfn.IFS(EmployeeData[[#This Row],[Status]]="Exited",DATEDIF(EmployeeData[[#This Row],[Join Date]], EmployeeData[[#This Row],[Exit Date]], "Y"),EmployeeData[[#This Row],[Status]]="Active",DATEDIF(EmployeeData[[#This Row],[Join Date]], TODAY(), "Y"))</f>
        <v>4</v>
      </c>
      <c r="Q180" t="str" cm="1">
        <f t="array" aca="1" ref="Q1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181" spans="1:17" hidden="1" x14ac:dyDescent="0.3">
      <c r="A181">
        <v>1180</v>
      </c>
      <c r="B181" t="s">
        <v>14</v>
      </c>
      <c r="C181" t="s">
        <v>15</v>
      </c>
      <c r="D181" t="s">
        <v>16</v>
      </c>
      <c r="E181">
        <v>44</v>
      </c>
      <c r="F181" t="str" cm="1">
        <f t="array" ref="F181">_xlfn.IFS(EmployeeData[[#This Row],[Age]]&lt;30,"20s",EmployeeData[[#This Row],[Age]]&lt;40,"30s",EmployeeData[[#This Row],[Age]]&lt;50,"40s",EmployeeData[[#This Row],[Age]]&lt;60,"50s",EmployeeData[[#This Row],[Age]]&gt;=60,"60s")</f>
        <v>40s</v>
      </c>
      <c r="G181" s="5">
        <v>44584</v>
      </c>
      <c r="I181" t="s">
        <v>17</v>
      </c>
      <c r="J181" t="s">
        <v>18</v>
      </c>
      <c r="K181" cm="1">
        <f t="array" aca="1" ref="K181" ca="1">_xlfn.IFS(EmployeeData[[#This Row],[Status]]="Active",_xlfn.DAYS(TODAY(),EmployeeData[[#This Row],[Join Date]]),EmployeeData[[#This Row],[Status]]="Exited",_xlfn.DAYS(EmployeeData[[#This Row],[Exit Date]],EmployeeData[[#This Row],[Join Date]]))</f>
        <v>1613</v>
      </c>
      <c r="L181" cm="1">
        <f t="array" aca="1" ref="L181" ca="1">_xlfn.IFS(EmployeeData[[#This Row],[Status]]="Exited",DATEDIF(EmployeeData[[#This Row],[Join Date]], EmployeeData[[#This Row],[Exit Date]], "Y"),EmployeeData[[#This Row],[Status]]="Active",DATEDIF(EmployeeData[[#This Row],[Join Date]], TODAY(), "Y"))</f>
        <v>4</v>
      </c>
      <c r="Q181" t="str" cm="1">
        <f t="array" aca="1" ref="Q1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 days</v>
      </c>
    </row>
    <row r="182" spans="1:17" hidden="1" x14ac:dyDescent="0.3">
      <c r="A182">
        <v>1181</v>
      </c>
      <c r="B182" t="s">
        <v>640</v>
      </c>
      <c r="C182" t="s">
        <v>20</v>
      </c>
      <c r="D182" t="s">
        <v>11</v>
      </c>
      <c r="E182">
        <v>44</v>
      </c>
      <c r="F182" t="str" cm="1">
        <f t="array" ref="F182">_xlfn.IFS(EmployeeData[[#This Row],[Age]]&lt;30,"20s",EmployeeData[[#This Row],[Age]]&lt;40,"30s",EmployeeData[[#This Row],[Age]]&lt;50,"40s",EmployeeData[[#This Row],[Age]]&lt;60,"50s",EmployeeData[[#This Row],[Age]]&gt;=60,"60s")</f>
        <v>40s</v>
      </c>
      <c r="G182" s="5">
        <v>44919</v>
      </c>
      <c r="I182" t="s">
        <v>17</v>
      </c>
      <c r="J182" t="s">
        <v>18</v>
      </c>
      <c r="K182" cm="1">
        <f t="array" aca="1" ref="K182" ca="1">_xlfn.IFS(EmployeeData[[#This Row],[Status]]="Active",_xlfn.DAYS(TODAY(),EmployeeData[[#This Row],[Join Date]]),EmployeeData[[#This Row],[Status]]="Exited",_xlfn.DAYS(EmployeeData[[#This Row],[Exit Date]],EmployeeData[[#This Row],[Join Date]]))</f>
        <v>1278</v>
      </c>
      <c r="L182" cm="1">
        <f t="array" aca="1" ref="L182" ca="1">_xlfn.IFS(EmployeeData[[#This Row],[Status]]="Exited",DATEDIF(EmployeeData[[#This Row],[Join Date]], EmployeeData[[#This Row],[Exit Date]], "Y"),EmployeeData[[#This Row],[Status]]="Active",DATEDIF(EmployeeData[[#This Row],[Join Date]], TODAY(), "Y"))</f>
        <v>3</v>
      </c>
      <c r="Q182" t="str" cm="1">
        <f t="array" aca="1" ref="Q1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0 days</v>
      </c>
    </row>
    <row r="183" spans="1:17" x14ac:dyDescent="0.3">
      <c r="A183">
        <v>1182</v>
      </c>
      <c r="B183" t="s">
        <v>1051</v>
      </c>
      <c r="C183" t="s">
        <v>10</v>
      </c>
      <c r="D183" t="s">
        <v>16</v>
      </c>
      <c r="E183">
        <v>28</v>
      </c>
      <c r="F183" t="str" cm="1">
        <f t="array" ref="F183">_xlfn.IFS(EmployeeData[[#This Row],[Age]]&lt;30,"20s",EmployeeData[[#This Row],[Age]]&lt;40,"30s",EmployeeData[[#This Row],[Age]]&lt;50,"40s",EmployeeData[[#This Row],[Age]]&lt;60,"50s",EmployeeData[[#This Row],[Age]]&gt;=60,"60s")</f>
        <v>20s</v>
      </c>
      <c r="G183" s="5">
        <v>43207</v>
      </c>
      <c r="I183" t="s">
        <v>17</v>
      </c>
      <c r="J183" t="s">
        <v>18</v>
      </c>
      <c r="K183" cm="1">
        <f t="array" aca="1" ref="K183" ca="1">_xlfn.IFS(EmployeeData[[#This Row],[Status]]="Active",_xlfn.DAYS(TODAY(),EmployeeData[[#This Row],[Join Date]]),EmployeeData[[#This Row],[Status]]="Exited",_xlfn.DAYS(EmployeeData[[#This Row],[Exit Date]],EmployeeData[[#This Row],[Join Date]]))</f>
        <v>2990</v>
      </c>
      <c r="L183" cm="1">
        <f t="array" aca="1" ref="L183" ca="1">_xlfn.IFS(EmployeeData[[#This Row],[Status]]="Exited",DATEDIF(EmployeeData[[#This Row],[Join Date]], EmployeeData[[#This Row],[Exit Date]], "Y"),EmployeeData[[#This Row],[Status]]="Active",DATEDIF(EmployeeData[[#This Row],[Join Date]], TODAY(), "Y"))</f>
        <v>8</v>
      </c>
      <c r="Q183" t="str" cm="1">
        <f t="array" aca="1" ref="Q1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7 days</v>
      </c>
    </row>
    <row r="184" spans="1:17" hidden="1" x14ac:dyDescent="0.3">
      <c r="A184">
        <v>1183</v>
      </c>
      <c r="B184" t="s">
        <v>287</v>
      </c>
      <c r="C184" t="s">
        <v>10</v>
      </c>
      <c r="D184" t="s">
        <v>16</v>
      </c>
      <c r="E184">
        <v>49</v>
      </c>
      <c r="F184" t="str" cm="1">
        <f t="array" ref="F184">_xlfn.IFS(EmployeeData[[#This Row],[Age]]&lt;30,"20s",EmployeeData[[#This Row],[Age]]&lt;40,"30s",EmployeeData[[#This Row],[Age]]&lt;50,"40s",EmployeeData[[#This Row],[Age]]&lt;60,"50s",EmployeeData[[#This Row],[Age]]&gt;=60,"60s")</f>
        <v>40s</v>
      </c>
      <c r="G184" s="5">
        <v>43979</v>
      </c>
      <c r="I184" t="s">
        <v>17</v>
      </c>
      <c r="J184" t="s">
        <v>18</v>
      </c>
      <c r="K184" cm="1">
        <f t="array" aca="1" ref="K184" ca="1">_xlfn.IFS(EmployeeData[[#This Row],[Status]]="Active",_xlfn.DAYS(TODAY(),EmployeeData[[#This Row],[Join Date]]),EmployeeData[[#This Row],[Status]]="Exited",_xlfn.DAYS(EmployeeData[[#This Row],[Exit Date]],EmployeeData[[#This Row],[Join Date]]))</f>
        <v>2218</v>
      </c>
      <c r="L184" cm="1">
        <f t="array" aca="1" ref="L184" ca="1">_xlfn.IFS(EmployeeData[[#This Row],[Status]]="Exited",DATEDIF(EmployeeData[[#This Row],[Join Date]], EmployeeData[[#This Row],[Exit Date]], "Y"),EmployeeData[[#This Row],[Status]]="Active",DATEDIF(EmployeeData[[#This Row],[Join Date]], TODAY(), "Y"))</f>
        <v>6</v>
      </c>
      <c r="Q184" t="str" cm="1">
        <f t="array" aca="1" ref="Q1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27 days</v>
      </c>
    </row>
    <row r="185" spans="1:17" hidden="1" x14ac:dyDescent="0.3">
      <c r="A185">
        <v>1184</v>
      </c>
      <c r="B185" t="s">
        <v>577</v>
      </c>
      <c r="C185" t="s">
        <v>23</v>
      </c>
      <c r="D185" t="s">
        <v>16</v>
      </c>
      <c r="E185">
        <v>25</v>
      </c>
      <c r="F185" t="str" cm="1">
        <f t="array" ref="F185">_xlfn.IFS(EmployeeData[[#This Row],[Age]]&lt;30,"20s",EmployeeData[[#This Row],[Age]]&lt;40,"30s",EmployeeData[[#This Row],[Age]]&lt;50,"40s",EmployeeData[[#This Row],[Age]]&lt;60,"50s",EmployeeData[[#This Row],[Age]]&gt;=60,"60s")</f>
        <v>20s</v>
      </c>
      <c r="G185" s="5">
        <v>44952</v>
      </c>
      <c r="H185" s="5">
        <v>45953</v>
      </c>
      <c r="I185" t="s">
        <v>21</v>
      </c>
      <c r="J185" t="s">
        <v>13</v>
      </c>
      <c r="K185" cm="1">
        <f t="array" aca="1" ref="K185" ca="1">_xlfn.IFS(EmployeeData[[#This Row],[Status]]="Active",_xlfn.DAYS(TODAY(),EmployeeData[[#This Row],[Join Date]]),EmployeeData[[#This Row],[Status]]="Exited",_xlfn.DAYS(EmployeeData[[#This Row],[Exit Date]],EmployeeData[[#This Row],[Join Date]]))</f>
        <v>1001</v>
      </c>
      <c r="L185" cm="1">
        <f t="array" aca="1" ref="L185" ca="1">_xlfn.IFS(EmployeeData[[#This Row],[Status]]="Exited",DATEDIF(EmployeeData[[#This Row],[Join Date]], EmployeeData[[#This Row],[Exit Date]], "Y"),EmployeeData[[#This Row],[Status]]="Active",DATEDIF(EmployeeData[[#This Row],[Join Date]], TODAY(), "Y"))</f>
        <v>2</v>
      </c>
      <c r="Q185" t="str" cm="1">
        <f t="array" aca="1" ref="Q1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27 days</v>
      </c>
    </row>
    <row r="186" spans="1:17" hidden="1" x14ac:dyDescent="0.3">
      <c r="A186">
        <v>1185</v>
      </c>
      <c r="B186" t="s">
        <v>1032</v>
      </c>
      <c r="C186" t="s">
        <v>23</v>
      </c>
      <c r="D186" t="s">
        <v>16</v>
      </c>
      <c r="E186">
        <v>40</v>
      </c>
      <c r="F186" t="str" cm="1">
        <f t="array" ref="F186">_xlfn.IFS(EmployeeData[[#This Row],[Age]]&lt;30,"20s",EmployeeData[[#This Row],[Age]]&lt;40,"30s",EmployeeData[[#This Row],[Age]]&lt;50,"40s",EmployeeData[[#This Row],[Age]]&lt;60,"50s",EmployeeData[[#This Row],[Age]]&gt;=60,"60s")</f>
        <v>40s</v>
      </c>
      <c r="G186" s="5">
        <v>43746</v>
      </c>
      <c r="I186" t="s">
        <v>17</v>
      </c>
      <c r="J186" t="s">
        <v>18</v>
      </c>
      <c r="K186" cm="1">
        <f t="array" aca="1" ref="K186" ca="1">_xlfn.IFS(EmployeeData[[#This Row],[Status]]="Active",_xlfn.DAYS(TODAY(),EmployeeData[[#This Row],[Join Date]]),EmployeeData[[#This Row],[Status]]="Exited",_xlfn.DAYS(EmployeeData[[#This Row],[Exit Date]],EmployeeData[[#This Row],[Join Date]]))</f>
        <v>2451</v>
      </c>
      <c r="L186" cm="1">
        <f t="array" aca="1" ref="L186" ca="1">_xlfn.IFS(EmployeeData[[#This Row],[Status]]="Exited",DATEDIF(EmployeeData[[#This Row],[Join Date]], EmployeeData[[#This Row],[Exit Date]], "Y"),EmployeeData[[#This Row],[Status]]="Active",DATEDIF(EmployeeData[[#This Row],[Join Date]], TODAY(), "Y"))</f>
        <v>6</v>
      </c>
      <c r="Q186" t="str" cm="1">
        <f t="array" aca="1" ref="Q1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16 days</v>
      </c>
    </row>
    <row r="187" spans="1:17" hidden="1" x14ac:dyDescent="0.3">
      <c r="A187">
        <v>1186</v>
      </c>
      <c r="B187" t="s">
        <v>462</v>
      </c>
      <c r="C187" t="s">
        <v>46</v>
      </c>
      <c r="D187" t="s">
        <v>11</v>
      </c>
      <c r="E187">
        <v>36</v>
      </c>
      <c r="F187" t="str" cm="1">
        <f t="array" ref="F187">_xlfn.IFS(EmployeeData[[#This Row],[Age]]&lt;30,"20s",EmployeeData[[#This Row],[Age]]&lt;40,"30s",EmployeeData[[#This Row],[Age]]&lt;50,"40s",EmployeeData[[#This Row],[Age]]&lt;60,"50s",EmployeeData[[#This Row],[Age]]&gt;=60,"60s")</f>
        <v>30s</v>
      </c>
      <c r="G187" s="5">
        <v>45124</v>
      </c>
      <c r="H187" s="5">
        <v>45781</v>
      </c>
      <c r="I187" t="s">
        <v>65</v>
      </c>
      <c r="J187" t="s">
        <v>13</v>
      </c>
      <c r="K187" cm="1">
        <f t="array" aca="1" ref="K187" ca="1">_xlfn.IFS(EmployeeData[[#This Row],[Status]]="Active",_xlfn.DAYS(TODAY(),EmployeeData[[#This Row],[Join Date]]),EmployeeData[[#This Row],[Status]]="Exited",_xlfn.DAYS(EmployeeData[[#This Row],[Exit Date]],EmployeeData[[#This Row],[Join Date]]))</f>
        <v>657</v>
      </c>
      <c r="L187" cm="1">
        <f t="array" aca="1" ref="L187" ca="1">_xlfn.IFS(EmployeeData[[#This Row],[Status]]="Exited",DATEDIF(EmployeeData[[#This Row],[Join Date]], EmployeeData[[#This Row],[Exit Date]], "Y"),EmployeeData[[#This Row],[Status]]="Active",DATEDIF(EmployeeData[[#This Row],[Join Date]], TODAY(), "Y"))</f>
        <v>1</v>
      </c>
      <c r="Q187" t="str" cm="1">
        <f t="array" aca="1" ref="Q1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17 days</v>
      </c>
    </row>
    <row r="188" spans="1:17" hidden="1" x14ac:dyDescent="0.3">
      <c r="A188">
        <v>1187</v>
      </c>
      <c r="B188" t="s">
        <v>545</v>
      </c>
      <c r="C188" t="s">
        <v>15</v>
      </c>
      <c r="D188" t="s">
        <v>24</v>
      </c>
      <c r="E188">
        <v>51</v>
      </c>
      <c r="F188" t="str" cm="1">
        <f t="array" ref="F188">_xlfn.IFS(EmployeeData[[#This Row],[Age]]&lt;30,"20s",EmployeeData[[#This Row],[Age]]&lt;40,"30s",EmployeeData[[#This Row],[Age]]&lt;50,"40s",EmployeeData[[#This Row],[Age]]&lt;60,"50s",EmployeeData[[#This Row],[Age]]&gt;=60,"60s")</f>
        <v>50s</v>
      </c>
      <c r="G188" s="5">
        <v>45254</v>
      </c>
      <c r="I188" t="s">
        <v>17</v>
      </c>
      <c r="J188" t="s">
        <v>18</v>
      </c>
      <c r="K188" cm="1">
        <f t="array" aca="1" ref="K188" ca="1">_xlfn.IFS(EmployeeData[[#This Row],[Status]]="Active",_xlfn.DAYS(TODAY(),EmployeeData[[#This Row],[Join Date]]),EmployeeData[[#This Row],[Status]]="Exited",_xlfn.DAYS(EmployeeData[[#This Row],[Exit Date]],EmployeeData[[#This Row],[Join Date]]))</f>
        <v>943</v>
      </c>
      <c r="L188" cm="1">
        <f t="array" aca="1" ref="L188" ca="1">_xlfn.IFS(EmployeeData[[#This Row],[Status]]="Exited",DATEDIF(EmployeeData[[#This Row],[Join Date]], EmployeeData[[#This Row],[Exit Date]], "Y"),EmployeeData[[#This Row],[Status]]="Active",DATEDIF(EmployeeData[[#This Row],[Join Date]], TODAY(), "Y"))</f>
        <v>2</v>
      </c>
      <c r="Q188" t="str" cm="1">
        <f t="array" aca="1" ref="Q1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0 days</v>
      </c>
    </row>
    <row r="189" spans="1:17" hidden="1" x14ac:dyDescent="0.3">
      <c r="A189">
        <v>1188</v>
      </c>
      <c r="B189" t="s">
        <v>1036</v>
      </c>
      <c r="C189" t="s">
        <v>20</v>
      </c>
      <c r="D189" t="s">
        <v>24</v>
      </c>
      <c r="E189">
        <v>54</v>
      </c>
      <c r="F189" t="str" cm="1">
        <f t="array" ref="F189">_xlfn.IFS(EmployeeData[[#This Row],[Age]]&lt;30,"20s",EmployeeData[[#This Row],[Age]]&lt;40,"30s",EmployeeData[[#This Row],[Age]]&lt;50,"40s",EmployeeData[[#This Row],[Age]]&lt;60,"50s",EmployeeData[[#This Row],[Age]]&gt;=60,"60s")</f>
        <v>50s</v>
      </c>
      <c r="G189" s="5">
        <v>44512</v>
      </c>
      <c r="H189" s="5">
        <v>45731</v>
      </c>
      <c r="I189" t="s">
        <v>28</v>
      </c>
      <c r="J189" t="s">
        <v>13</v>
      </c>
      <c r="K189" cm="1">
        <f t="array" aca="1" ref="K189" ca="1">_xlfn.IFS(EmployeeData[[#This Row],[Status]]="Active",_xlfn.DAYS(TODAY(),EmployeeData[[#This Row],[Join Date]]),EmployeeData[[#This Row],[Status]]="Exited",_xlfn.DAYS(EmployeeData[[#This Row],[Exit Date]],EmployeeData[[#This Row],[Join Date]]))</f>
        <v>1219</v>
      </c>
      <c r="L189" cm="1">
        <f t="array" aca="1" ref="L189" ca="1">_xlfn.IFS(EmployeeData[[#This Row],[Status]]="Exited",DATEDIF(EmployeeData[[#This Row],[Join Date]], EmployeeData[[#This Row],[Exit Date]], "Y"),EmployeeData[[#This Row],[Status]]="Active",DATEDIF(EmployeeData[[#This Row],[Join Date]], TODAY(), "Y"))</f>
        <v>3</v>
      </c>
      <c r="Q189" t="str" cm="1">
        <f t="array" aca="1" ref="Q1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row r="190" spans="1:17" hidden="1" x14ac:dyDescent="0.3">
      <c r="A190">
        <v>1189</v>
      </c>
      <c r="B190" t="s">
        <v>156</v>
      </c>
      <c r="C190" t="s">
        <v>33</v>
      </c>
      <c r="D190" t="s">
        <v>24</v>
      </c>
      <c r="E190">
        <v>40</v>
      </c>
      <c r="F190" t="str" cm="1">
        <f t="array" ref="F190">_xlfn.IFS(EmployeeData[[#This Row],[Age]]&lt;30,"20s",EmployeeData[[#This Row],[Age]]&lt;40,"30s",EmployeeData[[#This Row],[Age]]&lt;50,"40s",EmployeeData[[#This Row],[Age]]&lt;60,"50s",EmployeeData[[#This Row],[Age]]&gt;=60,"60s")</f>
        <v>40s</v>
      </c>
      <c r="G190" s="5">
        <v>43775</v>
      </c>
      <c r="H190" s="5">
        <v>44788</v>
      </c>
      <c r="I190" t="s">
        <v>12</v>
      </c>
      <c r="J190" t="s">
        <v>13</v>
      </c>
      <c r="K190" cm="1">
        <f t="array" aca="1" ref="K190" ca="1">_xlfn.IFS(EmployeeData[[#This Row],[Status]]="Active",_xlfn.DAYS(TODAY(),EmployeeData[[#This Row],[Join Date]]),EmployeeData[[#This Row],[Status]]="Exited",_xlfn.DAYS(EmployeeData[[#This Row],[Exit Date]],EmployeeData[[#This Row],[Join Date]]))</f>
        <v>1013</v>
      </c>
      <c r="L190" cm="1">
        <f t="array" aca="1" ref="L190" ca="1">_xlfn.IFS(EmployeeData[[#This Row],[Status]]="Exited",DATEDIF(EmployeeData[[#This Row],[Join Date]], EmployeeData[[#This Row],[Exit Date]], "Y"),EmployeeData[[#This Row],[Status]]="Active",DATEDIF(EmployeeData[[#This Row],[Join Date]], TODAY(), "Y"))</f>
        <v>2</v>
      </c>
      <c r="Q190" t="str" cm="1">
        <f t="array" aca="1" ref="Q1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9 days</v>
      </c>
    </row>
    <row r="191" spans="1:17" hidden="1" x14ac:dyDescent="0.3">
      <c r="A191">
        <v>1190</v>
      </c>
      <c r="B191" t="s">
        <v>1012</v>
      </c>
      <c r="C191" t="s">
        <v>10</v>
      </c>
      <c r="D191" t="s">
        <v>24</v>
      </c>
      <c r="E191">
        <v>56</v>
      </c>
      <c r="F191" t="str" cm="1">
        <f t="array" ref="F191">_xlfn.IFS(EmployeeData[[#This Row],[Age]]&lt;30,"20s",EmployeeData[[#This Row],[Age]]&lt;40,"30s",EmployeeData[[#This Row],[Age]]&lt;50,"40s",EmployeeData[[#This Row],[Age]]&lt;60,"50s",EmployeeData[[#This Row],[Age]]&gt;=60,"60s")</f>
        <v>50s</v>
      </c>
      <c r="G191" s="5">
        <v>44225</v>
      </c>
      <c r="H191" s="5">
        <v>44935</v>
      </c>
      <c r="I191" t="s">
        <v>28</v>
      </c>
      <c r="J191" t="s">
        <v>13</v>
      </c>
      <c r="K191" cm="1">
        <f t="array" aca="1" ref="K191" ca="1">_xlfn.IFS(EmployeeData[[#This Row],[Status]]="Active",_xlfn.DAYS(TODAY(),EmployeeData[[#This Row],[Join Date]]),EmployeeData[[#This Row],[Status]]="Exited",_xlfn.DAYS(EmployeeData[[#This Row],[Exit Date]],EmployeeData[[#This Row],[Join Date]]))</f>
        <v>710</v>
      </c>
      <c r="L191" cm="1">
        <f t="array" aca="1" ref="L191" ca="1">_xlfn.IFS(EmployeeData[[#This Row],[Status]]="Exited",DATEDIF(EmployeeData[[#This Row],[Join Date]], EmployeeData[[#This Row],[Exit Date]], "Y"),EmployeeData[[#This Row],[Status]]="Active",DATEDIF(EmployeeData[[#This Row],[Join Date]], TODAY(), "Y"))</f>
        <v>1</v>
      </c>
      <c r="Q191" t="str" cm="1">
        <f t="array" aca="1" ref="Q1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11 days</v>
      </c>
    </row>
    <row r="192" spans="1:17" hidden="1" x14ac:dyDescent="0.3">
      <c r="A192">
        <v>1191</v>
      </c>
      <c r="B192" t="s">
        <v>679</v>
      </c>
      <c r="C192" t="s">
        <v>23</v>
      </c>
      <c r="D192" t="s">
        <v>24</v>
      </c>
      <c r="E192">
        <v>31</v>
      </c>
      <c r="F192" t="str" cm="1">
        <f t="array" ref="F192">_xlfn.IFS(EmployeeData[[#This Row],[Age]]&lt;30,"20s",EmployeeData[[#This Row],[Age]]&lt;40,"30s",EmployeeData[[#This Row],[Age]]&lt;50,"40s",EmployeeData[[#This Row],[Age]]&lt;60,"50s",EmployeeData[[#This Row],[Age]]&gt;=60,"60s")</f>
        <v>30s</v>
      </c>
      <c r="G192" s="5">
        <v>45799</v>
      </c>
      <c r="I192" t="s">
        <v>17</v>
      </c>
      <c r="J192" t="s">
        <v>18</v>
      </c>
      <c r="K192" cm="1">
        <f t="array" aca="1" ref="K192" ca="1">_xlfn.IFS(EmployeeData[[#This Row],[Status]]="Active",_xlfn.DAYS(TODAY(),EmployeeData[[#This Row],[Join Date]]),EmployeeData[[#This Row],[Status]]="Exited",_xlfn.DAYS(EmployeeData[[#This Row],[Exit Date]],EmployeeData[[#This Row],[Join Date]]))</f>
        <v>398</v>
      </c>
      <c r="L192" cm="1">
        <f t="array" aca="1" ref="L192" ca="1">_xlfn.IFS(EmployeeData[[#This Row],[Status]]="Exited",DATEDIF(EmployeeData[[#This Row],[Join Date]], EmployeeData[[#This Row],[Exit Date]], "Y"),EmployeeData[[#This Row],[Status]]="Active",DATEDIF(EmployeeData[[#This Row],[Join Date]], TODAY(), "Y"))</f>
        <v>1</v>
      </c>
      <c r="Q192" t="str" cm="1">
        <f t="array" aca="1" ref="Q1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193" spans="1:17" x14ac:dyDescent="0.3">
      <c r="A193">
        <v>1192</v>
      </c>
      <c r="B193" t="s">
        <v>309</v>
      </c>
      <c r="C193" t="s">
        <v>23</v>
      </c>
      <c r="D193" t="s">
        <v>11</v>
      </c>
      <c r="E193">
        <v>22</v>
      </c>
      <c r="F193" t="str" cm="1">
        <f t="array" ref="F193">_xlfn.IFS(EmployeeData[[#This Row],[Age]]&lt;30,"20s",EmployeeData[[#This Row],[Age]]&lt;40,"30s",EmployeeData[[#This Row],[Age]]&lt;50,"40s",EmployeeData[[#This Row],[Age]]&lt;60,"50s",EmployeeData[[#This Row],[Age]]&gt;=60,"60s")</f>
        <v>20s</v>
      </c>
      <c r="G193" s="5">
        <v>43433</v>
      </c>
      <c r="H193" s="5">
        <v>44607</v>
      </c>
      <c r="I193" t="s">
        <v>28</v>
      </c>
      <c r="J193" t="s">
        <v>13</v>
      </c>
      <c r="K193" cm="1">
        <f t="array" aca="1" ref="K193" ca="1">_xlfn.IFS(EmployeeData[[#This Row],[Status]]="Active",_xlfn.DAYS(TODAY(),EmployeeData[[#This Row],[Join Date]]),EmployeeData[[#This Row],[Status]]="Exited",_xlfn.DAYS(EmployeeData[[#This Row],[Exit Date]],EmployeeData[[#This Row],[Join Date]]))</f>
        <v>1174</v>
      </c>
      <c r="L193" cm="1">
        <f t="array" aca="1" ref="L193" ca="1">_xlfn.IFS(EmployeeData[[#This Row],[Status]]="Exited",DATEDIF(EmployeeData[[#This Row],[Join Date]], EmployeeData[[#This Row],[Exit Date]], "Y"),EmployeeData[[#This Row],[Status]]="Active",DATEDIF(EmployeeData[[#This Row],[Join Date]], TODAY(), "Y"))</f>
        <v>3</v>
      </c>
      <c r="Q193" t="str" cm="1">
        <f t="array" aca="1" ref="Q1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194" spans="1:17" hidden="1" x14ac:dyDescent="0.3">
      <c r="A194">
        <v>1193</v>
      </c>
      <c r="B194" t="s">
        <v>1090</v>
      </c>
      <c r="C194" t="s">
        <v>15</v>
      </c>
      <c r="D194" t="s">
        <v>11</v>
      </c>
      <c r="E194">
        <v>55</v>
      </c>
      <c r="F194" t="str" cm="1">
        <f t="array" ref="F194">_xlfn.IFS(EmployeeData[[#This Row],[Age]]&lt;30,"20s",EmployeeData[[#This Row],[Age]]&lt;40,"30s",EmployeeData[[#This Row],[Age]]&lt;50,"40s",EmployeeData[[#This Row],[Age]]&lt;60,"50s",EmployeeData[[#This Row],[Age]]&gt;=60,"60s")</f>
        <v>50s</v>
      </c>
      <c r="G194" s="5">
        <v>44287</v>
      </c>
      <c r="I194" t="s">
        <v>17</v>
      </c>
      <c r="J194" t="s">
        <v>18</v>
      </c>
      <c r="K194" cm="1">
        <f t="array" aca="1" ref="K194" ca="1">_xlfn.IFS(EmployeeData[[#This Row],[Status]]="Active",_xlfn.DAYS(TODAY(),EmployeeData[[#This Row],[Join Date]]),EmployeeData[[#This Row],[Status]]="Exited",_xlfn.DAYS(EmployeeData[[#This Row],[Exit Date]],EmployeeData[[#This Row],[Join Date]]))</f>
        <v>1910</v>
      </c>
      <c r="L194" cm="1">
        <f t="array" aca="1" ref="L194" ca="1">_xlfn.IFS(EmployeeData[[#This Row],[Status]]="Exited",DATEDIF(EmployeeData[[#This Row],[Join Date]], EmployeeData[[#This Row],[Exit Date]], "Y"),EmployeeData[[#This Row],[Status]]="Active",DATEDIF(EmployeeData[[#This Row],[Join Date]], TODAY(), "Y"))</f>
        <v>5</v>
      </c>
      <c r="Q194" t="str" cm="1">
        <f t="array" aca="1" ref="Q1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23 days</v>
      </c>
    </row>
    <row r="195" spans="1:17" hidden="1" x14ac:dyDescent="0.3">
      <c r="A195">
        <v>1194</v>
      </c>
      <c r="B195" t="s">
        <v>898</v>
      </c>
      <c r="C195" t="s">
        <v>10</v>
      </c>
      <c r="D195" t="s">
        <v>16</v>
      </c>
      <c r="E195">
        <v>24</v>
      </c>
      <c r="F195" t="str" cm="1">
        <f t="array" ref="F195">_xlfn.IFS(EmployeeData[[#This Row],[Age]]&lt;30,"20s",EmployeeData[[#This Row],[Age]]&lt;40,"30s",EmployeeData[[#This Row],[Age]]&lt;50,"40s",EmployeeData[[#This Row],[Age]]&lt;60,"50s",EmployeeData[[#This Row],[Age]]&gt;=60,"60s")</f>
        <v>20s</v>
      </c>
      <c r="G195" s="5">
        <v>43748</v>
      </c>
      <c r="I195" t="s">
        <v>17</v>
      </c>
      <c r="J195" t="s">
        <v>18</v>
      </c>
      <c r="K195" cm="1">
        <f t="array" aca="1" ref="K195" ca="1">_xlfn.IFS(EmployeeData[[#This Row],[Status]]="Active",_xlfn.DAYS(TODAY(),EmployeeData[[#This Row],[Join Date]]),EmployeeData[[#This Row],[Status]]="Exited",_xlfn.DAYS(EmployeeData[[#This Row],[Exit Date]],EmployeeData[[#This Row],[Join Date]]))</f>
        <v>2449</v>
      </c>
      <c r="L195" cm="1">
        <f t="array" aca="1" ref="L195" ca="1">_xlfn.IFS(EmployeeData[[#This Row],[Status]]="Exited",DATEDIF(EmployeeData[[#This Row],[Join Date]], EmployeeData[[#This Row],[Exit Date]], "Y"),EmployeeData[[#This Row],[Status]]="Active",DATEDIF(EmployeeData[[#This Row],[Join Date]], TODAY(), "Y"))</f>
        <v>6</v>
      </c>
      <c r="Q195" t="str" cm="1">
        <f t="array" aca="1" ref="Q1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14 days</v>
      </c>
    </row>
    <row r="196" spans="1:17" hidden="1" x14ac:dyDescent="0.3">
      <c r="A196">
        <v>1195</v>
      </c>
      <c r="B196" t="s">
        <v>667</v>
      </c>
      <c r="C196" t="s">
        <v>10</v>
      </c>
      <c r="D196" t="s">
        <v>11</v>
      </c>
      <c r="E196">
        <v>43</v>
      </c>
      <c r="F196" t="str" cm="1">
        <f t="array" ref="F196">_xlfn.IFS(EmployeeData[[#This Row],[Age]]&lt;30,"20s",EmployeeData[[#This Row],[Age]]&lt;40,"30s",EmployeeData[[#This Row],[Age]]&lt;50,"40s",EmployeeData[[#This Row],[Age]]&lt;60,"50s",EmployeeData[[#This Row],[Age]]&gt;=60,"60s")</f>
        <v>40s</v>
      </c>
      <c r="G196" s="5">
        <v>44734</v>
      </c>
      <c r="H196" s="5">
        <v>45582</v>
      </c>
      <c r="I196" t="s">
        <v>65</v>
      </c>
      <c r="J196" t="s">
        <v>13</v>
      </c>
      <c r="K196" cm="1">
        <f t="array" aca="1" ref="K196" ca="1">_xlfn.IFS(EmployeeData[[#This Row],[Status]]="Active",_xlfn.DAYS(TODAY(),EmployeeData[[#This Row],[Join Date]]),EmployeeData[[#This Row],[Status]]="Exited",_xlfn.DAYS(EmployeeData[[#This Row],[Exit Date]],EmployeeData[[#This Row],[Join Date]]))</f>
        <v>848</v>
      </c>
      <c r="L196" cm="1">
        <f t="array" aca="1" ref="L196" ca="1">_xlfn.IFS(EmployeeData[[#This Row],[Status]]="Exited",DATEDIF(EmployeeData[[#This Row],[Join Date]], EmployeeData[[#This Row],[Exit Date]], "Y"),EmployeeData[[#This Row],[Status]]="Active",DATEDIF(EmployeeData[[#This Row],[Join Date]], TODAY(), "Y"))</f>
        <v>2</v>
      </c>
      <c r="Q196" t="str" cm="1">
        <f t="array" aca="1" ref="Q1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25 days</v>
      </c>
    </row>
    <row r="197" spans="1:17" x14ac:dyDescent="0.3">
      <c r="A197">
        <v>1196</v>
      </c>
      <c r="B197" t="s">
        <v>617</v>
      </c>
      <c r="C197" t="s">
        <v>10</v>
      </c>
      <c r="D197" t="s">
        <v>16</v>
      </c>
      <c r="E197">
        <v>27</v>
      </c>
      <c r="F197" t="str" cm="1">
        <f t="array" ref="F197">_xlfn.IFS(EmployeeData[[#This Row],[Age]]&lt;30,"20s",EmployeeData[[#This Row],[Age]]&lt;40,"30s",EmployeeData[[#This Row],[Age]]&lt;50,"40s",EmployeeData[[#This Row],[Age]]&lt;60,"50s",EmployeeData[[#This Row],[Age]]&gt;=60,"60s")</f>
        <v>20s</v>
      </c>
      <c r="G197" s="5">
        <v>43308</v>
      </c>
      <c r="H197" s="5">
        <v>44971</v>
      </c>
      <c r="I197" t="s">
        <v>52</v>
      </c>
      <c r="J197" t="s">
        <v>13</v>
      </c>
      <c r="K197" cm="1">
        <f t="array" aca="1" ref="K197" ca="1">_xlfn.IFS(EmployeeData[[#This Row],[Status]]="Active",_xlfn.DAYS(TODAY(),EmployeeData[[#This Row],[Join Date]]),EmployeeData[[#This Row],[Status]]="Exited",_xlfn.DAYS(EmployeeData[[#This Row],[Exit Date]],EmployeeData[[#This Row],[Join Date]]))</f>
        <v>1663</v>
      </c>
      <c r="L197" cm="1">
        <f t="array" aca="1" ref="L197" ca="1">_xlfn.IFS(EmployeeData[[#This Row],[Status]]="Exited",DATEDIF(EmployeeData[[#This Row],[Join Date]], EmployeeData[[#This Row],[Exit Date]], "Y"),EmployeeData[[#This Row],[Status]]="Active",DATEDIF(EmployeeData[[#This Row],[Join Date]], TODAY(), "Y"))</f>
        <v>4</v>
      </c>
      <c r="Q197" t="str" cm="1">
        <f t="array" aca="1" ref="Q1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18 days</v>
      </c>
    </row>
    <row r="198" spans="1:17" hidden="1" x14ac:dyDescent="0.3">
      <c r="A198">
        <v>1197</v>
      </c>
      <c r="B198" t="s">
        <v>930</v>
      </c>
      <c r="C198" t="s">
        <v>46</v>
      </c>
      <c r="D198" t="s">
        <v>11</v>
      </c>
      <c r="E198">
        <v>57</v>
      </c>
      <c r="F198" t="str" cm="1">
        <f t="array" ref="F198">_xlfn.IFS(EmployeeData[[#This Row],[Age]]&lt;30,"20s",EmployeeData[[#This Row],[Age]]&lt;40,"30s",EmployeeData[[#This Row],[Age]]&lt;50,"40s",EmployeeData[[#This Row],[Age]]&lt;60,"50s",EmployeeData[[#This Row],[Age]]&gt;=60,"60s")</f>
        <v>50s</v>
      </c>
      <c r="G198" s="5">
        <v>44381</v>
      </c>
      <c r="H198" s="5">
        <v>44797</v>
      </c>
      <c r="I198" t="s">
        <v>65</v>
      </c>
      <c r="J198" t="s">
        <v>13</v>
      </c>
      <c r="K198" cm="1">
        <f t="array" aca="1" ref="K198" ca="1">_xlfn.IFS(EmployeeData[[#This Row],[Status]]="Active",_xlfn.DAYS(TODAY(),EmployeeData[[#This Row],[Join Date]]),EmployeeData[[#This Row],[Status]]="Exited",_xlfn.DAYS(EmployeeData[[#This Row],[Exit Date]],EmployeeData[[#This Row],[Join Date]]))</f>
        <v>416</v>
      </c>
      <c r="L198" cm="1">
        <f t="array" aca="1" ref="L198" ca="1">_xlfn.IFS(EmployeeData[[#This Row],[Status]]="Exited",DATEDIF(EmployeeData[[#This Row],[Join Date]], EmployeeData[[#This Row],[Exit Date]], "Y"),EmployeeData[[#This Row],[Status]]="Active",DATEDIF(EmployeeData[[#This Row],[Join Date]], TODAY(), "Y"))</f>
        <v>1</v>
      </c>
      <c r="Q198" t="str" cm="1">
        <f t="array" aca="1" ref="Q1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199" spans="1:17" hidden="1" x14ac:dyDescent="0.3">
      <c r="A199">
        <v>1198</v>
      </c>
      <c r="B199" t="s">
        <v>461</v>
      </c>
      <c r="C199" t="s">
        <v>23</v>
      </c>
      <c r="D199" t="s">
        <v>16</v>
      </c>
      <c r="E199">
        <v>46</v>
      </c>
      <c r="F199" t="str" cm="1">
        <f t="array" ref="F199">_xlfn.IFS(EmployeeData[[#This Row],[Age]]&lt;30,"20s",EmployeeData[[#This Row],[Age]]&lt;40,"30s",EmployeeData[[#This Row],[Age]]&lt;50,"40s",EmployeeData[[#This Row],[Age]]&lt;60,"50s",EmployeeData[[#This Row],[Age]]&gt;=60,"60s")</f>
        <v>40s</v>
      </c>
      <c r="G199" s="5">
        <v>45171</v>
      </c>
      <c r="I199" t="s">
        <v>17</v>
      </c>
      <c r="J199" t="s">
        <v>18</v>
      </c>
      <c r="K199" cm="1">
        <f t="array" aca="1" ref="K199" ca="1">_xlfn.IFS(EmployeeData[[#This Row],[Status]]="Active",_xlfn.DAYS(TODAY(),EmployeeData[[#This Row],[Join Date]]),EmployeeData[[#This Row],[Status]]="Exited",_xlfn.DAYS(EmployeeData[[#This Row],[Exit Date]],EmployeeData[[#This Row],[Join Date]]))</f>
        <v>1026</v>
      </c>
      <c r="L199" cm="1">
        <f t="array" aca="1" ref="L199" ca="1">_xlfn.IFS(EmployeeData[[#This Row],[Status]]="Exited",DATEDIF(EmployeeData[[#This Row],[Join Date]], EmployeeData[[#This Row],[Exit Date]], "Y"),EmployeeData[[#This Row],[Status]]="Active",DATEDIF(EmployeeData[[#This Row],[Join Date]], TODAY(), "Y"))</f>
        <v>2</v>
      </c>
      <c r="Q199" t="str" cm="1">
        <f t="array" aca="1" ref="Q1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22 days</v>
      </c>
    </row>
    <row r="200" spans="1:17" hidden="1" x14ac:dyDescent="0.3">
      <c r="A200">
        <v>1199</v>
      </c>
      <c r="B200" t="s">
        <v>936</v>
      </c>
      <c r="C200" t="s">
        <v>15</v>
      </c>
      <c r="D200" t="s">
        <v>24</v>
      </c>
      <c r="E200">
        <v>51</v>
      </c>
      <c r="F200" t="str" cm="1">
        <f t="array" ref="F200">_xlfn.IFS(EmployeeData[[#This Row],[Age]]&lt;30,"20s",EmployeeData[[#This Row],[Age]]&lt;40,"30s",EmployeeData[[#This Row],[Age]]&lt;50,"40s",EmployeeData[[#This Row],[Age]]&lt;60,"50s",EmployeeData[[#This Row],[Age]]&gt;=60,"60s")</f>
        <v>50s</v>
      </c>
      <c r="G200" s="5">
        <v>44271</v>
      </c>
      <c r="I200" t="s">
        <v>17</v>
      </c>
      <c r="J200" t="s">
        <v>18</v>
      </c>
      <c r="K200" cm="1">
        <f t="array" aca="1" ref="K200" ca="1">_xlfn.IFS(EmployeeData[[#This Row],[Status]]="Active",_xlfn.DAYS(TODAY(),EmployeeData[[#This Row],[Join Date]]),EmployeeData[[#This Row],[Status]]="Exited",_xlfn.DAYS(EmployeeData[[#This Row],[Exit Date]],EmployeeData[[#This Row],[Join Date]]))</f>
        <v>1926</v>
      </c>
      <c r="L200" cm="1">
        <f t="array" aca="1" ref="L200" ca="1">_xlfn.IFS(EmployeeData[[#This Row],[Status]]="Exited",DATEDIF(EmployeeData[[#This Row],[Join Date]], EmployeeData[[#This Row],[Exit Date]], "Y"),EmployeeData[[#This Row],[Status]]="Active",DATEDIF(EmployeeData[[#This Row],[Join Date]], TODAY(), "Y"))</f>
        <v>5</v>
      </c>
      <c r="Q200" t="str" cm="1">
        <f t="array" aca="1" ref="Q2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8 days</v>
      </c>
    </row>
    <row r="201" spans="1:17" x14ac:dyDescent="0.3">
      <c r="A201">
        <v>1200</v>
      </c>
      <c r="B201" t="s">
        <v>401</v>
      </c>
      <c r="C201" t="s">
        <v>20</v>
      </c>
      <c r="D201" t="s">
        <v>11</v>
      </c>
      <c r="E201">
        <v>44</v>
      </c>
      <c r="F201" t="str" cm="1">
        <f t="array" ref="F201">_xlfn.IFS(EmployeeData[[#This Row],[Age]]&lt;30,"20s",EmployeeData[[#This Row],[Age]]&lt;40,"30s",EmployeeData[[#This Row],[Age]]&lt;50,"40s",EmployeeData[[#This Row],[Age]]&lt;60,"50s",EmployeeData[[#This Row],[Age]]&gt;=60,"60s")</f>
        <v>40s</v>
      </c>
      <c r="G201" s="5">
        <v>43286</v>
      </c>
      <c r="I201" t="s">
        <v>17</v>
      </c>
      <c r="J201" t="s">
        <v>18</v>
      </c>
      <c r="K201" cm="1">
        <f t="array" aca="1" ref="K201" ca="1">_xlfn.IFS(EmployeeData[[#This Row],[Status]]="Active",_xlfn.DAYS(TODAY(),EmployeeData[[#This Row],[Join Date]]),EmployeeData[[#This Row],[Status]]="Exited",_xlfn.DAYS(EmployeeData[[#This Row],[Exit Date]],EmployeeData[[#This Row],[Join Date]]))</f>
        <v>2911</v>
      </c>
      <c r="L201" cm="1">
        <f t="array" aca="1" ref="L201" ca="1">_xlfn.IFS(EmployeeData[[#This Row],[Status]]="Exited",DATEDIF(EmployeeData[[#This Row],[Join Date]], EmployeeData[[#This Row],[Exit Date]], "Y"),EmployeeData[[#This Row],[Status]]="Active",DATEDIF(EmployeeData[[#This Row],[Join Date]], TODAY(), "Y"))</f>
        <v>7</v>
      </c>
      <c r="Q201" t="str" cm="1">
        <f t="array" aca="1" ref="Q2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19 days</v>
      </c>
    </row>
    <row r="202" spans="1:17" hidden="1" x14ac:dyDescent="0.3">
      <c r="A202">
        <v>1201</v>
      </c>
      <c r="B202" t="s">
        <v>730</v>
      </c>
      <c r="C202" t="s">
        <v>15</v>
      </c>
      <c r="D202" t="s">
        <v>24</v>
      </c>
      <c r="E202">
        <v>56</v>
      </c>
      <c r="F202" t="str" cm="1">
        <f t="array" ref="F202">_xlfn.IFS(EmployeeData[[#This Row],[Age]]&lt;30,"20s",EmployeeData[[#This Row],[Age]]&lt;40,"30s",EmployeeData[[#This Row],[Age]]&lt;50,"40s",EmployeeData[[#This Row],[Age]]&lt;60,"50s",EmployeeData[[#This Row],[Age]]&gt;=60,"60s")</f>
        <v>50s</v>
      </c>
      <c r="G202" s="5">
        <v>44246</v>
      </c>
      <c r="I202" t="s">
        <v>17</v>
      </c>
      <c r="J202" t="s">
        <v>18</v>
      </c>
      <c r="K202" cm="1">
        <f t="array" aca="1" ref="K202" ca="1">_xlfn.IFS(EmployeeData[[#This Row],[Status]]="Active",_xlfn.DAYS(TODAY(),EmployeeData[[#This Row],[Join Date]]),EmployeeData[[#This Row],[Status]]="Exited",_xlfn.DAYS(EmployeeData[[#This Row],[Exit Date]],EmployeeData[[#This Row],[Join Date]]))</f>
        <v>1951</v>
      </c>
      <c r="L202" cm="1">
        <f t="array" aca="1" ref="L202" ca="1">_xlfn.IFS(EmployeeData[[#This Row],[Status]]="Exited",DATEDIF(EmployeeData[[#This Row],[Join Date]], EmployeeData[[#This Row],[Exit Date]], "Y"),EmployeeData[[#This Row],[Status]]="Active",DATEDIF(EmployeeData[[#This Row],[Join Date]], TODAY(), "Y"))</f>
        <v>5</v>
      </c>
      <c r="Q202" t="str" cm="1">
        <f t="array" aca="1" ref="Q2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5 days</v>
      </c>
    </row>
    <row r="203" spans="1:17" hidden="1" x14ac:dyDescent="0.3">
      <c r="A203">
        <v>1202</v>
      </c>
      <c r="B203" t="s">
        <v>894</v>
      </c>
      <c r="C203" t="s">
        <v>10</v>
      </c>
      <c r="D203" t="s">
        <v>11</v>
      </c>
      <c r="E203">
        <v>42</v>
      </c>
      <c r="F203" t="str" cm="1">
        <f t="array" ref="F203">_xlfn.IFS(EmployeeData[[#This Row],[Age]]&lt;30,"20s",EmployeeData[[#This Row],[Age]]&lt;40,"30s",EmployeeData[[#This Row],[Age]]&lt;50,"40s",EmployeeData[[#This Row],[Age]]&lt;60,"50s",EmployeeData[[#This Row],[Age]]&gt;=60,"60s")</f>
        <v>40s</v>
      </c>
      <c r="G203" s="5">
        <v>45385</v>
      </c>
      <c r="I203" t="s">
        <v>17</v>
      </c>
      <c r="J203" t="s">
        <v>18</v>
      </c>
      <c r="K203" cm="1">
        <f t="array" aca="1" ref="K203" ca="1">_xlfn.IFS(EmployeeData[[#This Row],[Status]]="Active",_xlfn.DAYS(TODAY(),EmployeeData[[#This Row],[Join Date]]),EmployeeData[[#This Row],[Status]]="Exited",_xlfn.DAYS(EmployeeData[[#This Row],[Exit Date]],EmployeeData[[#This Row],[Join Date]]))</f>
        <v>812</v>
      </c>
      <c r="L203" cm="1">
        <f t="array" aca="1" ref="L203" ca="1">_xlfn.IFS(EmployeeData[[#This Row],[Status]]="Exited",DATEDIF(EmployeeData[[#This Row],[Join Date]], EmployeeData[[#This Row],[Exit Date]], "Y"),EmployeeData[[#This Row],[Status]]="Active",DATEDIF(EmployeeData[[#This Row],[Join Date]], TODAY(), "Y"))</f>
        <v>2</v>
      </c>
      <c r="Q203" t="str" cm="1">
        <f t="array" aca="1" ref="Q2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21 days</v>
      </c>
    </row>
    <row r="204" spans="1:17" hidden="1" x14ac:dyDescent="0.3">
      <c r="A204">
        <v>1203</v>
      </c>
      <c r="B204" t="s">
        <v>655</v>
      </c>
      <c r="C204" t="s">
        <v>10</v>
      </c>
      <c r="D204" t="s">
        <v>16</v>
      </c>
      <c r="E204">
        <v>23</v>
      </c>
      <c r="F204" t="str" cm="1">
        <f t="array" ref="F204">_xlfn.IFS(EmployeeData[[#This Row],[Age]]&lt;30,"20s",EmployeeData[[#This Row],[Age]]&lt;40,"30s",EmployeeData[[#This Row],[Age]]&lt;50,"40s",EmployeeData[[#This Row],[Age]]&lt;60,"50s",EmployeeData[[#This Row],[Age]]&gt;=60,"60s")</f>
        <v>20s</v>
      </c>
      <c r="G204" s="5">
        <v>43662</v>
      </c>
      <c r="I204" t="s">
        <v>17</v>
      </c>
      <c r="J204" t="s">
        <v>18</v>
      </c>
      <c r="K204" cm="1">
        <f t="array" aca="1" ref="K204" ca="1">_xlfn.IFS(EmployeeData[[#This Row],[Status]]="Active",_xlfn.DAYS(TODAY(),EmployeeData[[#This Row],[Join Date]]),EmployeeData[[#This Row],[Status]]="Exited",_xlfn.DAYS(EmployeeData[[#This Row],[Exit Date]],EmployeeData[[#This Row],[Join Date]]))</f>
        <v>2535</v>
      </c>
      <c r="L204" cm="1">
        <f t="array" aca="1" ref="L204" ca="1">_xlfn.IFS(EmployeeData[[#This Row],[Status]]="Exited",DATEDIF(EmployeeData[[#This Row],[Join Date]], EmployeeData[[#This Row],[Exit Date]], "Y"),EmployeeData[[#This Row],[Status]]="Active",DATEDIF(EmployeeData[[#This Row],[Join Date]], TODAY(), "Y"))</f>
        <v>6</v>
      </c>
      <c r="Q204" t="str" cm="1">
        <f t="array" aca="1" ref="Q2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8 days</v>
      </c>
    </row>
    <row r="205" spans="1:17" hidden="1" x14ac:dyDescent="0.3">
      <c r="A205">
        <v>1204</v>
      </c>
      <c r="B205" t="s">
        <v>255</v>
      </c>
      <c r="C205" t="s">
        <v>10</v>
      </c>
      <c r="D205" t="s">
        <v>24</v>
      </c>
      <c r="E205">
        <v>31</v>
      </c>
      <c r="F205" t="str" cm="1">
        <f t="array" ref="F205">_xlfn.IFS(EmployeeData[[#This Row],[Age]]&lt;30,"20s",EmployeeData[[#This Row],[Age]]&lt;40,"30s",EmployeeData[[#This Row],[Age]]&lt;50,"40s",EmployeeData[[#This Row],[Age]]&lt;60,"50s",EmployeeData[[#This Row],[Age]]&gt;=60,"60s")</f>
        <v>30s</v>
      </c>
      <c r="G205" s="5">
        <v>44710</v>
      </c>
      <c r="I205" t="s">
        <v>17</v>
      </c>
      <c r="J205" t="s">
        <v>18</v>
      </c>
      <c r="K205" cm="1">
        <f t="array" aca="1" ref="K205" ca="1">_xlfn.IFS(EmployeeData[[#This Row],[Status]]="Active",_xlfn.DAYS(TODAY(),EmployeeData[[#This Row],[Join Date]]),EmployeeData[[#This Row],[Status]]="Exited",_xlfn.DAYS(EmployeeData[[#This Row],[Exit Date]],EmployeeData[[#This Row],[Join Date]]))</f>
        <v>1487</v>
      </c>
      <c r="L205" cm="1">
        <f t="array" aca="1" ref="L205" ca="1">_xlfn.IFS(EmployeeData[[#This Row],[Status]]="Exited",DATEDIF(EmployeeData[[#This Row],[Join Date]], EmployeeData[[#This Row],[Exit Date]], "Y"),EmployeeData[[#This Row],[Status]]="Active",DATEDIF(EmployeeData[[#This Row],[Join Date]], TODAY(), "Y"))</f>
        <v>4</v>
      </c>
      <c r="Q205" t="str" cm="1">
        <f t="array" aca="1" ref="Q2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26 days</v>
      </c>
    </row>
    <row r="206" spans="1:17" hidden="1" x14ac:dyDescent="0.3">
      <c r="A206">
        <v>1205</v>
      </c>
      <c r="B206" t="s">
        <v>543</v>
      </c>
      <c r="C206" t="s">
        <v>20</v>
      </c>
      <c r="D206" t="s">
        <v>16</v>
      </c>
      <c r="E206">
        <v>22</v>
      </c>
      <c r="F206" t="str" cm="1">
        <f t="array" ref="F206">_xlfn.IFS(EmployeeData[[#This Row],[Age]]&lt;30,"20s",EmployeeData[[#This Row],[Age]]&lt;40,"30s",EmployeeData[[#This Row],[Age]]&lt;50,"40s",EmployeeData[[#This Row],[Age]]&lt;60,"50s",EmployeeData[[#This Row],[Age]]&gt;=60,"60s")</f>
        <v>20s</v>
      </c>
      <c r="G206" s="5">
        <v>44609</v>
      </c>
      <c r="H206" s="5">
        <v>44923</v>
      </c>
      <c r="I206" t="s">
        <v>21</v>
      </c>
      <c r="J206" t="s">
        <v>13</v>
      </c>
      <c r="K206" cm="1">
        <f t="array" aca="1" ref="K206" ca="1">_xlfn.IFS(EmployeeData[[#This Row],[Status]]="Active",_xlfn.DAYS(TODAY(),EmployeeData[[#This Row],[Join Date]]),EmployeeData[[#This Row],[Status]]="Exited",_xlfn.DAYS(EmployeeData[[#This Row],[Exit Date]],EmployeeData[[#This Row],[Join Date]]))</f>
        <v>314</v>
      </c>
      <c r="L206" cm="1">
        <f t="array" aca="1" ref="L206" ca="1">_xlfn.IFS(EmployeeData[[#This Row],[Status]]="Exited",DATEDIF(EmployeeData[[#This Row],[Join Date]], EmployeeData[[#This Row],[Exit Date]], "Y"),EmployeeData[[#This Row],[Status]]="Active",DATEDIF(EmployeeData[[#This Row],[Join Date]], TODAY(), "Y"))</f>
        <v>0</v>
      </c>
      <c r="Q206" t="str" cm="1">
        <f t="array" aca="1" ref="Q2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207" spans="1:17" hidden="1" x14ac:dyDescent="0.3">
      <c r="A207">
        <v>1206</v>
      </c>
      <c r="B207" t="s">
        <v>883</v>
      </c>
      <c r="C207" t="s">
        <v>23</v>
      </c>
      <c r="D207" t="s">
        <v>24</v>
      </c>
      <c r="E207">
        <v>37</v>
      </c>
      <c r="F207" t="str" cm="1">
        <f t="array" ref="F207">_xlfn.IFS(EmployeeData[[#This Row],[Age]]&lt;30,"20s",EmployeeData[[#This Row],[Age]]&lt;40,"30s",EmployeeData[[#This Row],[Age]]&lt;50,"40s",EmployeeData[[#This Row],[Age]]&lt;60,"50s",EmployeeData[[#This Row],[Age]]&gt;=60,"60s")</f>
        <v>30s</v>
      </c>
      <c r="G207" s="5">
        <v>45786</v>
      </c>
      <c r="I207" t="s">
        <v>17</v>
      </c>
      <c r="J207" t="s">
        <v>18</v>
      </c>
      <c r="K207" cm="1">
        <f t="array" aca="1" ref="K207" ca="1">_xlfn.IFS(EmployeeData[[#This Row],[Status]]="Active",_xlfn.DAYS(TODAY(),EmployeeData[[#This Row],[Join Date]]),EmployeeData[[#This Row],[Status]]="Exited",_xlfn.DAYS(EmployeeData[[#This Row],[Exit Date]],EmployeeData[[#This Row],[Join Date]]))</f>
        <v>411</v>
      </c>
      <c r="L207" cm="1">
        <f t="array" aca="1" ref="L207" ca="1">_xlfn.IFS(EmployeeData[[#This Row],[Status]]="Exited",DATEDIF(EmployeeData[[#This Row],[Join Date]], EmployeeData[[#This Row],[Exit Date]], "Y"),EmployeeData[[#This Row],[Status]]="Active",DATEDIF(EmployeeData[[#This Row],[Join Date]], TODAY(), "Y"))</f>
        <v>1</v>
      </c>
      <c r="Q207" t="str" cm="1">
        <f t="array" aca="1" ref="Q2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208" spans="1:17" hidden="1" x14ac:dyDescent="0.3">
      <c r="A208">
        <v>1207</v>
      </c>
      <c r="B208" t="s">
        <v>636</v>
      </c>
      <c r="C208" t="s">
        <v>23</v>
      </c>
      <c r="D208" t="s">
        <v>16</v>
      </c>
      <c r="E208">
        <v>45</v>
      </c>
      <c r="F208" t="str" cm="1">
        <f t="array" ref="F208">_xlfn.IFS(EmployeeData[[#This Row],[Age]]&lt;30,"20s",EmployeeData[[#This Row],[Age]]&lt;40,"30s",EmployeeData[[#This Row],[Age]]&lt;50,"40s",EmployeeData[[#This Row],[Age]]&lt;60,"50s",EmployeeData[[#This Row],[Age]]&gt;=60,"60s")</f>
        <v>40s</v>
      </c>
      <c r="G208" s="5">
        <v>43706</v>
      </c>
      <c r="I208" t="s">
        <v>17</v>
      </c>
      <c r="J208" t="s">
        <v>18</v>
      </c>
      <c r="K208" cm="1">
        <f t="array" aca="1" ref="K208" ca="1">_xlfn.IFS(EmployeeData[[#This Row],[Status]]="Active",_xlfn.DAYS(TODAY(),EmployeeData[[#This Row],[Join Date]]),EmployeeData[[#This Row],[Status]]="Exited",_xlfn.DAYS(EmployeeData[[#This Row],[Exit Date]],EmployeeData[[#This Row],[Join Date]]))</f>
        <v>2491</v>
      </c>
      <c r="L208" cm="1">
        <f t="array" aca="1" ref="L208" ca="1">_xlfn.IFS(EmployeeData[[#This Row],[Status]]="Exited",DATEDIF(EmployeeData[[#This Row],[Join Date]], EmployeeData[[#This Row],[Exit Date]], "Y"),EmployeeData[[#This Row],[Status]]="Active",DATEDIF(EmployeeData[[#This Row],[Join Date]], TODAY(), "Y"))</f>
        <v>6</v>
      </c>
      <c r="Q208" t="str" cm="1">
        <f t="array" aca="1" ref="Q2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26 days</v>
      </c>
    </row>
    <row r="209" spans="1:17" hidden="1" x14ac:dyDescent="0.3">
      <c r="A209">
        <v>1208</v>
      </c>
      <c r="B209" t="s">
        <v>150</v>
      </c>
      <c r="C209" t="s">
        <v>15</v>
      </c>
      <c r="D209" t="s">
        <v>24</v>
      </c>
      <c r="E209">
        <v>47</v>
      </c>
      <c r="F209" t="str" cm="1">
        <f t="array" ref="F209">_xlfn.IFS(EmployeeData[[#This Row],[Age]]&lt;30,"20s",EmployeeData[[#This Row],[Age]]&lt;40,"30s",EmployeeData[[#This Row],[Age]]&lt;50,"40s",EmployeeData[[#This Row],[Age]]&lt;60,"50s",EmployeeData[[#This Row],[Age]]&gt;=60,"60s")</f>
        <v>40s</v>
      </c>
      <c r="G209" s="5">
        <v>43721</v>
      </c>
      <c r="I209" t="s">
        <v>17</v>
      </c>
      <c r="J209" t="s">
        <v>18</v>
      </c>
      <c r="K209" cm="1">
        <f t="array" aca="1" ref="K209" ca="1">_xlfn.IFS(EmployeeData[[#This Row],[Status]]="Active",_xlfn.DAYS(TODAY(),EmployeeData[[#This Row],[Join Date]]),EmployeeData[[#This Row],[Status]]="Exited",_xlfn.DAYS(EmployeeData[[#This Row],[Exit Date]],EmployeeData[[#This Row],[Join Date]]))</f>
        <v>2476</v>
      </c>
      <c r="L209" cm="1">
        <f t="array" aca="1" ref="L209" ca="1">_xlfn.IFS(EmployeeData[[#This Row],[Status]]="Exited",DATEDIF(EmployeeData[[#This Row],[Join Date]], EmployeeData[[#This Row],[Exit Date]], "Y"),EmployeeData[[#This Row],[Status]]="Active",DATEDIF(EmployeeData[[#This Row],[Join Date]], TODAY(), "Y"))</f>
        <v>6</v>
      </c>
      <c r="Q209" t="str" cm="1">
        <f t="array" aca="1" ref="Q2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11 days</v>
      </c>
    </row>
    <row r="210" spans="1:17" hidden="1" x14ac:dyDescent="0.3">
      <c r="A210">
        <v>1209</v>
      </c>
      <c r="B210" t="s">
        <v>333</v>
      </c>
      <c r="C210" t="s">
        <v>33</v>
      </c>
      <c r="D210" t="s">
        <v>11</v>
      </c>
      <c r="E210">
        <v>24</v>
      </c>
      <c r="F210" t="str" cm="1">
        <f t="array" ref="F210">_xlfn.IFS(EmployeeData[[#This Row],[Age]]&lt;30,"20s",EmployeeData[[#This Row],[Age]]&lt;40,"30s",EmployeeData[[#This Row],[Age]]&lt;50,"40s",EmployeeData[[#This Row],[Age]]&lt;60,"50s",EmployeeData[[#This Row],[Age]]&gt;=60,"60s")</f>
        <v>20s</v>
      </c>
      <c r="G210" s="5">
        <v>45991</v>
      </c>
      <c r="H210" s="5">
        <v>46107</v>
      </c>
      <c r="I210" t="s">
        <v>65</v>
      </c>
      <c r="J210" t="s">
        <v>13</v>
      </c>
      <c r="K210" cm="1">
        <f t="array" aca="1" ref="K210" ca="1">_xlfn.IFS(EmployeeData[[#This Row],[Status]]="Active",_xlfn.DAYS(TODAY(),EmployeeData[[#This Row],[Join Date]]),EmployeeData[[#This Row],[Status]]="Exited",_xlfn.DAYS(EmployeeData[[#This Row],[Exit Date]],EmployeeData[[#This Row],[Join Date]]))</f>
        <v>116</v>
      </c>
      <c r="L210" cm="1">
        <f t="array" aca="1" ref="L210" ca="1">_xlfn.IFS(EmployeeData[[#This Row],[Status]]="Exited",DATEDIF(EmployeeData[[#This Row],[Join Date]], EmployeeData[[#This Row],[Exit Date]], "Y"),EmployeeData[[#This Row],[Status]]="Active",DATEDIF(EmployeeData[[#This Row],[Join Date]], TODAY(), "Y"))</f>
        <v>0</v>
      </c>
      <c r="Q210" t="str" cm="1">
        <f t="array" aca="1" ref="Q2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211" spans="1:17" hidden="1" x14ac:dyDescent="0.3">
      <c r="A211">
        <v>1210</v>
      </c>
      <c r="B211" t="s">
        <v>672</v>
      </c>
      <c r="C211" t="s">
        <v>10</v>
      </c>
      <c r="D211" t="s">
        <v>24</v>
      </c>
      <c r="E211">
        <v>55</v>
      </c>
      <c r="F211" t="str" cm="1">
        <f t="array" ref="F211">_xlfn.IFS(EmployeeData[[#This Row],[Age]]&lt;30,"20s",EmployeeData[[#This Row],[Age]]&lt;40,"30s",EmployeeData[[#This Row],[Age]]&lt;50,"40s",EmployeeData[[#This Row],[Age]]&lt;60,"50s",EmployeeData[[#This Row],[Age]]&gt;=60,"60s")</f>
        <v>50s</v>
      </c>
      <c r="G211" s="5">
        <v>44552</v>
      </c>
      <c r="I211" t="s">
        <v>17</v>
      </c>
      <c r="J211" t="s">
        <v>18</v>
      </c>
      <c r="K211" cm="1">
        <f t="array" aca="1" ref="K211" ca="1">_xlfn.IFS(EmployeeData[[#This Row],[Status]]="Active",_xlfn.DAYS(TODAY(),EmployeeData[[#This Row],[Join Date]]),EmployeeData[[#This Row],[Status]]="Exited",_xlfn.DAYS(EmployeeData[[#This Row],[Exit Date]],EmployeeData[[#This Row],[Join Date]]))</f>
        <v>1645</v>
      </c>
      <c r="L211" cm="1">
        <f t="array" aca="1" ref="L211" ca="1">_xlfn.IFS(EmployeeData[[#This Row],[Status]]="Exited",DATEDIF(EmployeeData[[#This Row],[Join Date]], EmployeeData[[#This Row],[Exit Date]], "Y"),EmployeeData[[#This Row],[Status]]="Active",DATEDIF(EmployeeData[[#This Row],[Join Date]], TODAY(), "Y"))</f>
        <v>4</v>
      </c>
      <c r="Q211" t="str" cm="1">
        <f t="array" aca="1" ref="Q2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212" spans="1:17" hidden="1" x14ac:dyDescent="0.3">
      <c r="A212">
        <v>1211</v>
      </c>
      <c r="B212" t="s">
        <v>648</v>
      </c>
      <c r="C212" t="s">
        <v>10</v>
      </c>
      <c r="D212" t="s">
        <v>16</v>
      </c>
      <c r="E212">
        <v>40</v>
      </c>
      <c r="F212" t="str" cm="1">
        <f t="array" ref="F212">_xlfn.IFS(EmployeeData[[#This Row],[Age]]&lt;30,"20s",EmployeeData[[#This Row],[Age]]&lt;40,"30s",EmployeeData[[#This Row],[Age]]&lt;50,"40s",EmployeeData[[#This Row],[Age]]&lt;60,"50s",EmployeeData[[#This Row],[Age]]&gt;=60,"60s")</f>
        <v>40s</v>
      </c>
      <c r="G212" s="5">
        <v>44284</v>
      </c>
      <c r="I212" t="s">
        <v>17</v>
      </c>
      <c r="J212" t="s">
        <v>18</v>
      </c>
      <c r="K212" cm="1">
        <f t="array" aca="1" ref="K212" ca="1">_xlfn.IFS(EmployeeData[[#This Row],[Status]]="Active",_xlfn.DAYS(TODAY(),EmployeeData[[#This Row],[Join Date]]),EmployeeData[[#This Row],[Status]]="Exited",_xlfn.DAYS(EmployeeData[[#This Row],[Exit Date]],EmployeeData[[#This Row],[Join Date]]))</f>
        <v>1913</v>
      </c>
      <c r="L212" cm="1">
        <f t="array" aca="1" ref="L212" ca="1">_xlfn.IFS(EmployeeData[[#This Row],[Status]]="Exited",DATEDIF(EmployeeData[[#This Row],[Join Date]], EmployeeData[[#This Row],[Exit Date]], "Y"),EmployeeData[[#This Row],[Status]]="Active",DATEDIF(EmployeeData[[#This Row],[Join Date]], TODAY(), "Y"))</f>
        <v>5</v>
      </c>
      <c r="Q212" t="str" cm="1">
        <f t="array" aca="1" ref="Q2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26 days</v>
      </c>
    </row>
    <row r="213" spans="1:17" hidden="1" x14ac:dyDescent="0.3">
      <c r="A213">
        <v>1212</v>
      </c>
      <c r="B213" t="s">
        <v>411</v>
      </c>
      <c r="C213" t="s">
        <v>10</v>
      </c>
      <c r="D213" t="s">
        <v>24</v>
      </c>
      <c r="E213">
        <v>55</v>
      </c>
      <c r="F213" t="str" cm="1">
        <f t="array" ref="F213">_xlfn.IFS(EmployeeData[[#This Row],[Age]]&lt;30,"20s",EmployeeData[[#This Row],[Age]]&lt;40,"30s",EmployeeData[[#This Row],[Age]]&lt;50,"40s",EmployeeData[[#This Row],[Age]]&lt;60,"50s",EmployeeData[[#This Row],[Age]]&gt;=60,"60s")</f>
        <v>50s</v>
      </c>
      <c r="G213" s="5">
        <v>44656</v>
      </c>
      <c r="I213" t="s">
        <v>17</v>
      </c>
      <c r="J213" t="s">
        <v>18</v>
      </c>
      <c r="K213" cm="1">
        <f t="array" aca="1" ref="K213" ca="1">_xlfn.IFS(EmployeeData[[#This Row],[Status]]="Active",_xlfn.DAYS(TODAY(),EmployeeData[[#This Row],[Join Date]]),EmployeeData[[#This Row],[Status]]="Exited",_xlfn.DAYS(EmployeeData[[#This Row],[Exit Date]],EmployeeData[[#This Row],[Join Date]]))</f>
        <v>1541</v>
      </c>
      <c r="L213" cm="1">
        <f t="array" aca="1" ref="L213" ca="1">_xlfn.IFS(EmployeeData[[#This Row],[Status]]="Exited",DATEDIF(EmployeeData[[#This Row],[Join Date]], EmployeeData[[#This Row],[Exit Date]], "Y"),EmployeeData[[#This Row],[Status]]="Active",DATEDIF(EmployeeData[[#This Row],[Join Date]], TODAY(), "Y"))</f>
        <v>4</v>
      </c>
      <c r="Q213" t="str" cm="1">
        <f t="array" aca="1" ref="Q2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19 days</v>
      </c>
    </row>
    <row r="214" spans="1:17" x14ac:dyDescent="0.3">
      <c r="A214">
        <v>1213</v>
      </c>
      <c r="B214" t="s">
        <v>817</v>
      </c>
      <c r="C214" t="s">
        <v>33</v>
      </c>
      <c r="D214" t="s">
        <v>16</v>
      </c>
      <c r="E214">
        <v>39</v>
      </c>
      <c r="F214" t="str" cm="1">
        <f t="array" ref="F214">_xlfn.IFS(EmployeeData[[#This Row],[Age]]&lt;30,"20s",EmployeeData[[#This Row],[Age]]&lt;40,"30s",EmployeeData[[#This Row],[Age]]&lt;50,"40s",EmployeeData[[#This Row],[Age]]&lt;60,"50s",EmployeeData[[#This Row],[Age]]&gt;=60,"60s")</f>
        <v>30s</v>
      </c>
      <c r="G214" s="5">
        <v>43424</v>
      </c>
      <c r="H214" s="5">
        <v>45325</v>
      </c>
      <c r="I214" t="s">
        <v>28</v>
      </c>
      <c r="J214" t="s">
        <v>13</v>
      </c>
      <c r="K214" cm="1">
        <f t="array" aca="1" ref="K214" ca="1">_xlfn.IFS(EmployeeData[[#This Row],[Status]]="Active",_xlfn.DAYS(TODAY(),EmployeeData[[#This Row],[Join Date]]),EmployeeData[[#This Row],[Status]]="Exited",_xlfn.DAYS(EmployeeData[[#This Row],[Exit Date]],EmployeeData[[#This Row],[Join Date]]))</f>
        <v>1901</v>
      </c>
      <c r="L214" cm="1">
        <f t="array" aca="1" ref="L214" ca="1">_xlfn.IFS(EmployeeData[[#This Row],[Status]]="Exited",DATEDIF(EmployeeData[[#This Row],[Join Date]], EmployeeData[[#This Row],[Exit Date]], "Y"),EmployeeData[[#This Row],[Status]]="Active",DATEDIF(EmployeeData[[#This Row],[Join Date]], TODAY(), "Y"))</f>
        <v>5</v>
      </c>
      <c r="Q214" t="str" cm="1">
        <f t="array" aca="1" ref="Q2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215" spans="1:17" hidden="1" x14ac:dyDescent="0.3">
      <c r="A215">
        <v>1214</v>
      </c>
      <c r="B215" t="s">
        <v>56</v>
      </c>
      <c r="C215" t="s">
        <v>46</v>
      </c>
      <c r="D215" t="s">
        <v>11</v>
      </c>
      <c r="E215">
        <v>29</v>
      </c>
      <c r="F215" t="str" cm="1">
        <f t="array" ref="F215">_xlfn.IFS(EmployeeData[[#This Row],[Age]]&lt;30,"20s",EmployeeData[[#This Row],[Age]]&lt;40,"30s",EmployeeData[[#This Row],[Age]]&lt;50,"40s",EmployeeData[[#This Row],[Age]]&lt;60,"50s",EmployeeData[[#This Row],[Age]]&gt;=60,"60s")</f>
        <v>20s</v>
      </c>
      <c r="G215" s="5">
        <v>43548</v>
      </c>
      <c r="I215" t="s">
        <v>17</v>
      </c>
      <c r="J215" t="s">
        <v>18</v>
      </c>
      <c r="K215" cm="1">
        <f t="array" aca="1" ref="K215" ca="1">_xlfn.IFS(EmployeeData[[#This Row],[Status]]="Active",_xlfn.DAYS(TODAY(),EmployeeData[[#This Row],[Join Date]]),EmployeeData[[#This Row],[Status]]="Exited",_xlfn.DAYS(EmployeeData[[#This Row],[Exit Date]],EmployeeData[[#This Row],[Join Date]]))</f>
        <v>2649</v>
      </c>
      <c r="L215" cm="1">
        <f t="array" aca="1" ref="L215" ca="1">_xlfn.IFS(EmployeeData[[#This Row],[Status]]="Exited",DATEDIF(EmployeeData[[#This Row],[Join Date]], EmployeeData[[#This Row],[Exit Date]], "Y"),EmployeeData[[#This Row],[Status]]="Active",DATEDIF(EmployeeData[[#This Row],[Join Date]], TODAY(), "Y"))</f>
        <v>7</v>
      </c>
      <c r="Q215" t="str" cm="1">
        <f t="array" aca="1" ref="Q2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216" spans="1:17" hidden="1" x14ac:dyDescent="0.3">
      <c r="A216">
        <v>1215</v>
      </c>
      <c r="B216" t="s">
        <v>133</v>
      </c>
      <c r="C216" t="s">
        <v>23</v>
      </c>
      <c r="D216" t="s">
        <v>16</v>
      </c>
      <c r="E216">
        <v>47</v>
      </c>
      <c r="F216" t="str" cm="1">
        <f t="array" ref="F216">_xlfn.IFS(EmployeeData[[#This Row],[Age]]&lt;30,"20s",EmployeeData[[#This Row],[Age]]&lt;40,"30s",EmployeeData[[#This Row],[Age]]&lt;50,"40s",EmployeeData[[#This Row],[Age]]&lt;60,"50s",EmployeeData[[#This Row],[Age]]&gt;=60,"60s")</f>
        <v>40s</v>
      </c>
      <c r="G216" s="5">
        <v>44453</v>
      </c>
      <c r="I216" t="s">
        <v>17</v>
      </c>
      <c r="J216" t="s">
        <v>18</v>
      </c>
      <c r="K216" cm="1">
        <f t="array" aca="1" ref="K216" ca="1">_xlfn.IFS(EmployeeData[[#This Row],[Status]]="Active",_xlfn.DAYS(TODAY(),EmployeeData[[#This Row],[Join Date]]),EmployeeData[[#This Row],[Status]]="Exited",_xlfn.DAYS(EmployeeData[[#This Row],[Exit Date]],EmployeeData[[#This Row],[Join Date]]))</f>
        <v>1744</v>
      </c>
      <c r="L216" cm="1">
        <f t="array" aca="1" ref="L216" ca="1">_xlfn.IFS(EmployeeData[[#This Row],[Status]]="Exited",DATEDIF(EmployeeData[[#This Row],[Join Date]], EmployeeData[[#This Row],[Exit Date]], "Y"),EmployeeData[[#This Row],[Status]]="Active",DATEDIF(EmployeeData[[#This Row],[Join Date]], TODAY(), "Y"))</f>
        <v>4</v>
      </c>
      <c r="Q216" t="str" cm="1">
        <f t="array" aca="1" ref="Q2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10 days</v>
      </c>
    </row>
    <row r="217" spans="1:17" hidden="1" x14ac:dyDescent="0.3">
      <c r="A217">
        <v>1216</v>
      </c>
      <c r="B217" t="s">
        <v>228</v>
      </c>
      <c r="C217" t="s">
        <v>15</v>
      </c>
      <c r="D217" t="s">
        <v>24</v>
      </c>
      <c r="E217">
        <v>31</v>
      </c>
      <c r="F217" t="str" cm="1">
        <f t="array" ref="F217">_xlfn.IFS(EmployeeData[[#This Row],[Age]]&lt;30,"20s",EmployeeData[[#This Row],[Age]]&lt;40,"30s",EmployeeData[[#This Row],[Age]]&lt;50,"40s",EmployeeData[[#This Row],[Age]]&lt;60,"50s",EmployeeData[[#This Row],[Age]]&gt;=60,"60s")</f>
        <v>30s</v>
      </c>
      <c r="G217" s="5">
        <v>44767</v>
      </c>
      <c r="I217" t="s">
        <v>17</v>
      </c>
      <c r="J217" t="s">
        <v>18</v>
      </c>
      <c r="K217" cm="1">
        <f t="array" aca="1" ref="K217" ca="1">_xlfn.IFS(EmployeeData[[#This Row],[Status]]="Active",_xlfn.DAYS(TODAY(),EmployeeData[[#This Row],[Join Date]]),EmployeeData[[#This Row],[Status]]="Exited",_xlfn.DAYS(EmployeeData[[#This Row],[Exit Date]],EmployeeData[[#This Row],[Join Date]]))</f>
        <v>1430</v>
      </c>
      <c r="L217" cm="1">
        <f t="array" aca="1" ref="L217" ca="1">_xlfn.IFS(EmployeeData[[#This Row],[Status]]="Exited",DATEDIF(EmployeeData[[#This Row],[Join Date]], EmployeeData[[#This Row],[Exit Date]], "Y"),EmployeeData[[#This Row],[Status]]="Active",DATEDIF(EmployeeData[[#This Row],[Join Date]], TODAY(), "Y"))</f>
        <v>3</v>
      </c>
      <c r="Q217" t="str" cm="1">
        <f t="array" aca="1" ref="Q2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30 days</v>
      </c>
    </row>
    <row r="218" spans="1:17" hidden="1" x14ac:dyDescent="0.3">
      <c r="A218">
        <v>1217</v>
      </c>
      <c r="B218" t="s">
        <v>502</v>
      </c>
      <c r="C218" t="s">
        <v>20</v>
      </c>
      <c r="D218" t="s">
        <v>16</v>
      </c>
      <c r="E218">
        <v>39</v>
      </c>
      <c r="F218" t="str" cm="1">
        <f t="array" ref="F218">_xlfn.IFS(EmployeeData[[#This Row],[Age]]&lt;30,"20s",EmployeeData[[#This Row],[Age]]&lt;40,"30s",EmployeeData[[#This Row],[Age]]&lt;50,"40s",EmployeeData[[#This Row],[Age]]&lt;60,"50s",EmployeeData[[#This Row],[Age]]&gt;=60,"60s")</f>
        <v>30s</v>
      </c>
      <c r="G218" s="5">
        <v>45746</v>
      </c>
      <c r="H218" s="5">
        <v>45881</v>
      </c>
      <c r="I218" t="s">
        <v>28</v>
      </c>
      <c r="J218" t="s">
        <v>13</v>
      </c>
      <c r="K218" cm="1">
        <f t="array" aca="1" ref="K218" ca="1">_xlfn.IFS(EmployeeData[[#This Row],[Status]]="Active",_xlfn.DAYS(TODAY(),EmployeeData[[#This Row],[Join Date]]),EmployeeData[[#This Row],[Status]]="Exited",_xlfn.DAYS(EmployeeData[[#This Row],[Exit Date]],EmployeeData[[#This Row],[Join Date]]))</f>
        <v>135</v>
      </c>
      <c r="L218" cm="1">
        <f t="array" aca="1" ref="L218" ca="1">_xlfn.IFS(EmployeeData[[#This Row],[Status]]="Exited",DATEDIF(EmployeeData[[#This Row],[Join Date]], EmployeeData[[#This Row],[Exit Date]], "Y"),EmployeeData[[#This Row],[Status]]="Active",DATEDIF(EmployeeData[[#This Row],[Join Date]], TODAY(), "Y"))</f>
        <v>0</v>
      </c>
      <c r="Q218" t="str" cm="1">
        <f t="array" aca="1" ref="Q2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13 days</v>
      </c>
    </row>
    <row r="219" spans="1:17" hidden="1" x14ac:dyDescent="0.3">
      <c r="A219">
        <v>1218</v>
      </c>
      <c r="B219" t="s">
        <v>42</v>
      </c>
      <c r="C219" t="s">
        <v>33</v>
      </c>
      <c r="D219" t="s">
        <v>16</v>
      </c>
      <c r="E219">
        <v>32</v>
      </c>
      <c r="F219" t="str" cm="1">
        <f t="array" ref="F219">_xlfn.IFS(EmployeeData[[#This Row],[Age]]&lt;30,"20s",EmployeeData[[#This Row],[Age]]&lt;40,"30s",EmployeeData[[#This Row],[Age]]&lt;50,"40s",EmployeeData[[#This Row],[Age]]&lt;60,"50s",EmployeeData[[#This Row],[Age]]&gt;=60,"60s")</f>
        <v>30s</v>
      </c>
      <c r="G219" s="5">
        <v>44812</v>
      </c>
      <c r="I219" t="s">
        <v>17</v>
      </c>
      <c r="J219" t="s">
        <v>18</v>
      </c>
      <c r="K219" cm="1">
        <f t="array" aca="1" ref="K219" ca="1">_xlfn.IFS(EmployeeData[[#This Row],[Status]]="Active",_xlfn.DAYS(TODAY(),EmployeeData[[#This Row],[Join Date]]),EmployeeData[[#This Row],[Status]]="Exited",_xlfn.DAYS(EmployeeData[[#This Row],[Exit Date]],EmployeeData[[#This Row],[Join Date]]))</f>
        <v>1385</v>
      </c>
      <c r="L219" cm="1">
        <f t="array" aca="1" ref="L219" ca="1">_xlfn.IFS(EmployeeData[[#This Row],[Status]]="Exited",DATEDIF(EmployeeData[[#This Row],[Join Date]], EmployeeData[[#This Row],[Exit Date]], "Y"),EmployeeData[[#This Row],[Status]]="Active",DATEDIF(EmployeeData[[#This Row],[Join Date]], TODAY(), "Y"))</f>
        <v>3</v>
      </c>
      <c r="Q219" t="str" cm="1">
        <f t="array" aca="1" ref="Q2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16 days</v>
      </c>
    </row>
    <row r="220" spans="1:17" x14ac:dyDescent="0.3">
      <c r="A220">
        <v>1219</v>
      </c>
      <c r="B220" t="s">
        <v>261</v>
      </c>
      <c r="C220" t="s">
        <v>10</v>
      </c>
      <c r="D220" t="s">
        <v>24</v>
      </c>
      <c r="E220">
        <v>39</v>
      </c>
      <c r="F220" t="str" cm="1">
        <f t="array" ref="F220">_xlfn.IFS(EmployeeData[[#This Row],[Age]]&lt;30,"20s",EmployeeData[[#This Row],[Age]]&lt;40,"30s",EmployeeData[[#This Row],[Age]]&lt;50,"40s",EmployeeData[[#This Row],[Age]]&lt;60,"50s",EmployeeData[[#This Row],[Age]]&gt;=60,"60s")</f>
        <v>30s</v>
      </c>
      <c r="G220" s="5">
        <v>43254</v>
      </c>
      <c r="H220" s="5">
        <v>43783</v>
      </c>
      <c r="I220" t="s">
        <v>21</v>
      </c>
      <c r="J220" t="s">
        <v>13</v>
      </c>
      <c r="K220" cm="1">
        <f t="array" aca="1" ref="K220" ca="1">_xlfn.IFS(EmployeeData[[#This Row],[Status]]="Active",_xlfn.DAYS(TODAY(),EmployeeData[[#This Row],[Join Date]]),EmployeeData[[#This Row],[Status]]="Exited",_xlfn.DAYS(EmployeeData[[#This Row],[Exit Date]],EmployeeData[[#This Row],[Join Date]]))</f>
        <v>529</v>
      </c>
      <c r="L220" cm="1">
        <f t="array" aca="1" ref="L220" ca="1">_xlfn.IFS(EmployeeData[[#This Row],[Status]]="Exited",DATEDIF(EmployeeData[[#This Row],[Join Date]], EmployeeData[[#This Row],[Exit Date]], "Y"),EmployeeData[[#This Row],[Status]]="Active",DATEDIF(EmployeeData[[#This Row],[Join Date]], TODAY(), "Y"))</f>
        <v>1</v>
      </c>
      <c r="Q220" t="str" cm="1">
        <f t="array" aca="1" ref="Q2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221" spans="1:17" hidden="1" x14ac:dyDescent="0.3">
      <c r="A221">
        <v>1220</v>
      </c>
      <c r="B221" t="s">
        <v>168</v>
      </c>
      <c r="C221" t="s">
        <v>33</v>
      </c>
      <c r="D221" t="s">
        <v>16</v>
      </c>
      <c r="E221">
        <v>64</v>
      </c>
      <c r="F221" t="str" cm="1">
        <f t="array" ref="F221">_xlfn.IFS(EmployeeData[[#This Row],[Age]]&lt;30,"20s",EmployeeData[[#This Row],[Age]]&lt;40,"30s",EmployeeData[[#This Row],[Age]]&lt;50,"40s",EmployeeData[[#This Row],[Age]]&lt;60,"50s",EmployeeData[[#This Row],[Age]]&gt;=60,"60s")</f>
        <v>60s</v>
      </c>
      <c r="G221" s="5">
        <v>45018</v>
      </c>
      <c r="H221" s="5">
        <v>45338</v>
      </c>
      <c r="I221" t="s">
        <v>26</v>
      </c>
      <c r="J221" t="s">
        <v>13</v>
      </c>
      <c r="K221" cm="1">
        <f t="array" aca="1" ref="K221" ca="1">_xlfn.IFS(EmployeeData[[#This Row],[Status]]="Active",_xlfn.DAYS(TODAY(),EmployeeData[[#This Row],[Join Date]]),EmployeeData[[#This Row],[Status]]="Exited",_xlfn.DAYS(EmployeeData[[#This Row],[Exit Date]],EmployeeData[[#This Row],[Join Date]]))</f>
        <v>320</v>
      </c>
      <c r="L221" cm="1">
        <f t="array" aca="1" ref="L221" ca="1">_xlfn.IFS(EmployeeData[[#This Row],[Status]]="Exited",DATEDIF(EmployeeData[[#This Row],[Join Date]], EmployeeData[[#This Row],[Exit Date]], "Y"),EmployeeData[[#This Row],[Status]]="Active",DATEDIF(EmployeeData[[#This Row],[Join Date]], TODAY(), "Y"))</f>
        <v>0</v>
      </c>
      <c r="Q221" t="str" cm="1">
        <f t="array" aca="1" ref="Q2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222" spans="1:17" hidden="1" x14ac:dyDescent="0.3">
      <c r="A222">
        <v>1221</v>
      </c>
      <c r="B222" t="s">
        <v>219</v>
      </c>
      <c r="C222" t="s">
        <v>33</v>
      </c>
      <c r="D222" t="s">
        <v>24</v>
      </c>
      <c r="E222">
        <v>32</v>
      </c>
      <c r="F222" t="str" cm="1">
        <f t="array" ref="F222">_xlfn.IFS(EmployeeData[[#This Row],[Age]]&lt;30,"20s",EmployeeData[[#This Row],[Age]]&lt;40,"30s",EmployeeData[[#This Row],[Age]]&lt;50,"40s",EmployeeData[[#This Row],[Age]]&lt;60,"50s",EmployeeData[[#This Row],[Age]]&gt;=60,"60s")</f>
        <v>30s</v>
      </c>
      <c r="G222" s="5">
        <v>43819</v>
      </c>
      <c r="I222" t="s">
        <v>17</v>
      </c>
      <c r="J222" t="s">
        <v>18</v>
      </c>
      <c r="K222" cm="1">
        <f t="array" aca="1" ref="K222" ca="1">_xlfn.IFS(EmployeeData[[#This Row],[Status]]="Active",_xlfn.DAYS(TODAY(),EmployeeData[[#This Row],[Join Date]]),EmployeeData[[#This Row],[Status]]="Exited",_xlfn.DAYS(EmployeeData[[#This Row],[Exit Date]],EmployeeData[[#This Row],[Join Date]]))</f>
        <v>2378</v>
      </c>
      <c r="L222" cm="1">
        <f t="array" aca="1" ref="L222" ca="1">_xlfn.IFS(EmployeeData[[#This Row],[Status]]="Exited",DATEDIF(EmployeeData[[#This Row],[Join Date]], EmployeeData[[#This Row],[Exit Date]], "Y"),EmployeeData[[#This Row],[Status]]="Active",DATEDIF(EmployeeData[[#This Row],[Join Date]], TODAY(), "Y"))</f>
        <v>6</v>
      </c>
      <c r="Q222" t="str" cm="1">
        <f t="array" aca="1" ref="Q2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4 days</v>
      </c>
    </row>
    <row r="223" spans="1:17" hidden="1" x14ac:dyDescent="0.3">
      <c r="A223">
        <v>1222</v>
      </c>
      <c r="B223" t="s">
        <v>629</v>
      </c>
      <c r="C223" t="s">
        <v>10</v>
      </c>
      <c r="D223" t="s">
        <v>16</v>
      </c>
      <c r="E223">
        <v>29</v>
      </c>
      <c r="F223" t="str" cm="1">
        <f t="array" ref="F223">_xlfn.IFS(EmployeeData[[#This Row],[Age]]&lt;30,"20s",EmployeeData[[#This Row],[Age]]&lt;40,"30s",EmployeeData[[#This Row],[Age]]&lt;50,"40s",EmployeeData[[#This Row],[Age]]&lt;60,"50s",EmployeeData[[#This Row],[Age]]&gt;=60,"60s")</f>
        <v>20s</v>
      </c>
      <c r="G223" s="5">
        <v>45056</v>
      </c>
      <c r="H223" s="5">
        <v>45654</v>
      </c>
      <c r="I223" t="s">
        <v>31</v>
      </c>
      <c r="J223" t="s">
        <v>13</v>
      </c>
      <c r="K223" cm="1">
        <f t="array" aca="1" ref="K223" ca="1">_xlfn.IFS(EmployeeData[[#This Row],[Status]]="Active",_xlfn.DAYS(TODAY(),EmployeeData[[#This Row],[Join Date]]),EmployeeData[[#This Row],[Status]]="Exited",_xlfn.DAYS(EmployeeData[[#This Row],[Exit Date]],EmployeeData[[#This Row],[Join Date]]))</f>
        <v>598</v>
      </c>
      <c r="L223" cm="1">
        <f t="array" aca="1" ref="L223" ca="1">_xlfn.IFS(EmployeeData[[#This Row],[Status]]="Exited",DATEDIF(EmployeeData[[#This Row],[Join Date]], EmployeeData[[#This Row],[Exit Date]], "Y"),EmployeeData[[#This Row],[Status]]="Active",DATEDIF(EmployeeData[[#This Row],[Join Date]], TODAY(), "Y"))</f>
        <v>1</v>
      </c>
      <c r="Q223" t="str" cm="1">
        <f t="array" aca="1" ref="Q2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224" spans="1:17" x14ac:dyDescent="0.3">
      <c r="A224">
        <v>1223</v>
      </c>
      <c r="B224" t="s">
        <v>324</v>
      </c>
      <c r="C224" t="s">
        <v>46</v>
      </c>
      <c r="D224" t="s">
        <v>16</v>
      </c>
      <c r="E224">
        <v>57</v>
      </c>
      <c r="F224" t="str" cm="1">
        <f t="array" ref="F224">_xlfn.IFS(EmployeeData[[#This Row],[Age]]&lt;30,"20s",EmployeeData[[#This Row],[Age]]&lt;40,"30s",EmployeeData[[#This Row],[Age]]&lt;50,"40s",EmployeeData[[#This Row],[Age]]&lt;60,"50s",EmployeeData[[#This Row],[Age]]&gt;=60,"60s")</f>
        <v>50s</v>
      </c>
      <c r="G224" s="5">
        <v>43147</v>
      </c>
      <c r="H224" s="5">
        <v>44709</v>
      </c>
      <c r="I224" t="s">
        <v>34</v>
      </c>
      <c r="J224" t="s">
        <v>13</v>
      </c>
      <c r="K224" cm="1">
        <f t="array" aca="1" ref="K224" ca="1">_xlfn.IFS(EmployeeData[[#This Row],[Status]]="Active",_xlfn.DAYS(TODAY(),EmployeeData[[#This Row],[Join Date]]),EmployeeData[[#This Row],[Status]]="Exited",_xlfn.DAYS(EmployeeData[[#This Row],[Exit Date]],EmployeeData[[#This Row],[Join Date]]))</f>
        <v>1562</v>
      </c>
      <c r="L224" cm="1">
        <f t="array" aca="1" ref="L224" ca="1">_xlfn.IFS(EmployeeData[[#This Row],[Status]]="Exited",DATEDIF(EmployeeData[[#This Row],[Join Date]], EmployeeData[[#This Row],[Exit Date]], "Y"),EmployeeData[[#This Row],[Status]]="Active",DATEDIF(EmployeeData[[#This Row],[Join Date]], TODAY(), "Y"))</f>
        <v>4</v>
      </c>
      <c r="Q224" t="str" cm="1">
        <f t="array" aca="1" ref="Q2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225" spans="1:17" hidden="1" x14ac:dyDescent="0.3">
      <c r="A225">
        <v>1224</v>
      </c>
      <c r="B225" t="s">
        <v>138</v>
      </c>
      <c r="C225" t="s">
        <v>15</v>
      </c>
      <c r="D225" t="s">
        <v>11</v>
      </c>
      <c r="E225">
        <v>40</v>
      </c>
      <c r="F225" t="str" cm="1">
        <f t="array" ref="F225">_xlfn.IFS(EmployeeData[[#This Row],[Age]]&lt;30,"20s",EmployeeData[[#This Row],[Age]]&lt;40,"30s",EmployeeData[[#This Row],[Age]]&lt;50,"40s",EmployeeData[[#This Row],[Age]]&lt;60,"50s",EmployeeData[[#This Row],[Age]]&gt;=60,"60s")</f>
        <v>40s</v>
      </c>
      <c r="G225" s="5">
        <v>45928</v>
      </c>
      <c r="H225" s="5">
        <v>46093</v>
      </c>
      <c r="I225" t="s">
        <v>12</v>
      </c>
      <c r="J225" t="s">
        <v>13</v>
      </c>
      <c r="K225" cm="1">
        <f t="array" aca="1" ref="K225" ca="1">_xlfn.IFS(EmployeeData[[#This Row],[Status]]="Active",_xlfn.DAYS(TODAY(),EmployeeData[[#This Row],[Join Date]]),EmployeeData[[#This Row],[Status]]="Exited",_xlfn.DAYS(EmployeeData[[#This Row],[Exit Date]],EmployeeData[[#This Row],[Join Date]]))</f>
        <v>165</v>
      </c>
      <c r="L225" cm="1">
        <f t="array" aca="1" ref="L225" ca="1">_xlfn.IFS(EmployeeData[[#This Row],[Status]]="Exited",DATEDIF(EmployeeData[[#This Row],[Join Date]], EmployeeData[[#This Row],[Exit Date]], "Y"),EmployeeData[[#This Row],[Status]]="Active",DATEDIF(EmployeeData[[#This Row],[Join Date]], TODAY(), "Y"))</f>
        <v>0</v>
      </c>
      <c r="Q225" t="str" cm="1">
        <f t="array" aca="1" ref="Q2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226" spans="1:17" hidden="1" x14ac:dyDescent="0.3">
      <c r="A226">
        <v>1225</v>
      </c>
      <c r="B226" t="s">
        <v>132</v>
      </c>
      <c r="C226" t="s">
        <v>23</v>
      </c>
      <c r="D226" t="s">
        <v>24</v>
      </c>
      <c r="E226">
        <v>44</v>
      </c>
      <c r="F226" t="str" cm="1">
        <f t="array" ref="F226">_xlfn.IFS(EmployeeData[[#This Row],[Age]]&lt;30,"20s",EmployeeData[[#This Row],[Age]]&lt;40,"30s",EmployeeData[[#This Row],[Age]]&lt;50,"40s",EmployeeData[[#This Row],[Age]]&lt;60,"50s",EmployeeData[[#This Row],[Age]]&gt;=60,"60s")</f>
        <v>40s</v>
      </c>
      <c r="G226" s="5">
        <v>44804</v>
      </c>
      <c r="I226" t="s">
        <v>17</v>
      </c>
      <c r="J226" t="s">
        <v>18</v>
      </c>
      <c r="K226" cm="1">
        <f t="array" aca="1" ref="K226" ca="1">_xlfn.IFS(EmployeeData[[#This Row],[Status]]="Active",_xlfn.DAYS(TODAY(),EmployeeData[[#This Row],[Join Date]]),EmployeeData[[#This Row],[Status]]="Exited",_xlfn.DAYS(EmployeeData[[#This Row],[Exit Date]],EmployeeData[[#This Row],[Join Date]]))</f>
        <v>1393</v>
      </c>
      <c r="L226" cm="1">
        <f t="array" aca="1" ref="L226" ca="1">_xlfn.IFS(EmployeeData[[#This Row],[Status]]="Exited",DATEDIF(EmployeeData[[#This Row],[Join Date]], EmployeeData[[#This Row],[Exit Date]], "Y"),EmployeeData[[#This Row],[Status]]="Active",DATEDIF(EmployeeData[[#This Row],[Join Date]], TODAY(), "Y"))</f>
        <v>3</v>
      </c>
      <c r="Q226" t="str" cm="1">
        <f t="array" aca="1" ref="Q2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24 days</v>
      </c>
    </row>
    <row r="227" spans="1:17" hidden="1" x14ac:dyDescent="0.3">
      <c r="A227">
        <v>1226</v>
      </c>
      <c r="B227" t="s">
        <v>37</v>
      </c>
      <c r="C227" t="s">
        <v>33</v>
      </c>
      <c r="D227" t="s">
        <v>11</v>
      </c>
      <c r="E227">
        <v>26</v>
      </c>
      <c r="F227" t="str" cm="1">
        <f t="array" ref="F227">_xlfn.IFS(EmployeeData[[#This Row],[Age]]&lt;30,"20s",EmployeeData[[#This Row],[Age]]&lt;40,"30s",EmployeeData[[#This Row],[Age]]&lt;50,"40s",EmployeeData[[#This Row],[Age]]&lt;60,"50s",EmployeeData[[#This Row],[Age]]&gt;=60,"60s")</f>
        <v>20s</v>
      </c>
      <c r="G227" s="5">
        <v>45253</v>
      </c>
      <c r="I227" t="s">
        <v>17</v>
      </c>
      <c r="J227" t="s">
        <v>18</v>
      </c>
      <c r="K227" cm="1">
        <f t="array" aca="1" ref="K227" ca="1">_xlfn.IFS(EmployeeData[[#This Row],[Status]]="Active",_xlfn.DAYS(TODAY(),EmployeeData[[#This Row],[Join Date]]),EmployeeData[[#This Row],[Status]]="Exited",_xlfn.DAYS(EmployeeData[[#This Row],[Exit Date]],EmployeeData[[#This Row],[Join Date]]))</f>
        <v>944</v>
      </c>
      <c r="L227" cm="1">
        <f t="array" aca="1" ref="L227" ca="1">_xlfn.IFS(EmployeeData[[#This Row],[Status]]="Exited",DATEDIF(EmployeeData[[#This Row],[Join Date]], EmployeeData[[#This Row],[Exit Date]], "Y"),EmployeeData[[#This Row],[Status]]="Active",DATEDIF(EmployeeData[[#This Row],[Join Date]], TODAY(), "Y"))</f>
        <v>2</v>
      </c>
      <c r="Q227" t="str" cm="1">
        <f t="array" aca="1" ref="Q2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 days</v>
      </c>
    </row>
    <row r="228" spans="1:17" hidden="1" x14ac:dyDescent="0.3">
      <c r="A228">
        <v>1227</v>
      </c>
      <c r="B228" t="s">
        <v>612</v>
      </c>
      <c r="C228" t="s">
        <v>15</v>
      </c>
      <c r="D228" t="s">
        <v>11</v>
      </c>
      <c r="E228">
        <v>53</v>
      </c>
      <c r="F228" t="str" cm="1">
        <f t="array" ref="F228">_xlfn.IFS(EmployeeData[[#This Row],[Age]]&lt;30,"20s",EmployeeData[[#This Row],[Age]]&lt;40,"30s",EmployeeData[[#This Row],[Age]]&lt;50,"40s",EmployeeData[[#This Row],[Age]]&lt;60,"50s",EmployeeData[[#This Row],[Age]]&gt;=60,"60s")</f>
        <v>50s</v>
      </c>
      <c r="G228" s="5">
        <v>43929</v>
      </c>
      <c r="I228" t="s">
        <v>17</v>
      </c>
      <c r="J228" t="s">
        <v>18</v>
      </c>
      <c r="K228" cm="1">
        <f t="array" aca="1" ref="K228" ca="1">_xlfn.IFS(EmployeeData[[#This Row],[Status]]="Active",_xlfn.DAYS(TODAY(),EmployeeData[[#This Row],[Join Date]]),EmployeeData[[#This Row],[Status]]="Exited",_xlfn.DAYS(EmployeeData[[#This Row],[Exit Date]],EmployeeData[[#This Row],[Join Date]]))</f>
        <v>2268</v>
      </c>
      <c r="L228" cm="1">
        <f t="array" aca="1" ref="L228" ca="1">_xlfn.IFS(EmployeeData[[#This Row],[Status]]="Exited",DATEDIF(EmployeeData[[#This Row],[Join Date]], EmployeeData[[#This Row],[Exit Date]], "Y"),EmployeeData[[#This Row],[Status]]="Active",DATEDIF(EmployeeData[[#This Row],[Join Date]], TODAY(), "Y"))</f>
        <v>6</v>
      </c>
      <c r="Q228" t="str" cm="1">
        <f t="array" aca="1" ref="Q2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16 days</v>
      </c>
    </row>
    <row r="229" spans="1:17" hidden="1" x14ac:dyDescent="0.3">
      <c r="A229">
        <v>1228</v>
      </c>
      <c r="B229" t="s">
        <v>767</v>
      </c>
      <c r="C229" t="s">
        <v>15</v>
      </c>
      <c r="D229" t="s">
        <v>16</v>
      </c>
      <c r="E229">
        <v>58</v>
      </c>
      <c r="F229" t="str" cm="1">
        <f t="array" ref="F229">_xlfn.IFS(EmployeeData[[#This Row],[Age]]&lt;30,"20s",EmployeeData[[#This Row],[Age]]&lt;40,"30s",EmployeeData[[#This Row],[Age]]&lt;50,"40s",EmployeeData[[#This Row],[Age]]&lt;60,"50s",EmployeeData[[#This Row],[Age]]&gt;=60,"60s")</f>
        <v>50s</v>
      </c>
      <c r="G229" s="5">
        <v>45103</v>
      </c>
      <c r="H229" s="5">
        <v>45715</v>
      </c>
      <c r="I229" t="s">
        <v>12</v>
      </c>
      <c r="J229" t="s">
        <v>13</v>
      </c>
      <c r="K229" cm="1">
        <f t="array" aca="1" ref="K229" ca="1">_xlfn.IFS(EmployeeData[[#This Row],[Status]]="Active",_xlfn.DAYS(TODAY(),EmployeeData[[#This Row],[Join Date]]),EmployeeData[[#This Row],[Status]]="Exited",_xlfn.DAYS(EmployeeData[[#This Row],[Exit Date]],EmployeeData[[#This Row],[Join Date]]))</f>
        <v>612</v>
      </c>
      <c r="L229" cm="1">
        <f t="array" aca="1" ref="L229" ca="1">_xlfn.IFS(EmployeeData[[#This Row],[Status]]="Exited",DATEDIF(EmployeeData[[#This Row],[Join Date]], EmployeeData[[#This Row],[Exit Date]], "Y"),EmployeeData[[#This Row],[Status]]="Active",DATEDIF(EmployeeData[[#This Row],[Join Date]], TODAY(), "Y"))</f>
        <v>1</v>
      </c>
      <c r="Q229" t="str" cm="1">
        <f t="array" aca="1" ref="Q2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30" spans="1:17" hidden="1" x14ac:dyDescent="0.3">
      <c r="A230">
        <v>1229</v>
      </c>
      <c r="B230" t="s">
        <v>701</v>
      </c>
      <c r="C230" t="s">
        <v>10</v>
      </c>
      <c r="D230" t="s">
        <v>16</v>
      </c>
      <c r="E230">
        <v>50</v>
      </c>
      <c r="F230" t="str" cm="1">
        <f t="array" ref="F230">_xlfn.IFS(EmployeeData[[#This Row],[Age]]&lt;30,"20s",EmployeeData[[#This Row],[Age]]&lt;40,"30s",EmployeeData[[#This Row],[Age]]&lt;50,"40s",EmployeeData[[#This Row],[Age]]&lt;60,"50s",EmployeeData[[#This Row],[Age]]&gt;=60,"60s")</f>
        <v>50s</v>
      </c>
      <c r="G230" s="5">
        <v>45856</v>
      </c>
      <c r="I230" t="s">
        <v>17</v>
      </c>
      <c r="J230" t="s">
        <v>18</v>
      </c>
      <c r="K230" cm="1">
        <f t="array" aca="1" ref="K230" ca="1">_xlfn.IFS(EmployeeData[[#This Row],[Status]]="Active",_xlfn.DAYS(TODAY(),EmployeeData[[#This Row],[Join Date]]),EmployeeData[[#This Row],[Status]]="Exited",_xlfn.DAYS(EmployeeData[[#This Row],[Exit Date]],EmployeeData[[#This Row],[Join Date]]))</f>
        <v>341</v>
      </c>
      <c r="L230" cm="1">
        <f t="array" aca="1" ref="L230" ca="1">_xlfn.IFS(EmployeeData[[#This Row],[Status]]="Exited",DATEDIF(EmployeeData[[#This Row],[Join Date]], EmployeeData[[#This Row],[Exit Date]], "Y"),EmployeeData[[#This Row],[Status]]="Active",DATEDIF(EmployeeData[[#This Row],[Join Date]], TODAY(), "Y"))</f>
        <v>0</v>
      </c>
      <c r="Q230" t="str" cm="1">
        <f t="array" aca="1" ref="Q2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6 days</v>
      </c>
    </row>
    <row r="231" spans="1:17" hidden="1" x14ac:dyDescent="0.3">
      <c r="A231">
        <v>1230</v>
      </c>
      <c r="B231" t="s">
        <v>576</v>
      </c>
      <c r="C231" t="s">
        <v>20</v>
      </c>
      <c r="D231" t="s">
        <v>24</v>
      </c>
      <c r="E231">
        <v>23</v>
      </c>
      <c r="F231" t="str" cm="1">
        <f t="array" ref="F231">_xlfn.IFS(EmployeeData[[#This Row],[Age]]&lt;30,"20s",EmployeeData[[#This Row],[Age]]&lt;40,"30s",EmployeeData[[#This Row],[Age]]&lt;50,"40s",EmployeeData[[#This Row],[Age]]&lt;60,"50s",EmployeeData[[#This Row],[Age]]&gt;=60,"60s")</f>
        <v>20s</v>
      </c>
      <c r="G231" s="5">
        <v>44836</v>
      </c>
      <c r="H231" s="5">
        <v>45056</v>
      </c>
      <c r="I231" t="s">
        <v>65</v>
      </c>
      <c r="J231" t="s">
        <v>13</v>
      </c>
      <c r="K231" cm="1">
        <f t="array" aca="1" ref="K231" ca="1">_xlfn.IFS(EmployeeData[[#This Row],[Status]]="Active",_xlfn.DAYS(TODAY(),EmployeeData[[#This Row],[Join Date]]),EmployeeData[[#This Row],[Status]]="Exited",_xlfn.DAYS(EmployeeData[[#This Row],[Exit Date]],EmployeeData[[#This Row],[Join Date]]))</f>
        <v>220</v>
      </c>
      <c r="L231" cm="1">
        <f t="array" aca="1" ref="L231" ca="1">_xlfn.IFS(EmployeeData[[#This Row],[Status]]="Exited",DATEDIF(EmployeeData[[#This Row],[Join Date]], EmployeeData[[#This Row],[Exit Date]], "Y"),EmployeeData[[#This Row],[Status]]="Active",DATEDIF(EmployeeData[[#This Row],[Join Date]], TODAY(), "Y"))</f>
        <v>0</v>
      </c>
      <c r="Q231" t="str" cm="1">
        <f t="array" aca="1" ref="Q2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8 days</v>
      </c>
    </row>
    <row r="232" spans="1:17" hidden="1" x14ac:dyDescent="0.3">
      <c r="A232">
        <v>1231</v>
      </c>
      <c r="B232" t="s">
        <v>230</v>
      </c>
      <c r="C232" t="s">
        <v>23</v>
      </c>
      <c r="D232" t="s">
        <v>16</v>
      </c>
      <c r="E232">
        <v>32</v>
      </c>
      <c r="F232" t="str" cm="1">
        <f t="array" ref="F232">_xlfn.IFS(EmployeeData[[#This Row],[Age]]&lt;30,"20s",EmployeeData[[#This Row],[Age]]&lt;40,"30s",EmployeeData[[#This Row],[Age]]&lt;50,"40s",EmployeeData[[#This Row],[Age]]&lt;60,"50s",EmployeeData[[#This Row],[Age]]&gt;=60,"60s")</f>
        <v>30s</v>
      </c>
      <c r="G232" s="5">
        <v>43655</v>
      </c>
      <c r="I232" t="s">
        <v>17</v>
      </c>
      <c r="J232" t="s">
        <v>18</v>
      </c>
      <c r="K232" cm="1">
        <f t="array" aca="1" ref="K232" ca="1">_xlfn.IFS(EmployeeData[[#This Row],[Status]]="Active",_xlfn.DAYS(TODAY(),EmployeeData[[#This Row],[Join Date]]),EmployeeData[[#This Row],[Status]]="Exited",_xlfn.DAYS(EmployeeData[[#This Row],[Exit Date]],EmployeeData[[#This Row],[Join Date]]))</f>
        <v>2542</v>
      </c>
      <c r="L232" cm="1">
        <f t="array" aca="1" ref="L232" ca="1">_xlfn.IFS(EmployeeData[[#This Row],[Status]]="Exited",DATEDIF(EmployeeData[[#This Row],[Join Date]], EmployeeData[[#This Row],[Exit Date]], "Y"),EmployeeData[[#This Row],[Status]]="Active",DATEDIF(EmployeeData[[#This Row],[Join Date]], TODAY(), "Y"))</f>
        <v>6</v>
      </c>
      <c r="Q232" t="str" cm="1">
        <f t="array" aca="1" ref="Q2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233" spans="1:17" hidden="1" x14ac:dyDescent="0.3">
      <c r="A233">
        <v>1232</v>
      </c>
      <c r="B233" t="s">
        <v>591</v>
      </c>
      <c r="C233" t="s">
        <v>10</v>
      </c>
      <c r="D233" t="s">
        <v>11</v>
      </c>
      <c r="E233">
        <v>45</v>
      </c>
      <c r="F233" t="str" cm="1">
        <f t="array" ref="F233">_xlfn.IFS(EmployeeData[[#This Row],[Age]]&lt;30,"20s",EmployeeData[[#This Row],[Age]]&lt;40,"30s",EmployeeData[[#This Row],[Age]]&lt;50,"40s",EmployeeData[[#This Row],[Age]]&lt;60,"50s",EmployeeData[[#This Row],[Age]]&gt;=60,"60s")</f>
        <v>40s</v>
      </c>
      <c r="G233" s="5">
        <v>44639</v>
      </c>
      <c r="H233" s="5">
        <v>46084</v>
      </c>
      <c r="I233" t="s">
        <v>52</v>
      </c>
      <c r="J233" t="s">
        <v>13</v>
      </c>
      <c r="K233" cm="1">
        <f t="array" aca="1" ref="K233" ca="1">_xlfn.IFS(EmployeeData[[#This Row],[Status]]="Active",_xlfn.DAYS(TODAY(),EmployeeData[[#This Row],[Join Date]]),EmployeeData[[#This Row],[Status]]="Exited",_xlfn.DAYS(EmployeeData[[#This Row],[Exit Date]],EmployeeData[[#This Row],[Join Date]]))</f>
        <v>1445</v>
      </c>
      <c r="L233" cm="1">
        <f t="array" aca="1" ref="L233" ca="1">_xlfn.IFS(EmployeeData[[#This Row],[Status]]="Exited",DATEDIF(EmployeeData[[#This Row],[Join Date]], EmployeeData[[#This Row],[Exit Date]], "Y"),EmployeeData[[#This Row],[Status]]="Active",DATEDIF(EmployeeData[[#This Row],[Join Date]], TODAY(), "Y"))</f>
        <v>3</v>
      </c>
      <c r="Q233" t="str" cm="1">
        <f t="array" aca="1" ref="Q2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234" spans="1:17" hidden="1" x14ac:dyDescent="0.3">
      <c r="A234">
        <v>1233</v>
      </c>
      <c r="B234" t="s">
        <v>360</v>
      </c>
      <c r="C234" t="s">
        <v>15</v>
      </c>
      <c r="D234" t="s">
        <v>11</v>
      </c>
      <c r="E234">
        <v>46</v>
      </c>
      <c r="F234" t="str" cm="1">
        <f t="array" ref="F234">_xlfn.IFS(EmployeeData[[#This Row],[Age]]&lt;30,"20s",EmployeeData[[#This Row],[Age]]&lt;40,"30s",EmployeeData[[#This Row],[Age]]&lt;50,"40s",EmployeeData[[#This Row],[Age]]&lt;60,"50s",EmployeeData[[#This Row],[Age]]&gt;=60,"60s")</f>
        <v>40s</v>
      </c>
      <c r="G234" s="5">
        <v>45267</v>
      </c>
      <c r="H234" s="5">
        <v>45585</v>
      </c>
      <c r="I234" t="s">
        <v>52</v>
      </c>
      <c r="J234" t="s">
        <v>13</v>
      </c>
      <c r="K234" cm="1">
        <f t="array" aca="1" ref="K234" ca="1">_xlfn.IFS(EmployeeData[[#This Row],[Status]]="Active",_xlfn.DAYS(TODAY(),EmployeeData[[#This Row],[Join Date]]),EmployeeData[[#This Row],[Status]]="Exited",_xlfn.DAYS(EmployeeData[[#This Row],[Exit Date]],EmployeeData[[#This Row],[Join Date]]))</f>
        <v>318</v>
      </c>
      <c r="L234" cm="1">
        <f t="array" aca="1" ref="L234" ca="1">_xlfn.IFS(EmployeeData[[#This Row],[Status]]="Exited",DATEDIF(EmployeeData[[#This Row],[Join Date]], EmployeeData[[#This Row],[Exit Date]], "Y"),EmployeeData[[#This Row],[Status]]="Active",DATEDIF(EmployeeData[[#This Row],[Join Date]], TODAY(), "Y"))</f>
        <v>0</v>
      </c>
      <c r="Q234" t="str" cm="1">
        <f t="array" aca="1" ref="Q2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235" spans="1:17" hidden="1" x14ac:dyDescent="0.3">
      <c r="A235">
        <v>1234</v>
      </c>
      <c r="B235" t="s">
        <v>122</v>
      </c>
      <c r="C235" t="s">
        <v>23</v>
      </c>
      <c r="D235" t="s">
        <v>11</v>
      </c>
      <c r="E235">
        <v>36</v>
      </c>
      <c r="F235" t="str" cm="1">
        <f t="array" ref="F235">_xlfn.IFS(EmployeeData[[#This Row],[Age]]&lt;30,"20s",EmployeeData[[#This Row],[Age]]&lt;40,"30s",EmployeeData[[#This Row],[Age]]&lt;50,"40s",EmployeeData[[#This Row],[Age]]&lt;60,"50s",EmployeeData[[#This Row],[Age]]&gt;=60,"60s")</f>
        <v>30s</v>
      </c>
      <c r="G235" s="5">
        <v>44987</v>
      </c>
      <c r="H235" s="5">
        <v>45641</v>
      </c>
      <c r="I235" t="s">
        <v>31</v>
      </c>
      <c r="J235" t="s">
        <v>13</v>
      </c>
      <c r="K235" cm="1">
        <f t="array" aca="1" ref="K235" ca="1">_xlfn.IFS(EmployeeData[[#This Row],[Status]]="Active",_xlfn.DAYS(TODAY(),EmployeeData[[#This Row],[Join Date]]),EmployeeData[[#This Row],[Status]]="Exited",_xlfn.DAYS(EmployeeData[[#This Row],[Exit Date]],EmployeeData[[#This Row],[Join Date]]))</f>
        <v>654</v>
      </c>
      <c r="L235" cm="1">
        <f t="array" aca="1" ref="L235" ca="1">_xlfn.IFS(EmployeeData[[#This Row],[Status]]="Exited",DATEDIF(EmployeeData[[#This Row],[Join Date]], EmployeeData[[#This Row],[Exit Date]], "Y"),EmployeeData[[#This Row],[Status]]="Active",DATEDIF(EmployeeData[[#This Row],[Join Date]], TODAY(), "Y"))</f>
        <v>1</v>
      </c>
      <c r="Q235" t="str" cm="1">
        <f t="array" aca="1" ref="Q2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236" spans="1:17" hidden="1" x14ac:dyDescent="0.3">
      <c r="A236">
        <v>1235</v>
      </c>
      <c r="B236" t="s">
        <v>223</v>
      </c>
      <c r="C236" t="s">
        <v>10</v>
      </c>
      <c r="D236" t="s">
        <v>11</v>
      </c>
      <c r="E236">
        <v>22</v>
      </c>
      <c r="F236" t="str" cm="1">
        <f t="array" ref="F236">_xlfn.IFS(EmployeeData[[#This Row],[Age]]&lt;30,"20s",EmployeeData[[#This Row],[Age]]&lt;40,"30s",EmployeeData[[#This Row],[Age]]&lt;50,"40s",EmployeeData[[#This Row],[Age]]&lt;60,"50s",EmployeeData[[#This Row],[Age]]&gt;=60,"60s")</f>
        <v>20s</v>
      </c>
      <c r="G236" s="5">
        <v>44086</v>
      </c>
      <c r="H236" s="5">
        <v>44382</v>
      </c>
      <c r="I236" t="s">
        <v>28</v>
      </c>
      <c r="J236" t="s">
        <v>13</v>
      </c>
      <c r="K236" cm="1">
        <f t="array" aca="1" ref="K236" ca="1">_xlfn.IFS(EmployeeData[[#This Row],[Status]]="Active",_xlfn.DAYS(TODAY(),EmployeeData[[#This Row],[Join Date]]),EmployeeData[[#This Row],[Status]]="Exited",_xlfn.DAYS(EmployeeData[[#This Row],[Exit Date]],EmployeeData[[#This Row],[Join Date]]))</f>
        <v>296</v>
      </c>
      <c r="L236" cm="1">
        <f t="array" aca="1" ref="L236" ca="1">_xlfn.IFS(EmployeeData[[#This Row],[Status]]="Exited",DATEDIF(EmployeeData[[#This Row],[Join Date]], EmployeeData[[#This Row],[Exit Date]], "Y"),EmployeeData[[#This Row],[Status]]="Active",DATEDIF(EmployeeData[[#This Row],[Join Date]], TODAY(), "Y"))</f>
        <v>0</v>
      </c>
      <c r="Q236" t="str" cm="1">
        <f t="array" aca="1" ref="Q2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23 days</v>
      </c>
    </row>
    <row r="237" spans="1:17" hidden="1" x14ac:dyDescent="0.3">
      <c r="A237">
        <v>1236</v>
      </c>
      <c r="B237" t="s">
        <v>278</v>
      </c>
      <c r="C237" t="s">
        <v>33</v>
      </c>
      <c r="D237" t="s">
        <v>16</v>
      </c>
      <c r="E237">
        <v>23</v>
      </c>
      <c r="F237" t="str" cm="1">
        <f t="array" ref="F237">_xlfn.IFS(EmployeeData[[#This Row],[Age]]&lt;30,"20s",EmployeeData[[#This Row],[Age]]&lt;40,"30s",EmployeeData[[#This Row],[Age]]&lt;50,"40s",EmployeeData[[#This Row],[Age]]&lt;60,"50s",EmployeeData[[#This Row],[Age]]&gt;=60,"60s")</f>
        <v>20s</v>
      </c>
      <c r="G237" s="5">
        <v>44748</v>
      </c>
      <c r="I237" t="s">
        <v>17</v>
      </c>
      <c r="J237" t="s">
        <v>18</v>
      </c>
      <c r="K237" cm="1">
        <f t="array" aca="1" ref="K237" ca="1">_xlfn.IFS(EmployeeData[[#This Row],[Status]]="Active",_xlfn.DAYS(TODAY(),EmployeeData[[#This Row],[Join Date]]),EmployeeData[[#This Row],[Status]]="Exited",_xlfn.DAYS(EmployeeData[[#This Row],[Exit Date]],EmployeeData[[#This Row],[Join Date]]))</f>
        <v>1449</v>
      </c>
      <c r="L237" cm="1">
        <f t="array" aca="1" ref="L237" ca="1">_xlfn.IFS(EmployeeData[[#This Row],[Status]]="Exited",DATEDIF(EmployeeData[[#This Row],[Join Date]], EmployeeData[[#This Row],[Exit Date]], "Y"),EmployeeData[[#This Row],[Status]]="Active",DATEDIF(EmployeeData[[#This Row],[Join Date]], TODAY(), "Y"))</f>
        <v>3</v>
      </c>
      <c r="Q237" t="str" cm="1">
        <f t="array" aca="1" ref="Q2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238" spans="1:17" hidden="1" x14ac:dyDescent="0.3">
      <c r="A238">
        <v>1237</v>
      </c>
      <c r="B238" t="s">
        <v>224</v>
      </c>
      <c r="C238" t="s">
        <v>20</v>
      </c>
      <c r="D238" t="s">
        <v>16</v>
      </c>
      <c r="E238">
        <v>39</v>
      </c>
      <c r="F238" t="str" cm="1">
        <f t="array" ref="F238">_xlfn.IFS(EmployeeData[[#This Row],[Age]]&lt;30,"20s",EmployeeData[[#This Row],[Age]]&lt;40,"30s",EmployeeData[[#This Row],[Age]]&lt;50,"40s",EmployeeData[[#This Row],[Age]]&lt;60,"50s",EmployeeData[[#This Row],[Age]]&gt;=60,"60s")</f>
        <v>30s</v>
      </c>
      <c r="G238" s="5">
        <v>44060</v>
      </c>
      <c r="I238" t="s">
        <v>17</v>
      </c>
      <c r="J238" t="s">
        <v>18</v>
      </c>
      <c r="K238" cm="1">
        <f t="array" aca="1" ref="K238" ca="1">_xlfn.IFS(EmployeeData[[#This Row],[Status]]="Active",_xlfn.DAYS(TODAY(),EmployeeData[[#This Row],[Join Date]]),EmployeeData[[#This Row],[Status]]="Exited",_xlfn.DAYS(EmployeeData[[#This Row],[Exit Date]],EmployeeData[[#This Row],[Join Date]]))</f>
        <v>2137</v>
      </c>
      <c r="L238" cm="1">
        <f t="array" aca="1" ref="L238" ca="1">_xlfn.IFS(EmployeeData[[#This Row],[Status]]="Exited",DATEDIF(EmployeeData[[#This Row],[Join Date]], EmployeeData[[#This Row],[Exit Date]], "Y"),EmployeeData[[#This Row],[Status]]="Active",DATEDIF(EmployeeData[[#This Row],[Join Date]], TODAY(), "Y"))</f>
        <v>5</v>
      </c>
      <c r="Q238" t="str" cm="1">
        <f t="array" aca="1" ref="Q2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7 days</v>
      </c>
    </row>
    <row r="239" spans="1:17" hidden="1" x14ac:dyDescent="0.3">
      <c r="A239">
        <v>1238</v>
      </c>
      <c r="B239" t="s">
        <v>662</v>
      </c>
      <c r="C239" t="s">
        <v>15</v>
      </c>
      <c r="D239" t="s">
        <v>11</v>
      </c>
      <c r="E239">
        <v>54</v>
      </c>
      <c r="F239" t="str" cm="1">
        <f t="array" ref="F239">_xlfn.IFS(EmployeeData[[#This Row],[Age]]&lt;30,"20s",EmployeeData[[#This Row],[Age]]&lt;40,"30s",EmployeeData[[#This Row],[Age]]&lt;50,"40s",EmployeeData[[#This Row],[Age]]&lt;60,"50s",EmployeeData[[#This Row],[Age]]&gt;=60,"60s")</f>
        <v>50s</v>
      </c>
      <c r="G239" s="5">
        <v>44006</v>
      </c>
      <c r="I239" t="s">
        <v>17</v>
      </c>
      <c r="J239" t="s">
        <v>18</v>
      </c>
      <c r="K239" cm="1">
        <f t="array" aca="1" ref="K239" ca="1">_xlfn.IFS(EmployeeData[[#This Row],[Status]]="Active",_xlfn.DAYS(TODAY(),EmployeeData[[#This Row],[Join Date]]),EmployeeData[[#This Row],[Status]]="Exited",_xlfn.DAYS(EmployeeData[[#This Row],[Exit Date]],EmployeeData[[#This Row],[Join Date]]))</f>
        <v>2191</v>
      </c>
      <c r="L239" cm="1">
        <f t="array" aca="1" ref="L239" ca="1">_xlfn.IFS(EmployeeData[[#This Row],[Status]]="Exited",DATEDIF(EmployeeData[[#This Row],[Join Date]], EmployeeData[[#This Row],[Exit Date]], "Y"),EmployeeData[[#This Row],[Status]]="Active",DATEDIF(EmployeeData[[#This Row],[Join Date]], TODAY(), "Y"))</f>
        <v>6</v>
      </c>
      <c r="Q239" t="str" cm="1">
        <f t="array" aca="1" ref="Q2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0 days</v>
      </c>
    </row>
    <row r="240" spans="1:17" x14ac:dyDescent="0.3">
      <c r="A240">
        <v>1239</v>
      </c>
      <c r="B240" t="s">
        <v>924</v>
      </c>
      <c r="C240" t="s">
        <v>23</v>
      </c>
      <c r="D240" t="s">
        <v>24</v>
      </c>
      <c r="E240">
        <v>52</v>
      </c>
      <c r="F240" t="str" cm="1">
        <f t="array" ref="F240">_xlfn.IFS(EmployeeData[[#This Row],[Age]]&lt;30,"20s",EmployeeData[[#This Row],[Age]]&lt;40,"30s",EmployeeData[[#This Row],[Age]]&lt;50,"40s",EmployeeData[[#This Row],[Age]]&lt;60,"50s",EmployeeData[[#This Row],[Age]]&gt;=60,"60s")</f>
        <v>50s</v>
      </c>
      <c r="G240" s="5">
        <v>43293</v>
      </c>
      <c r="I240" t="s">
        <v>17</v>
      </c>
      <c r="J240" t="s">
        <v>18</v>
      </c>
      <c r="K240" cm="1">
        <f t="array" aca="1" ref="K240" ca="1">_xlfn.IFS(EmployeeData[[#This Row],[Status]]="Active",_xlfn.DAYS(TODAY(),EmployeeData[[#This Row],[Join Date]]),EmployeeData[[#This Row],[Status]]="Exited",_xlfn.DAYS(EmployeeData[[#This Row],[Exit Date]],EmployeeData[[#This Row],[Join Date]]))</f>
        <v>2904</v>
      </c>
      <c r="L240" cm="1">
        <f t="array" aca="1" ref="L240" ca="1">_xlfn.IFS(EmployeeData[[#This Row],[Status]]="Exited",DATEDIF(EmployeeData[[#This Row],[Join Date]], EmployeeData[[#This Row],[Exit Date]], "Y"),EmployeeData[[#This Row],[Status]]="Active",DATEDIF(EmployeeData[[#This Row],[Join Date]], TODAY(), "Y"))</f>
        <v>7</v>
      </c>
      <c r="Q240" t="str" cm="1">
        <f t="array" aca="1" ref="Q2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12 days</v>
      </c>
    </row>
    <row r="241" spans="1:17" hidden="1" x14ac:dyDescent="0.3">
      <c r="A241">
        <v>1240</v>
      </c>
      <c r="B241" t="s">
        <v>1077</v>
      </c>
      <c r="C241" t="s">
        <v>10</v>
      </c>
      <c r="D241" t="s">
        <v>16</v>
      </c>
      <c r="E241">
        <v>32</v>
      </c>
      <c r="F241" t="str" cm="1">
        <f t="array" ref="F241">_xlfn.IFS(EmployeeData[[#This Row],[Age]]&lt;30,"20s",EmployeeData[[#This Row],[Age]]&lt;40,"30s",EmployeeData[[#This Row],[Age]]&lt;50,"40s",EmployeeData[[#This Row],[Age]]&lt;60,"50s",EmployeeData[[#This Row],[Age]]&gt;=60,"60s")</f>
        <v>30s</v>
      </c>
      <c r="G241" s="5">
        <v>45304</v>
      </c>
      <c r="I241" t="s">
        <v>17</v>
      </c>
      <c r="J241" t="s">
        <v>18</v>
      </c>
      <c r="K241" cm="1">
        <f t="array" aca="1" ref="K241" ca="1">_xlfn.IFS(EmployeeData[[#This Row],[Status]]="Active",_xlfn.DAYS(TODAY(),EmployeeData[[#This Row],[Join Date]]),EmployeeData[[#This Row],[Status]]="Exited",_xlfn.DAYS(EmployeeData[[#This Row],[Exit Date]],EmployeeData[[#This Row],[Join Date]]))</f>
        <v>893</v>
      </c>
      <c r="L241" cm="1">
        <f t="array" aca="1" ref="L241" ca="1">_xlfn.IFS(EmployeeData[[#This Row],[Status]]="Exited",DATEDIF(EmployeeData[[#This Row],[Join Date]], EmployeeData[[#This Row],[Exit Date]], "Y"),EmployeeData[[#This Row],[Status]]="Active",DATEDIF(EmployeeData[[#This Row],[Join Date]], TODAY(), "Y"))</f>
        <v>2</v>
      </c>
      <c r="Q241" t="str" cm="1">
        <f t="array" aca="1" ref="Q2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11 days</v>
      </c>
    </row>
    <row r="242" spans="1:17" hidden="1" x14ac:dyDescent="0.3">
      <c r="A242">
        <v>1241</v>
      </c>
      <c r="B242" t="s">
        <v>1023</v>
      </c>
      <c r="C242" t="s">
        <v>15</v>
      </c>
      <c r="D242" t="s">
        <v>24</v>
      </c>
      <c r="E242">
        <v>24</v>
      </c>
      <c r="F242" t="str" cm="1">
        <f t="array" ref="F242">_xlfn.IFS(EmployeeData[[#This Row],[Age]]&lt;30,"20s",EmployeeData[[#This Row],[Age]]&lt;40,"30s",EmployeeData[[#This Row],[Age]]&lt;50,"40s",EmployeeData[[#This Row],[Age]]&lt;60,"50s",EmployeeData[[#This Row],[Age]]&gt;=60,"60s")</f>
        <v>20s</v>
      </c>
      <c r="G242" s="5">
        <v>45404</v>
      </c>
      <c r="I242" t="s">
        <v>17</v>
      </c>
      <c r="J242" t="s">
        <v>18</v>
      </c>
      <c r="K242" cm="1">
        <f t="array" aca="1" ref="K242" ca="1">_xlfn.IFS(EmployeeData[[#This Row],[Status]]="Active",_xlfn.DAYS(TODAY(),EmployeeData[[#This Row],[Join Date]]),EmployeeData[[#This Row],[Status]]="Exited",_xlfn.DAYS(EmployeeData[[#This Row],[Exit Date]],EmployeeData[[#This Row],[Join Date]]))</f>
        <v>793</v>
      </c>
      <c r="L242" cm="1">
        <f t="array" aca="1" ref="L242" ca="1">_xlfn.IFS(EmployeeData[[#This Row],[Status]]="Exited",DATEDIF(EmployeeData[[#This Row],[Join Date]], EmployeeData[[#This Row],[Exit Date]], "Y"),EmployeeData[[#This Row],[Status]]="Active",DATEDIF(EmployeeData[[#This Row],[Join Date]], TODAY(), "Y"))</f>
        <v>2</v>
      </c>
      <c r="Q242" t="str" cm="1">
        <f t="array" aca="1" ref="Q2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 days</v>
      </c>
    </row>
    <row r="243" spans="1:17" hidden="1" x14ac:dyDescent="0.3">
      <c r="A243">
        <v>1242</v>
      </c>
      <c r="B243" t="s">
        <v>888</v>
      </c>
      <c r="C243" t="s">
        <v>10</v>
      </c>
      <c r="D243" t="s">
        <v>16</v>
      </c>
      <c r="E243">
        <v>26</v>
      </c>
      <c r="F243" t="str" cm="1">
        <f t="array" ref="F243">_xlfn.IFS(EmployeeData[[#This Row],[Age]]&lt;30,"20s",EmployeeData[[#This Row],[Age]]&lt;40,"30s",EmployeeData[[#This Row],[Age]]&lt;50,"40s",EmployeeData[[#This Row],[Age]]&lt;60,"50s",EmployeeData[[#This Row],[Age]]&gt;=60,"60s")</f>
        <v>20s</v>
      </c>
      <c r="G243" s="5">
        <v>44943</v>
      </c>
      <c r="I243" t="s">
        <v>17</v>
      </c>
      <c r="J243" t="s">
        <v>18</v>
      </c>
      <c r="K243" cm="1">
        <f t="array" aca="1" ref="K243" ca="1">_xlfn.IFS(EmployeeData[[#This Row],[Status]]="Active",_xlfn.DAYS(TODAY(),EmployeeData[[#This Row],[Join Date]]),EmployeeData[[#This Row],[Status]]="Exited",_xlfn.DAYS(EmployeeData[[#This Row],[Exit Date]],EmployeeData[[#This Row],[Join Date]]))</f>
        <v>1254</v>
      </c>
      <c r="L243" cm="1">
        <f t="array" aca="1" ref="L243" ca="1">_xlfn.IFS(EmployeeData[[#This Row],[Status]]="Exited",DATEDIF(EmployeeData[[#This Row],[Join Date]], EmployeeData[[#This Row],[Exit Date]], "Y"),EmployeeData[[#This Row],[Status]]="Active",DATEDIF(EmployeeData[[#This Row],[Join Date]], TODAY(), "Y"))</f>
        <v>3</v>
      </c>
      <c r="Q243" t="str" cm="1">
        <f t="array" aca="1" ref="Q2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7 days</v>
      </c>
    </row>
    <row r="244" spans="1:17" x14ac:dyDescent="0.3">
      <c r="A244">
        <v>1243</v>
      </c>
      <c r="B244" t="s">
        <v>129</v>
      </c>
      <c r="C244" t="s">
        <v>15</v>
      </c>
      <c r="D244" t="s">
        <v>16</v>
      </c>
      <c r="E244">
        <v>23</v>
      </c>
      <c r="F244" t="str" cm="1">
        <f t="array" ref="F244">_xlfn.IFS(EmployeeData[[#This Row],[Age]]&lt;30,"20s",EmployeeData[[#This Row],[Age]]&lt;40,"30s",EmployeeData[[#This Row],[Age]]&lt;50,"40s",EmployeeData[[#This Row],[Age]]&lt;60,"50s",EmployeeData[[#This Row],[Age]]&gt;=60,"60s")</f>
        <v>20s</v>
      </c>
      <c r="G244" s="5">
        <v>43399</v>
      </c>
      <c r="H244" s="5">
        <v>44377</v>
      </c>
      <c r="I244" t="s">
        <v>12</v>
      </c>
      <c r="J244" t="s">
        <v>13</v>
      </c>
      <c r="K244" cm="1">
        <f t="array" aca="1" ref="K244" ca="1">_xlfn.IFS(EmployeeData[[#This Row],[Status]]="Active",_xlfn.DAYS(TODAY(),EmployeeData[[#This Row],[Join Date]]),EmployeeData[[#This Row],[Status]]="Exited",_xlfn.DAYS(EmployeeData[[#This Row],[Exit Date]],EmployeeData[[#This Row],[Join Date]]))</f>
        <v>978</v>
      </c>
      <c r="L244" cm="1">
        <f t="array" aca="1" ref="L244" ca="1">_xlfn.IFS(EmployeeData[[#This Row],[Status]]="Exited",DATEDIF(EmployeeData[[#This Row],[Join Date]], EmployeeData[[#This Row],[Exit Date]], "Y"),EmployeeData[[#This Row],[Status]]="Active",DATEDIF(EmployeeData[[#This Row],[Join Date]], TODAY(), "Y"))</f>
        <v>2</v>
      </c>
      <c r="Q244" t="str" cm="1">
        <f t="array" aca="1" ref="Q2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4 days</v>
      </c>
    </row>
    <row r="245" spans="1:17" hidden="1" x14ac:dyDescent="0.3">
      <c r="A245">
        <v>1244</v>
      </c>
      <c r="B245" t="s">
        <v>946</v>
      </c>
      <c r="C245" t="s">
        <v>15</v>
      </c>
      <c r="D245" t="s">
        <v>11</v>
      </c>
      <c r="E245">
        <v>28</v>
      </c>
      <c r="F245" t="str" cm="1">
        <f t="array" ref="F245">_xlfn.IFS(EmployeeData[[#This Row],[Age]]&lt;30,"20s",EmployeeData[[#This Row],[Age]]&lt;40,"30s",EmployeeData[[#This Row],[Age]]&lt;50,"40s",EmployeeData[[#This Row],[Age]]&lt;60,"50s",EmployeeData[[#This Row],[Age]]&gt;=60,"60s")</f>
        <v>20s</v>
      </c>
      <c r="G245" s="5">
        <v>45062</v>
      </c>
      <c r="I245" t="s">
        <v>17</v>
      </c>
      <c r="J245" t="s">
        <v>18</v>
      </c>
      <c r="K245" cm="1">
        <f t="array" aca="1" ref="K245" ca="1">_xlfn.IFS(EmployeeData[[#This Row],[Status]]="Active",_xlfn.DAYS(TODAY(),EmployeeData[[#This Row],[Join Date]]),EmployeeData[[#This Row],[Status]]="Exited",_xlfn.DAYS(EmployeeData[[#This Row],[Exit Date]],EmployeeData[[#This Row],[Join Date]]))</f>
        <v>1135</v>
      </c>
      <c r="L245" cm="1">
        <f t="array" aca="1" ref="L245" ca="1">_xlfn.IFS(EmployeeData[[#This Row],[Status]]="Exited",DATEDIF(EmployeeData[[#This Row],[Join Date]], EmployeeData[[#This Row],[Exit Date]], "Y"),EmployeeData[[#This Row],[Status]]="Active",DATEDIF(EmployeeData[[#This Row],[Join Date]], TODAY(), "Y"))</f>
        <v>3</v>
      </c>
      <c r="Q245" t="str" cm="1">
        <f t="array" aca="1" ref="Q2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8 days</v>
      </c>
    </row>
    <row r="246" spans="1:17" hidden="1" x14ac:dyDescent="0.3">
      <c r="A246">
        <v>1245</v>
      </c>
      <c r="B246" t="s">
        <v>1091</v>
      </c>
      <c r="C246" t="s">
        <v>23</v>
      </c>
      <c r="D246" t="s">
        <v>11</v>
      </c>
      <c r="E246">
        <v>45</v>
      </c>
      <c r="F246" t="str" cm="1">
        <f t="array" ref="F246">_xlfn.IFS(EmployeeData[[#This Row],[Age]]&lt;30,"20s",EmployeeData[[#This Row],[Age]]&lt;40,"30s",EmployeeData[[#This Row],[Age]]&lt;50,"40s",EmployeeData[[#This Row],[Age]]&lt;60,"50s",EmployeeData[[#This Row],[Age]]&gt;=60,"60s")</f>
        <v>40s</v>
      </c>
      <c r="G246" s="5">
        <v>45010</v>
      </c>
      <c r="I246" t="s">
        <v>17</v>
      </c>
      <c r="J246" t="s">
        <v>18</v>
      </c>
      <c r="K246" cm="1">
        <f t="array" aca="1" ref="K246" ca="1">_xlfn.IFS(EmployeeData[[#This Row],[Status]]="Active",_xlfn.DAYS(TODAY(),EmployeeData[[#This Row],[Join Date]]),EmployeeData[[#This Row],[Status]]="Exited",_xlfn.DAYS(EmployeeData[[#This Row],[Exit Date]],EmployeeData[[#This Row],[Join Date]]))</f>
        <v>1187</v>
      </c>
      <c r="L246" cm="1">
        <f t="array" aca="1" ref="L246" ca="1">_xlfn.IFS(EmployeeData[[#This Row],[Status]]="Exited",DATEDIF(EmployeeData[[#This Row],[Join Date]], EmployeeData[[#This Row],[Exit Date]], "Y"),EmployeeData[[#This Row],[Status]]="Active",DATEDIF(EmployeeData[[#This Row],[Join Date]], TODAY(), "Y"))</f>
        <v>3</v>
      </c>
      <c r="Q246" t="str" cm="1">
        <f t="array" aca="1" ref="Q2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247" spans="1:17" hidden="1" x14ac:dyDescent="0.3">
      <c r="A247">
        <v>1246</v>
      </c>
      <c r="B247" t="s">
        <v>148</v>
      </c>
      <c r="C247" t="s">
        <v>23</v>
      </c>
      <c r="D247" t="s">
        <v>11</v>
      </c>
      <c r="E247">
        <v>51</v>
      </c>
      <c r="F247" t="str" cm="1">
        <f t="array" ref="F247">_xlfn.IFS(EmployeeData[[#This Row],[Age]]&lt;30,"20s",EmployeeData[[#This Row],[Age]]&lt;40,"30s",EmployeeData[[#This Row],[Age]]&lt;50,"40s",EmployeeData[[#This Row],[Age]]&lt;60,"50s",EmployeeData[[#This Row],[Age]]&gt;=60,"60s")</f>
        <v>50s</v>
      </c>
      <c r="G247" s="5">
        <v>44412</v>
      </c>
      <c r="I247" t="s">
        <v>17</v>
      </c>
      <c r="J247" t="s">
        <v>18</v>
      </c>
      <c r="K247" cm="1">
        <f t="array" aca="1" ref="K247" ca="1">_xlfn.IFS(EmployeeData[[#This Row],[Status]]="Active",_xlfn.DAYS(TODAY(),EmployeeData[[#This Row],[Join Date]]),EmployeeData[[#This Row],[Status]]="Exited",_xlfn.DAYS(EmployeeData[[#This Row],[Exit Date]],EmployeeData[[#This Row],[Join Date]]))</f>
        <v>1785</v>
      </c>
      <c r="L247" cm="1">
        <f t="array" aca="1" ref="L247" ca="1">_xlfn.IFS(EmployeeData[[#This Row],[Status]]="Exited",DATEDIF(EmployeeData[[#This Row],[Join Date]], EmployeeData[[#This Row],[Exit Date]], "Y"),EmployeeData[[#This Row],[Status]]="Active",DATEDIF(EmployeeData[[#This Row],[Join Date]], TODAY(), "Y"))</f>
        <v>4</v>
      </c>
      <c r="Q247" t="str" cm="1">
        <f t="array" aca="1" ref="Q2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20 days</v>
      </c>
    </row>
    <row r="248" spans="1:17" hidden="1" x14ac:dyDescent="0.3">
      <c r="A248">
        <v>1247</v>
      </c>
      <c r="B248" t="s">
        <v>872</v>
      </c>
      <c r="C248" t="s">
        <v>20</v>
      </c>
      <c r="D248" t="s">
        <v>16</v>
      </c>
      <c r="E248">
        <v>56</v>
      </c>
      <c r="F248" t="str" cm="1">
        <f t="array" ref="F248">_xlfn.IFS(EmployeeData[[#This Row],[Age]]&lt;30,"20s",EmployeeData[[#This Row],[Age]]&lt;40,"30s",EmployeeData[[#This Row],[Age]]&lt;50,"40s",EmployeeData[[#This Row],[Age]]&lt;60,"50s",EmployeeData[[#This Row],[Age]]&gt;=60,"60s")</f>
        <v>50s</v>
      </c>
      <c r="G248" s="5">
        <v>45493</v>
      </c>
      <c r="I248" t="s">
        <v>17</v>
      </c>
      <c r="J248" t="s">
        <v>18</v>
      </c>
      <c r="K248" cm="1">
        <f t="array" aca="1" ref="K248" ca="1">_xlfn.IFS(EmployeeData[[#This Row],[Status]]="Active",_xlfn.DAYS(TODAY(),EmployeeData[[#This Row],[Join Date]]),EmployeeData[[#This Row],[Status]]="Exited",_xlfn.DAYS(EmployeeData[[#This Row],[Exit Date]],EmployeeData[[#This Row],[Join Date]]))</f>
        <v>704</v>
      </c>
      <c r="L248" cm="1">
        <f t="array" aca="1" ref="L248" ca="1">_xlfn.IFS(EmployeeData[[#This Row],[Status]]="Exited",DATEDIF(EmployeeData[[#This Row],[Join Date]], EmployeeData[[#This Row],[Exit Date]], "Y"),EmployeeData[[#This Row],[Status]]="Active",DATEDIF(EmployeeData[[#This Row],[Join Date]], TODAY(), "Y"))</f>
        <v>1</v>
      </c>
      <c r="Q248" t="str" cm="1">
        <f t="array" aca="1" ref="Q2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249" spans="1:17" hidden="1" x14ac:dyDescent="0.3">
      <c r="A249">
        <v>1248</v>
      </c>
      <c r="B249" t="s">
        <v>496</v>
      </c>
      <c r="C249" t="s">
        <v>15</v>
      </c>
      <c r="D249" t="s">
        <v>24</v>
      </c>
      <c r="E249">
        <v>36</v>
      </c>
      <c r="F249" t="str" cm="1">
        <f t="array" ref="F249">_xlfn.IFS(EmployeeData[[#This Row],[Age]]&lt;30,"20s",EmployeeData[[#This Row],[Age]]&lt;40,"30s",EmployeeData[[#This Row],[Age]]&lt;50,"40s",EmployeeData[[#This Row],[Age]]&lt;60,"50s",EmployeeData[[#This Row],[Age]]&gt;=60,"60s")</f>
        <v>30s</v>
      </c>
      <c r="G249" s="5">
        <v>45146</v>
      </c>
      <c r="I249" t="s">
        <v>17</v>
      </c>
      <c r="J249" t="s">
        <v>18</v>
      </c>
      <c r="K249" cm="1">
        <f t="array" aca="1" ref="K249" ca="1">_xlfn.IFS(EmployeeData[[#This Row],[Status]]="Active",_xlfn.DAYS(TODAY(),EmployeeData[[#This Row],[Join Date]]),EmployeeData[[#This Row],[Status]]="Exited",_xlfn.DAYS(EmployeeData[[#This Row],[Exit Date]],EmployeeData[[#This Row],[Join Date]]))</f>
        <v>1051</v>
      </c>
      <c r="L249" cm="1">
        <f t="array" aca="1" ref="L249" ca="1">_xlfn.IFS(EmployeeData[[#This Row],[Status]]="Exited",DATEDIF(EmployeeData[[#This Row],[Join Date]], EmployeeData[[#This Row],[Exit Date]], "Y"),EmployeeData[[#This Row],[Status]]="Active",DATEDIF(EmployeeData[[#This Row],[Join Date]], TODAY(), "Y"))</f>
        <v>2</v>
      </c>
      <c r="Q249" t="str" cm="1">
        <f t="array" aca="1" ref="Q2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16 days</v>
      </c>
    </row>
    <row r="250" spans="1:17" hidden="1" x14ac:dyDescent="0.3">
      <c r="A250">
        <v>1249</v>
      </c>
      <c r="B250" t="s">
        <v>981</v>
      </c>
      <c r="C250" t="s">
        <v>23</v>
      </c>
      <c r="D250" t="s">
        <v>11</v>
      </c>
      <c r="E250">
        <v>52</v>
      </c>
      <c r="F250" t="str" cm="1">
        <f t="array" ref="F250">_xlfn.IFS(EmployeeData[[#This Row],[Age]]&lt;30,"20s",EmployeeData[[#This Row],[Age]]&lt;40,"30s",EmployeeData[[#This Row],[Age]]&lt;50,"40s",EmployeeData[[#This Row],[Age]]&lt;60,"50s",EmployeeData[[#This Row],[Age]]&gt;=60,"60s")</f>
        <v>50s</v>
      </c>
      <c r="G250" s="5">
        <v>44988</v>
      </c>
      <c r="H250" s="5">
        <v>45799</v>
      </c>
      <c r="I250" t="s">
        <v>31</v>
      </c>
      <c r="J250" t="s">
        <v>13</v>
      </c>
      <c r="K250" cm="1">
        <f t="array" aca="1" ref="K250" ca="1">_xlfn.IFS(EmployeeData[[#This Row],[Status]]="Active",_xlfn.DAYS(TODAY(),EmployeeData[[#This Row],[Join Date]]),EmployeeData[[#This Row],[Status]]="Exited",_xlfn.DAYS(EmployeeData[[#This Row],[Exit Date]],EmployeeData[[#This Row],[Join Date]]))</f>
        <v>811</v>
      </c>
      <c r="L250" cm="1">
        <f t="array" aca="1" ref="L250" ca="1">_xlfn.IFS(EmployeeData[[#This Row],[Status]]="Exited",DATEDIF(EmployeeData[[#This Row],[Join Date]], EmployeeData[[#This Row],[Exit Date]], "Y"),EmployeeData[[#This Row],[Status]]="Active",DATEDIF(EmployeeData[[#This Row],[Join Date]], TODAY(), "Y"))</f>
        <v>2</v>
      </c>
      <c r="Q250" t="str" cm="1">
        <f t="array" aca="1" ref="Q2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251" spans="1:17" hidden="1" x14ac:dyDescent="0.3">
      <c r="A251">
        <v>1250</v>
      </c>
      <c r="B251" t="s">
        <v>727</v>
      </c>
      <c r="C251" t="s">
        <v>23</v>
      </c>
      <c r="D251" t="s">
        <v>11</v>
      </c>
      <c r="E251">
        <v>25</v>
      </c>
      <c r="F251" t="str" cm="1">
        <f t="array" ref="F251">_xlfn.IFS(EmployeeData[[#This Row],[Age]]&lt;30,"20s",EmployeeData[[#This Row],[Age]]&lt;40,"30s",EmployeeData[[#This Row],[Age]]&lt;50,"40s",EmployeeData[[#This Row],[Age]]&lt;60,"50s",EmployeeData[[#This Row],[Age]]&gt;=60,"60s")</f>
        <v>20s</v>
      </c>
      <c r="G251" s="5">
        <v>45838</v>
      </c>
      <c r="H251" s="5">
        <v>45931</v>
      </c>
      <c r="I251" t="s">
        <v>12</v>
      </c>
      <c r="J251" t="s">
        <v>13</v>
      </c>
      <c r="K251" cm="1">
        <f t="array" aca="1" ref="K251" ca="1">_xlfn.IFS(EmployeeData[[#This Row],[Status]]="Active",_xlfn.DAYS(TODAY(),EmployeeData[[#This Row],[Join Date]]),EmployeeData[[#This Row],[Status]]="Exited",_xlfn.DAYS(EmployeeData[[#This Row],[Exit Date]],EmployeeData[[#This Row],[Join Date]]))</f>
        <v>93</v>
      </c>
      <c r="L251" cm="1">
        <f t="array" aca="1" ref="L251" ca="1">_xlfn.IFS(EmployeeData[[#This Row],[Status]]="Exited",DATEDIF(EmployeeData[[#This Row],[Join Date]], EmployeeData[[#This Row],[Exit Date]], "Y"),EmployeeData[[#This Row],[Status]]="Active",DATEDIF(EmployeeData[[#This Row],[Join Date]], TODAY(), "Y"))</f>
        <v>0</v>
      </c>
      <c r="Q251" t="str" cm="1">
        <f t="array" aca="1" ref="Q2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 days</v>
      </c>
    </row>
    <row r="252" spans="1:17" x14ac:dyDescent="0.3">
      <c r="A252">
        <v>1251</v>
      </c>
      <c r="B252" t="s">
        <v>933</v>
      </c>
      <c r="C252" t="s">
        <v>15</v>
      </c>
      <c r="D252" t="s">
        <v>24</v>
      </c>
      <c r="E252">
        <v>44</v>
      </c>
      <c r="F252" t="str" cm="1">
        <f t="array" ref="F252">_xlfn.IFS(EmployeeData[[#This Row],[Age]]&lt;30,"20s",EmployeeData[[#This Row],[Age]]&lt;40,"30s",EmployeeData[[#This Row],[Age]]&lt;50,"40s",EmployeeData[[#This Row],[Age]]&lt;60,"50s",EmployeeData[[#This Row],[Age]]&gt;=60,"60s")</f>
        <v>40s</v>
      </c>
      <c r="G252" s="5">
        <v>43348</v>
      </c>
      <c r="I252" t="s">
        <v>17</v>
      </c>
      <c r="J252" t="s">
        <v>18</v>
      </c>
      <c r="K252" cm="1">
        <f t="array" aca="1" ref="K252" ca="1">_xlfn.IFS(EmployeeData[[#This Row],[Status]]="Active",_xlfn.DAYS(TODAY(),EmployeeData[[#This Row],[Join Date]]),EmployeeData[[#This Row],[Status]]="Exited",_xlfn.DAYS(EmployeeData[[#This Row],[Exit Date]],EmployeeData[[#This Row],[Join Date]]))</f>
        <v>2849</v>
      </c>
      <c r="L252" cm="1">
        <f t="array" aca="1" ref="L252" ca="1">_xlfn.IFS(EmployeeData[[#This Row],[Status]]="Exited",DATEDIF(EmployeeData[[#This Row],[Join Date]], EmployeeData[[#This Row],[Exit Date]], "Y"),EmployeeData[[#This Row],[Status]]="Active",DATEDIF(EmployeeData[[#This Row],[Join Date]], TODAY(), "Y"))</f>
        <v>7</v>
      </c>
      <c r="Q252" t="str" cm="1">
        <f t="array" aca="1" ref="Q2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19 days</v>
      </c>
    </row>
    <row r="253" spans="1:17" hidden="1" x14ac:dyDescent="0.3">
      <c r="A253">
        <v>1252</v>
      </c>
      <c r="B253" t="s">
        <v>815</v>
      </c>
      <c r="C253" t="s">
        <v>23</v>
      </c>
      <c r="D253" t="s">
        <v>24</v>
      </c>
      <c r="E253">
        <v>22</v>
      </c>
      <c r="F253" t="str" cm="1">
        <f t="array" ref="F253">_xlfn.IFS(EmployeeData[[#This Row],[Age]]&lt;30,"20s",EmployeeData[[#This Row],[Age]]&lt;40,"30s",EmployeeData[[#This Row],[Age]]&lt;50,"40s",EmployeeData[[#This Row],[Age]]&lt;60,"50s",EmployeeData[[#This Row],[Age]]&gt;=60,"60s")</f>
        <v>20s</v>
      </c>
      <c r="G253" s="5">
        <v>45269</v>
      </c>
      <c r="I253" t="s">
        <v>17</v>
      </c>
      <c r="J253" t="s">
        <v>18</v>
      </c>
      <c r="K253" cm="1">
        <f t="array" aca="1" ref="K253" ca="1">_xlfn.IFS(EmployeeData[[#This Row],[Status]]="Active",_xlfn.DAYS(TODAY(),EmployeeData[[#This Row],[Join Date]]),EmployeeData[[#This Row],[Status]]="Exited",_xlfn.DAYS(EmployeeData[[#This Row],[Exit Date]],EmployeeData[[#This Row],[Join Date]]))</f>
        <v>928</v>
      </c>
      <c r="L253" cm="1">
        <f t="array" aca="1" ref="L253" ca="1">_xlfn.IFS(EmployeeData[[#This Row],[Status]]="Exited",DATEDIF(EmployeeData[[#This Row],[Join Date]], EmployeeData[[#This Row],[Exit Date]], "Y"),EmployeeData[[#This Row],[Status]]="Active",DATEDIF(EmployeeData[[#This Row],[Join Date]], TODAY(), "Y"))</f>
        <v>2</v>
      </c>
      <c r="Q253" t="str" cm="1">
        <f t="array" aca="1" ref="Q2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15 days</v>
      </c>
    </row>
    <row r="254" spans="1:17" hidden="1" x14ac:dyDescent="0.3">
      <c r="A254">
        <v>1253</v>
      </c>
      <c r="B254" t="s">
        <v>923</v>
      </c>
      <c r="C254" t="s">
        <v>33</v>
      </c>
      <c r="D254" t="s">
        <v>11</v>
      </c>
      <c r="E254">
        <v>27</v>
      </c>
      <c r="F254" t="str" cm="1">
        <f t="array" ref="F254">_xlfn.IFS(EmployeeData[[#This Row],[Age]]&lt;30,"20s",EmployeeData[[#This Row],[Age]]&lt;40,"30s",EmployeeData[[#This Row],[Age]]&lt;50,"40s",EmployeeData[[#This Row],[Age]]&lt;60,"50s",EmployeeData[[#This Row],[Age]]&gt;=60,"60s")</f>
        <v>20s</v>
      </c>
      <c r="G254" s="5">
        <v>43495</v>
      </c>
      <c r="I254" t="s">
        <v>17</v>
      </c>
      <c r="J254" t="s">
        <v>18</v>
      </c>
      <c r="K254" cm="1">
        <f t="array" aca="1" ref="K254" ca="1">_xlfn.IFS(EmployeeData[[#This Row],[Status]]="Active",_xlfn.DAYS(TODAY(),EmployeeData[[#This Row],[Join Date]]),EmployeeData[[#This Row],[Status]]="Exited",_xlfn.DAYS(EmployeeData[[#This Row],[Exit Date]],EmployeeData[[#This Row],[Join Date]]))</f>
        <v>2702</v>
      </c>
      <c r="L254" cm="1">
        <f t="array" aca="1" ref="L254" ca="1">_xlfn.IFS(EmployeeData[[#This Row],[Status]]="Exited",DATEDIF(EmployeeData[[#This Row],[Join Date]], EmployeeData[[#This Row],[Exit Date]], "Y"),EmployeeData[[#This Row],[Status]]="Active",DATEDIF(EmployeeData[[#This Row],[Join Date]], TODAY(), "Y"))</f>
        <v>7</v>
      </c>
      <c r="Q254" t="str" cm="1">
        <f t="array" aca="1" ref="Q2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25 days</v>
      </c>
    </row>
    <row r="255" spans="1:17" x14ac:dyDescent="0.3">
      <c r="A255">
        <v>1254</v>
      </c>
      <c r="B255" t="s">
        <v>75</v>
      </c>
      <c r="C255" t="s">
        <v>10</v>
      </c>
      <c r="D255" t="s">
        <v>24</v>
      </c>
      <c r="E255">
        <v>46</v>
      </c>
      <c r="F255" t="str" cm="1">
        <f t="array" ref="F255">_xlfn.IFS(EmployeeData[[#This Row],[Age]]&lt;30,"20s",EmployeeData[[#This Row],[Age]]&lt;40,"30s",EmployeeData[[#This Row],[Age]]&lt;50,"40s",EmployeeData[[#This Row],[Age]]&lt;60,"50s",EmployeeData[[#This Row],[Age]]&gt;=60,"60s")</f>
        <v>40s</v>
      </c>
      <c r="G255" s="5">
        <v>43424</v>
      </c>
      <c r="H255" s="5">
        <v>45177</v>
      </c>
      <c r="I255" t="s">
        <v>12</v>
      </c>
      <c r="J255" t="s">
        <v>13</v>
      </c>
      <c r="K255" cm="1">
        <f t="array" aca="1" ref="K255" ca="1">_xlfn.IFS(EmployeeData[[#This Row],[Status]]="Active",_xlfn.DAYS(TODAY(),EmployeeData[[#This Row],[Join Date]]),EmployeeData[[#This Row],[Status]]="Exited",_xlfn.DAYS(EmployeeData[[#This Row],[Exit Date]],EmployeeData[[#This Row],[Join Date]]))</f>
        <v>1753</v>
      </c>
      <c r="L255" cm="1">
        <f t="array" aca="1" ref="L255" ca="1">_xlfn.IFS(EmployeeData[[#This Row],[Status]]="Exited",DATEDIF(EmployeeData[[#This Row],[Join Date]], EmployeeData[[#This Row],[Exit Date]], "Y"),EmployeeData[[#This Row],[Status]]="Active",DATEDIF(EmployeeData[[#This Row],[Join Date]], TODAY(), "Y"))</f>
        <v>4</v>
      </c>
      <c r="Q255" t="str" cm="1">
        <f t="array" aca="1" ref="Q2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256" spans="1:17" hidden="1" x14ac:dyDescent="0.3">
      <c r="A256">
        <v>1255</v>
      </c>
      <c r="B256" t="s">
        <v>126</v>
      </c>
      <c r="C256" t="s">
        <v>20</v>
      </c>
      <c r="D256" t="s">
        <v>11</v>
      </c>
      <c r="E256">
        <v>23</v>
      </c>
      <c r="F256" t="str" cm="1">
        <f t="array" ref="F256">_xlfn.IFS(EmployeeData[[#This Row],[Age]]&lt;30,"20s",EmployeeData[[#This Row],[Age]]&lt;40,"30s",EmployeeData[[#This Row],[Age]]&lt;50,"40s",EmployeeData[[#This Row],[Age]]&lt;60,"50s",EmployeeData[[#This Row],[Age]]&gt;=60,"60s")</f>
        <v>20s</v>
      </c>
      <c r="G256" s="5">
        <v>43483</v>
      </c>
      <c r="I256" t="s">
        <v>17</v>
      </c>
      <c r="J256" t="s">
        <v>18</v>
      </c>
      <c r="K256" cm="1">
        <f t="array" aca="1" ref="K256" ca="1">_xlfn.IFS(EmployeeData[[#This Row],[Status]]="Active",_xlfn.DAYS(TODAY(),EmployeeData[[#This Row],[Join Date]]),EmployeeData[[#This Row],[Status]]="Exited",_xlfn.DAYS(EmployeeData[[#This Row],[Exit Date]],EmployeeData[[#This Row],[Join Date]]))</f>
        <v>2714</v>
      </c>
      <c r="L256" cm="1">
        <f t="array" aca="1" ref="L256" ca="1">_xlfn.IFS(EmployeeData[[#This Row],[Status]]="Exited",DATEDIF(EmployeeData[[#This Row],[Join Date]], EmployeeData[[#This Row],[Exit Date]], "Y"),EmployeeData[[#This Row],[Status]]="Active",DATEDIF(EmployeeData[[#This Row],[Join Date]], TODAY(), "Y"))</f>
        <v>7</v>
      </c>
      <c r="Q256" t="str" cm="1">
        <f t="array" aca="1" ref="Q2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257" spans="1:17" hidden="1" x14ac:dyDescent="0.3">
      <c r="A257">
        <v>1256</v>
      </c>
      <c r="B257" t="s">
        <v>860</v>
      </c>
      <c r="C257" t="s">
        <v>20</v>
      </c>
      <c r="D257" t="s">
        <v>16</v>
      </c>
      <c r="E257">
        <v>48</v>
      </c>
      <c r="F257" t="str" cm="1">
        <f t="array" ref="F257">_xlfn.IFS(EmployeeData[[#This Row],[Age]]&lt;30,"20s",EmployeeData[[#This Row],[Age]]&lt;40,"30s",EmployeeData[[#This Row],[Age]]&lt;50,"40s",EmployeeData[[#This Row],[Age]]&lt;60,"50s",EmployeeData[[#This Row],[Age]]&gt;=60,"60s")</f>
        <v>40s</v>
      </c>
      <c r="G257" s="5">
        <v>45742</v>
      </c>
      <c r="I257" t="s">
        <v>17</v>
      </c>
      <c r="J257" t="s">
        <v>18</v>
      </c>
      <c r="K257" cm="1">
        <f t="array" aca="1" ref="K257" ca="1">_xlfn.IFS(EmployeeData[[#This Row],[Status]]="Active",_xlfn.DAYS(TODAY(),EmployeeData[[#This Row],[Join Date]]),EmployeeData[[#This Row],[Status]]="Exited",_xlfn.DAYS(EmployeeData[[#This Row],[Exit Date]],EmployeeData[[#This Row],[Join Date]]))</f>
        <v>455</v>
      </c>
      <c r="L257" cm="1">
        <f t="array" aca="1" ref="L257" ca="1">_xlfn.IFS(EmployeeData[[#This Row],[Status]]="Exited",DATEDIF(EmployeeData[[#This Row],[Join Date]], EmployeeData[[#This Row],[Exit Date]], "Y"),EmployeeData[[#This Row],[Status]]="Active",DATEDIF(EmployeeData[[#This Row],[Join Date]], TODAY(), "Y"))</f>
        <v>1</v>
      </c>
      <c r="Q257" t="str" cm="1">
        <f t="array" aca="1" ref="Q2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29 days</v>
      </c>
    </row>
    <row r="258" spans="1:17" hidden="1" x14ac:dyDescent="0.3">
      <c r="A258">
        <v>1257</v>
      </c>
      <c r="B258" t="s">
        <v>966</v>
      </c>
      <c r="C258" t="s">
        <v>46</v>
      </c>
      <c r="D258" t="s">
        <v>16</v>
      </c>
      <c r="E258">
        <v>57</v>
      </c>
      <c r="F258" t="str" cm="1">
        <f t="array" ref="F258">_xlfn.IFS(EmployeeData[[#This Row],[Age]]&lt;30,"20s",EmployeeData[[#This Row],[Age]]&lt;40,"30s",EmployeeData[[#This Row],[Age]]&lt;50,"40s",EmployeeData[[#This Row],[Age]]&lt;60,"50s",EmployeeData[[#This Row],[Age]]&gt;=60,"60s")</f>
        <v>50s</v>
      </c>
      <c r="G258" s="5">
        <v>45048</v>
      </c>
      <c r="H258" s="5">
        <v>45290</v>
      </c>
      <c r="I258" t="s">
        <v>34</v>
      </c>
      <c r="J258" t="s">
        <v>13</v>
      </c>
      <c r="K258" cm="1">
        <f t="array" aca="1" ref="K258" ca="1">_xlfn.IFS(EmployeeData[[#This Row],[Status]]="Active",_xlfn.DAYS(TODAY(),EmployeeData[[#This Row],[Join Date]]),EmployeeData[[#This Row],[Status]]="Exited",_xlfn.DAYS(EmployeeData[[#This Row],[Exit Date]],EmployeeData[[#This Row],[Join Date]]))</f>
        <v>242</v>
      </c>
      <c r="L258" cm="1">
        <f t="array" aca="1" ref="L258" ca="1">_xlfn.IFS(EmployeeData[[#This Row],[Status]]="Exited",DATEDIF(EmployeeData[[#This Row],[Join Date]], EmployeeData[[#This Row],[Exit Date]], "Y"),EmployeeData[[#This Row],[Status]]="Active",DATEDIF(EmployeeData[[#This Row],[Join Date]], TODAY(), "Y"))</f>
        <v>0</v>
      </c>
      <c r="Q258" t="str" cm="1">
        <f t="array" aca="1" ref="Q2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259" spans="1:17" hidden="1" x14ac:dyDescent="0.3">
      <c r="A259">
        <v>1258</v>
      </c>
      <c r="B259" t="s">
        <v>134</v>
      </c>
      <c r="C259" t="s">
        <v>15</v>
      </c>
      <c r="D259" t="s">
        <v>11</v>
      </c>
      <c r="E259">
        <v>22</v>
      </c>
      <c r="F259" t="str" cm="1">
        <f t="array" ref="F259">_xlfn.IFS(EmployeeData[[#This Row],[Age]]&lt;30,"20s",EmployeeData[[#This Row],[Age]]&lt;40,"30s",EmployeeData[[#This Row],[Age]]&lt;50,"40s",EmployeeData[[#This Row],[Age]]&lt;60,"50s",EmployeeData[[#This Row],[Age]]&gt;=60,"60s")</f>
        <v>20s</v>
      </c>
      <c r="G259" s="5">
        <v>43949</v>
      </c>
      <c r="I259" t="s">
        <v>17</v>
      </c>
      <c r="J259" t="s">
        <v>18</v>
      </c>
      <c r="K259" cm="1">
        <f t="array" aca="1" ref="K259" ca="1">_xlfn.IFS(EmployeeData[[#This Row],[Status]]="Active",_xlfn.DAYS(TODAY(),EmployeeData[[#This Row],[Join Date]]),EmployeeData[[#This Row],[Status]]="Exited",_xlfn.DAYS(EmployeeData[[#This Row],[Exit Date]],EmployeeData[[#This Row],[Join Date]]))</f>
        <v>2248</v>
      </c>
      <c r="L259" cm="1">
        <f t="array" aca="1" ref="L259" ca="1">_xlfn.IFS(EmployeeData[[#This Row],[Status]]="Exited",DATEDIF(EmployeeData[[#This Row],[Join Date]], EmployeeData[[#This Row],[Exit Date]], "Y"),EmployeeData[[#This Row],[Status]]="Active",DATEDIF(EmployeeData[[#This Row],[Join Date]], TODAY(), "Y"))</f>
        <v>6</v>
      </c>
      <c r="Q259" t="str" cm="1">
        <f t="array" aca="1" ref="Q2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27 days</v>
      </c>
    </row>
    <row r="260" spans="1:17" hidden="1" x14ac:dyDescent="0.3">
      <c r="A260">
        <v>1259</v>
      </c>
      <c r="B260" t="s">
        <v>421</v>
      </c>
      <c r="C260" t="s">
        <v>23</v>
      </c>
      <c r="D260" t="s">
        <v>11</v>
      </c>
      <c r="E260">
        <v>55</v>
      </c>
      <c r="F260" t="str" cm="1">
        <f t="array" ref="F260">_xlfn.IFS(EmployeeData[[#This Row],[Age]]&lt;30,"20s",EmployeeData[[#This Row],[Age]]&lt;40,"30s",EmployeeData[[#This Row],[Age]]&lt;50,"40s",EmployeeData[[#This Row],[Age]]&lt;60,"50s",EmployeeData[[#This Row],[Age]]&gt;=60,"60s")</f>
        <v>50s</v>
      </c>
      <c r="G260" s="5">
        <v>44459</v>
      </c>
      <c r="I260" t="s">
        <v>17</v>
      </c>
      <c r="J260" t="s">
        <v>18</v>
      </c>
      <c r="K260" cm="1">
        <f t="array" aca="1" ref="K260" ca="1">_xlfn.IFS(EmployeeData[[#This Row],[Status]]="Active",_xlfn.DAYS(TODAY(),EmployeeData[[#This Row],[Join Date]]),EmployeeData[[#This Row],[Status]]="Exited",_xlfn.DAYS(EmployeeData[[#This Row],[Exit Date]],EmployeeData[[#This Row],[Join Date]]))</f>
        <v>1738</v>
      </c>
      <c r="L260" cm="1">
        <f t="array" aca="1" ref="L260" ca="1">_xlfn.IFS(EmployeeData[[#This Row],[Status]]="Exited",DATEDIF(EmployeeData[[#This Row],[Join Date]], EmployeeData[[#This Row],[Exit Date]], "Y"),EmployeeData[[#This Row],[Status]]="Active",DATEDIF(EmployeeData[[#This Row],[Join Date]], TODAY(), "Y"))</f>
        <v>4</v>
      </c>
      <c r="Q260" t="str" cm="1">
        <f t="array" aca="1" ref="Q2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261" spans="1:17" hidden="1" x14ac:dyDescent="0.3">
      <c r="A261">
        <v>1260</v>
      </c>
      <c r="B261" t="s">
        <v>199</v>
      </c>
      <c r="C261" t="s">
        <v>23</v>
      </c>
      <c r="D261" t="s">
        <v>11</v>
      </c>
      <c r="E261">
        <v>24</v>
      </c>
      <c r="F261" t="str" cm="1">
        <f t="array" ref="F261">_xlfn.IFS(EmployeeData[[#This Row],[Age]]&lt;30,"20s",EmployeeData[[#This Row],[Age]]&lt;40,"30s",EmployeeData[[#This Row],[Age]]&lt;50,"40s",EmployeeData[[#This Row],[Age]]&lt;60,"50s",EmployeeData[[#This Row],[Age]]&gt;=60,"60s")</f>
        <v>20s</v>
      </c>
      <c r="G261" s="5">
        <v>43501</v>
      </c>
      <c r="I261" t="s">
        <v>17</v>
      </c>
      <c r="J261" t="s">
        <v>18</v>
      </c>
      <c r="K261" cm="1">
        <f t="array" aca="1" ref="K261" ca="1">_xlfn.IFS(EmployeeData[[#This Row],[Status]]="Active",_xlfn.DAYS(TODAY(),EmployeeData[[#This Row],[Join Date]]),EmployeeData[[#This Row],[Status]]="Exited",_xlfn.DAYS(EmployeeData[[#This Row],[Exit Date]],EmployeeData[[#This Row],[Join Date]]))</f>
        <v>2696</v>
      </c>
      <c r="L261" cm="1">
        <f t="array" aca="1" ref="L261" ca="1">_xlfn.IFS(EmployeeData[[#This Row],[Status]]="Exited",DATEDIF(EmployeeData[[#This Row],[Join Date]], EmployeeData[[#This Row],[Exit Date]], "Y"),EmployeeData[[#This Row],[Status]]="Active",DATEDIF(EmployeeData[[#This Row],[Join Date]], TODAY(), "Y"))</f>
        <v>7</v>
      </c>
      <c r="Q261" t="str" cm="1">
        <f t="array" aca="1" ref="Q2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19 days</v>
      </c>
    </row>
    <row r="262" spans="1:17" x14ac:dyDescent="0.3">
      <c r="A262">
        <v>1261</v>
      </c>
      <c r="B262" t="s">
        <v>837</v>
      </c>
      <c r="C262" t="s">
        <v>23</v>
      </c>
      <c r="D262" t="s">
        <v>24</v>
      </c>
      <c r="E262">
        <v>41</v>
      </c>
      <c r="F262" t="str" cm="1">
        <f t="array" ref="F262">_xlfn.IFS(EmployeeData[[#This Row],[Age]]&lt;30,"20s",EmployeeData[[#This Row],[Age]]&lt;40,"30s",EmployeeData[[#This Row],[Age]]&lt;50,"40s",EmployeeData[[#This Row],[Age]]&lt;60,"50s",EmployeeData[[#This Row],[Age]]&gt;=60,"60s")</f>
        <v>40s</v>
      </c>
      <c r="G262" s="5">
        <v>43222</v>
      </c>
      <c r="I262" t="s">
        <v>17</v>
      </c>
      <c r="J262" t="s">
        <v>18</v>
      </c>
      <c r="K262" cm="1">
        <f t="array" aca="1" ref="K262" ca="1">_xlfn.IFS(EmployeeData[[#This Row],[Status]]="Active",_xlfn.DAYS(TODAY(),EmployeeData[[#This Row],[Join Date]]),EmployeeData[[#This Row],[Status]]="Exited",_xlfn.DAYS(EmployeeData[[#This Row],[Exit Date]],EmployeeData[[#This Row],[Join Date]]))</f>
        <v>2975</v>
      </c>
      <c r="L262" cm="1">
        <f t="array" aca="1" ref="L262" ca="1">_xlfn.IFS(EmployeeData[[#This Row],[Status]]="Exited",DATEDIF(EmployeeData[[#This Row],[Join Date]], EmployeeData[[#This Row],[Exit Date]], "Y"),EmployeeData[[#This Row],[Status]]="Active",DATEDIF(EmployeeData[[#This Row],[Join Date]], TODAY(), "Y"))</f>
        <v>8</v>
      </c>
      <c r="Q262" t="str" cm="1">
        <f t="array" aca="1" ref="Q2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22 days</v>
      </c>
    </row>
    <row r="263" spans="1:17" x14ac:dyDescent="0.3">
      <c r="A263">
        <v>1262</v>
      </c>
      <c r="B263" t="s">
        <v>698</v>
      </c>
      <c r="C263" t="s">
        <v>10</v>
      </c>
      <c r="D263" t="s">
        <v>24</v>
      </c>
      <c r="E263">
        <v>45</v>
      </c>
      <c r="F263" t="str" cm="1">
        <f t="array" ref="F263">_xlfn.IFS(EmployeeData[[#This Row],[Age]]&lt;30,"20s",EmployeeData[[#This Row],[Age]]&lt;40,"30s",EmployeeData[[#This Row],[Age]]&lt;50,"40s",EmployeeData[[#This Row],[Age]]&lt;60,"50s",EmployeeData[[#This Row],[Age]]&gt;=60,"60s")</f>
        <v>40s</v>
      </c>
      <c r="G263" s="5">
        <v>43452</v>
      </c>
      <c r="I263" t="s">
        <v>17</v>
      </c>
      <c r="J263" t="s">
        <v>18</v>
      </c>
      <c r="K263" cm="1">
        <f t="array" aca="1" ref="K263" ca="1">_xlfn.IFS(EmployeeData[[#This Row],[Status]]="Active",_xlfn.DAYS(TODAY(),EmployeeData[[#This Row],[Join Date]]),EmployeeData[[#This Row],[Status]]="Exited",_xlfn.DAYS(EmployeeData[[#This Row],[Exit Date]],EmployeeData[[#This Row],[Join Date]]))</f>
        <v>2745</v>
      </c>
      <c r="L263" cm="1">
        <f t="array" aca="1" ref="L263" ca="1">_xlfn.IFS(EmployeeData[[#This Row],[Status]]="Exited",DATEDIF(EmployeeData[[#This Row],[Join Date]], EmployeeData[[#This Row],[Exit Date]], "Y"),EmployeeData[[#This Row],[Status]]="Active",DATEDIF(EmployeeData[[#This Row],[Join Date]], TODAY(), "Y"))</f>
        <v>7</v>
      </c>
      <c r="Q263" t="str" cm="1">
        <f t="array" aca="1" ref="Q2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6 days</v>
      </c>
    </row>
    <row r="264" spans="1:17" hidden="1" x14ac:dyDescent="0.3">
      <c r="A264">
        <v>1263</v>
      </c>
      <c r="B264" t="s">
        <v>227</v>
      </c>
      <c r="C264" t="s">
        <v>15</v>
      </c>
      <c r="D264" t="s">
        <v>16</v>
      </c>
      <c r="E264">
        <v>30</v>
      </c>
      <c r="F264" t="str" cm="1">
        <f t="array" ref="F264">_xlfn.IFS(EmployeeData[[#This Row],[Age]]&lt;30,"20s",EmployeeData[[#This Row],[Age]]&lt;40,"30s",EmployeeData[[#This Row],[Age]]&lt;50,"40s",EmployeeData[[#This Row],[Age]]&lt;60,"50s",EmployeeData[[#This Row],[Age]]&gt;=60,"60s")</f>
        <v>30s</v>
      </c>
      <c r="G264" s="5">
        <v>44696</v>
      </c>
      <c r="H264" s="5">
        <v>45004</v>
      </c>
      <c r="I264" t="s">
        <v>31</v>
      </c>
      <c r="J264" t="s">
        <v>13</v>
      </c>
      <c r="K264" cm="1">
        <f t="array" aca="1" ref="K264" ca="1">_xlfn.IFS(EmployeeData[[#This Row],[Status]]="Active",_xlfn.DAYS(TODAY(),EmployeeData[[#This Row],[Join Date]]),EmployeeData[[#This Row],[Status]]="Exited",_xlfn.DAYS(EmployeeData[[#This Row],[Exit Date]],EmployeeData[[#This Row],[Join Date]]))</f>
        <v>308</v>
      </c>
      <c r="L264" cm="1">
        <f t="array" aca="1" ref="L264" ca="1">_xlfn.IFS(EmployeeData[[#This Row],[Status]]="Exited",DATEDIF(EmployeeData[[#This Row],[Join Date]], EmployeeData[[#This Row],[Exit Date]], "Y"),EmployeeData[[#This Row],[Status]]="Active",DATEDIF(EmployeeData[[#This Row],[Join Date]], TODAY(), "Y"))</f>
        <v>0</v>
      </c>
      <c r="Q264" t="str" cm="1">
        <f t="array" aca="1" ref="Q2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265" spans="1:17" hidden="1" x14ac:dyDescent="0.3">
      <c r="A265">
        <v>1264</v>
      </c>
      <c r="B265" t="s">
        <v>590</v>
      </c>
      <c r="C265" t="s">
        <v>15</v>
      </c>
      <c r="D265" t="s">
        <v>16</v>
      </c>
      <c r="E265">
        <v>48</v>
      </c>
      <c r="F265" t="str" cm="1">
        <f t="array" ref="F265">_xlfn.IFS(EmployeeData[[#This Row],[Age]]&lt;30,"20s",EmployeeData[[#This Row],[Age]]&lt;40,"30s",EmployeeData[[#This Row],[Age]]&lt;50,"40s",EmployeeData[[#This Row],[Age]]&lt;60,"50s",EmployeeData[[#This Row],[Age]]&gt;=60,"60s")</f>
        <v>40s</v>
      </c>
      <c r="G265" s="5">
        <v>44939</v>
      </c>
      <c r="I265" t="s">
        <v>17</v>
      </c>
      <c r="J265" t="s">
        <v>18</v>
      </c>
      <c r="K265" cm="1">
        <f t="array" aca="1" ref="K265" ca="1">_xlfn.IFS(EmployeeData[[#This Row],[Status]]="Active",_xlfn.DAYS(TODAY(),EmployeeData[[#This Row],[Join Date]]),EmployeeData[[#This Row],[Status]]="Exited",_xlfn.DAYS(EmployeeData[[#This Row],[Exit Date]],EmployeeData[[#This Row],[Join Date]]))</f>
        <v>1258</v>
      </c>
      <c r="L265" cm="1">
        <f t="array" aca="1" ref="L265" ca="1">_xlfn.IFS(EmployeeData[[#This Row],[Status]]="Exited",DATEDIF(EmployeeData[[#This Row],[Join Date]], EmployeeData[[#This Row],[Exit Date]], "Y"),EmployeeData[[#This Row],[Status]]="Active",DATEDIF(EmployeeData[[#This Row],[Join Date]], TODAY(), "Y"))</f>
        <v>3</v>
      </c>
      <c r="Q265" t="str" cm="1">
        <f t="array" aca="1" ref="Q2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11 days</v>
      </c>
    </row>
    <row r="266" spans="1:17" hidden="1" x14ac:dyDescent="0.3">
      <c r="A266">
        <v>1265</v>
      </c>
      <c r="B266" t="s">
        <v>994</v>
      </c>
      <c r="C266" t="s">
        <v>10</v>
      </c>
      <c r="D266" t="s">
        <v>16</v>
      </c>
      <c r="E266">
        <v>41</v>
      </c>
      <c r="F266" t="str" cm="1">
        <f t="array" ref="F266">_xlfn.IFS(EmployeeData[[#This Row],[Age]]&lt;30,"20s",EmployeeData[[#This Row],[Age]]&lt;40,"30s",EmployeeData[[#This Row],[Age]]&lt;50,"40s",EmployeeData[[#This Row],[Age]]&lt;60,"50s",EmployeeData[[#This Row],[Age]]&gt;=60,"60s")</f>
        <v>40s</v>
      </c>
      <c r="G266" s="5">
        <v>44678</v>
      </c>
      <c r="H266" s="5">
        <v>45615</v>
      </c>
      <c r="I266" t="s">
        <v>12</v>
      </c>
      <c r="J266" t="s">
        <v>13</v>
      </c>
      <c r="K266" cm="1">
        <f t="array" aca="1" ref="K266" ca="1">_xlfn.IFS(EmployeeData[[#This Row],[Status]]="Active",_xlfn.DAYS(TODAY(),EmployeeData[[#This Row],[Join Date]]),EmployeeData[[#This Row],[Status]]="Exited",_xlfn.DAYS(EmployeeData[[#This Row],[Exit Date]],EmployeeData[[#This Row],[Join Date]]))</f>
        <v>937</v>
      </c>
      <c r="L266" cm="1">
        <f t="array" aca="1" ref="L266" ca="1">_xlfn.IFS(EmployeeData[[#This Row],[Status]]="Exited",DATEDIF(EmployeeData[[#This Row],[Join Date]], EmployeeData[[#This Row],[Exit Date]], "Y"),EmployeeData[[#This Row],[Status]]="Active",DATEDIF(EmployeeData[[#This Row],[Join Date]], TODAY(), "Y"))</f>
        <v>2</v>
      </c>
      <c r="Q266" t="str" cm="1">
        <f t="array" aca="1" ref="Q2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267" spans="1:17" hidden="1" x14ac:dyDescent="0.3">
      <c r="A267">
        <v>1266</v>
      </c>
      <c r="B267" t="s">
        <v>806</v>
      </c>
      <c r="C267" t="s">
        <v>46</v>
      </c>
      <c r="D267" t="s">
        <v>11</v>
      </c>
      <c r="E267">
        <v>57</v>
      </c>
      <c r="F267" t="str" cm="1">
        <f t="array" ref="F267">_xlfn.IFS(EmployeeData[[#This Row],[Age]]&lt;30,"20s",EmployeeData[[#This Row],[Age]]&lt;40,"30s",EmployeeData[[#This Row],[Age]]&lt;50,"40s",EmployeeData[[#This Row],[Age]]&lt;60,"50s",EmployeeData[[#This Row],[Age]]&gt;=60,"60s")</f>
        <v>50s</v>
      </c>
      <c r="G267" s="5">
        <v>45235</v>
      </c>
      <c r="H267" s="5">
        <v>45714</v>
      </c>
      <c r="I267" t="s">
        <v>31</v>
      </c>
      <c r="J267" t="s">
        <v>13</v>
      </c>
      <c r="K267" cm="1">
        <f t="array" aca="1" ref="K267" ca="1">_xlfn.IFS(EmployeeData[[#This Row],[Status]]="Active",_xlfn.DAYS(TODAY(),EmployeeData[[#This Row],[Join Date]]),EmployeeData[[#This Row],[Status]]="Exited",_xlfn.DAYS(EmployeeData[[#This Row],[Exit Date]],EmployeeData[[#This Row],[Join Date]]))</f>
        <v>479</v>
      </c>
      <c r="L267" cm="1">
        <f t="array" aca="1" ref="L267" ca="1">_xlfn.IFS(EmployeeData[[#This Row],[Status]]="Exited",DATEDIF(EmployeeData[[#This Row],[Join Date]], EmployeeData[[#This Row],[Exit Date]], "Y"),EmployeeData[[#This Row],[Status]]="Active",DATEDIF(EmployeeData[[#This Row],[Join Date]], TODAY(), "Y"))</f>
        <v>1</v>
      </c>
      <c r="Q267" t="str" cm="1">
        <f t="array" aca="1" ref="Q2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268" spans="1:17" hidden="1" x14ac:dyDescent="0.3">
      <c r="A268">
        <v>1267</v>
      </c>
      <c r="B268" t="s">
        <v>145</v>
      </c>
      <c r="C268" t="s">
        <v>15</v>
      </c>
      <c r="D268" t="s">
        <v>24</v>
      </c>
      <c r="E268">
        <v>47</v>
      </c>
      <c r="F268" t="str" cm="1">
        <f t="array" ref="F268">_xlfn.IFS(EmployeeData[[#This Row],[Age]]&lt;30,"20s",EmployeeData[[#This Row],[Age]]&lt;40,"30s",EmployeeData[[#This Row],[Age]]&lt;50,"40s",EmployeeData[[#This Row],[Age]]&lt;60,"50s",EmployeeData[[#This Row],[Age]]&gt;=60,"60s")</f>
        <v>40s</v>
      </c>
      <c r="G268" s="5">
        <v>44328</v>
      </c>
      <c r="I268" t="s">
        <v>17</v>
      </c>
      <c r="J268" t="s">
        <v>18</v>
      </c>
      <c r="K268" cm="1">
        <f t="array" aca="1" ref="K268" ca="1">_xlfn.IFS(EmployeeData[[#This Row],[Status]]="Active",_xlfn.DAYS(TODAY(),EmployeeData[[#This Row],[Join Date]]),EmployeeData[[#This Row],[Status]]="Exited",_xlfn.DAYS(EmployeeData[[#This Row],[Exit Date]],EmployeeData[[#This Row],[Join Date]]))</f>
        <v>1869</v>
      </c>
      <c r="L268" cm="1">
        <f t="array" aca="1" ref="L268" ca="1">_xlfn.IFS(EmployeeData[[#This Row],[Status]]="Exited",DATEDIF(EmployeeData[[#This Row],[Join Date]], EmployeeData[[#This Row],[Exit Date]], "Y"),EmployeeData[[#This Row],[Status]]="Active",DATEDIF(EmployeeData[[#This Row],[Join Date]], TODAY(), "Y"))</f>
        <v>5</v>
      </c>
      <c r="Q268" t="str" cm="1">
        <f t="array" aca="1" ref="Q2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269" spans="1:17" hidden="1" x14ac:dyDescent="0.3">
      <c r="A269">
        <v>1268</v>
      </c>
      <c r="B269" t="s">
        <v>326</v>
      </c>
      <c r="C269" t="s">
        <v>20</v>
      </c>
      <c r="D269" t="s">
        <v>24</v>
      </c>
      <c r="E269">
        <v>33</v>
      </c>
      <c r="F269" t="str" cm="1">
        <f t="array" ref="F269">_xlfn.IFS(EmployeeData[[#This Row],[Age]]&lt;30,"20s",EmployeeData[[#This Row],[Age]]&lt;40,"30s",EmployeeData[[#This Row],[Age]]&lt;50,"40s",EmployeeData[[#This Row],[Age]]&lt;60,"50s",EmployeeData[[#This Row],[Age]]&gt;=60,"60s")</f>
        <v>30s</v>
      </c>
      <c r="G269" s="5">
        <v>44976</v>
      </c>
      <c r="H269" s="5">
        <v>45689</v>
      </c>
      <c r="I269" t="s">
        <v>31</v>
      </c>
      <c r="J269" t="s">
        <v>13</v>
      </c>
      <c r="K269" cm="1">
        <f t="array" aca="1" ref="K269" ca="1">_xlfn.IFS(EmployeeData[[#This Row],[Status]]="Active",_xlfn.DAYS(TODAY(),EmployeeData[[#This Row],[Join Date]]),EmployeeData[[#This Row],[Status]]="Exited",_xlfn.DAYS(EmployeeData[[#This Row],[Exit Date]],EmployeeData[[#This Row],[Join Date]]))</f>
        <v>713</v>
      </c>
      <c r="L269" cm="1">
        <f t="array" aca="1" ref="L269" ca="1">_xlfn.IFS(EmployeeData[[#This Row],[Status]]="Exited",DATEDIF(EmployeeData[[#This Row],[Join Date]], EmployeeData[[#This Row],[Exit Date]], "Y"),EmployeeData[[#This Row],[Status]]="Active",DATEDIF(EmployeeData[[#This Row],[Join Date]], TODAY(), "Y"))</f>
        <v>1</v>
      </c>
      <c r="Q269" t="str" cm="1">
        <f t="array" aca="1" ref="Q2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270" spans="1:17" hidden="1" x14ac:dyDescent="0.3">
      <c r="A270">
        <v>1269</v>
      </c>
      <c r="B270" t="s">
        <v>1066</v>
      </c>
      <c r="C270" t="s">
        <v>10</v>
      </c>
      <c r="D270" t="s">
        <v>11</v>
      </c>
      <c r="E270">
        <v>49</v>
      </c>
      <c r="F270" t="str" cm="1">
        <f t="array" ref="F270">_xlfn.IFS(EmployeeData[[#This Row],[Age]]&lt;30,"20s",EmployeeData[[#This Row],[Age]]&lt;40,"30s",EmployeeData[[#This Row],[Age]]&lt;50,"40s",EmployeeData[[#This Row],[Age]]&lt;60,"50s",EmployeeData[[#This Row],[Age]]&gt;=60,"60s")</f>
        <v>40s</v>
      </c>
      <c r="G270" s="5">
        <v>44472</v>
      </c>
      <c r="I270" t="s">
        <v>17</v>
      </c>
      <c r="J270" t="s">
        <v>18</v>
      </c>
      <c r="K270" cm="1">
        <f t="array" aca="1" ref="K270" ca="1">_xlfn.IFS(EmployeeData[[#This Row],[Status]]="Active",_xlfn.DAYS(TODAY(),EmployeeData[[#This Row],[Join Date]]),EmployeeData[[#This Row],[Status]]="Exited",_xlfn.DAYS(EmployeeData[[#This Row],[Exit Date]],EmployeeData[[#This Row],[Join Date]]))</f>
        <v>1725</v>
      </c>
      <c r="L270" cm="1">
        <f t="array" aca="1" ref="L270" ca="1">_xlfn.IFS(EmployeeData[[#This Row],[Status]]="Exited",DATEDIF(EmployeeData[[#This Row],[Join Date]], EmployeeData[[#This Row],[Exit Date]], "Y"),EmployeeData[[#This Row],[Status]]="Active",DATEDIF(EmployeeData[[#This Row],[Join Date]], TODAY(), "Y"))</f>
        <v>4</v>
      </c>
      <c r="Q270" t="str" cm="1">
        <f t="array" aca="1" ref="Q2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21 days</v>
      </c>
    </row>
    <row r="271" spans="1:17" hidden="1" x14ac:dyDescent="0.3">
      <c r="A271">
        <v>1270</v>
      </c>
      <c r="B271" t="s">
        <v>106</v>
      </c>
      <c r="C271" t="s">
        <v>23</v>
      </c>
      <c r="D271" t="s">
        <v>16</v>
      </c>
      <c r="E271">
        <v>46</v>
      </c>
      <c r="F271" t="str" cm="1">
        <f t="array" ref="F271">_xlfn.IFS(EmployeeData[[#This Row],[Age]]&lt;30,"20s",EmployeeData[[#This Row],[Age]]&lt;40,"30s",EmployeeData[[#This Row],[Age]]&lt;50,"40s",EmployeeData[[#This Row],[Age]]&lt;60,"50s",EmployeeData[[#This Row],[Age]]&gt;=60,"60s")</f>
        <v>40s</v>
      </c>
      <c r="G271" s="5">
        <v>44408</v>
      </c>
      <c r="H271" s="5">
        <v>45921</v>
      </c>
      <c r="I271" t="s">
        <v>28</v>
      </c>
      <c r="J271" t="s">
        <v>13</v>
      </c>
      <c r="K271" cm="1">
        <f t="array" aca="1" ref="K271" ca="1">_xlfn.IFS(EmployeeData[[#This Row],[Status]]="Active",_xlfn.DAYS(TODAY(),EmployeeData[[#This Row],[Join Date]]),EmployeeData[[#This Row],[Status]]="Exited",_xlfn.DAYS(EmployeeData[[#This Row],[Exit Date]],EmployeeData[[#This Row],[Join Date]]))</f>
        <v>1513</v>
      </c>
      <c r="L271" cm="1">
        <f t="array" aca="1" ref="L271" ca="1">_xlfn.IFS(EmployeeData[[#This Row],[Status]]="Exited",DATEDIF(EmployeeData[[#This Row],[Join Date]], EmployeeData[[#This Row],[Exit Date]], "Y"),EmployeeData[[#This Row],[Status]]="Active",DATEDIF(EmployeeData[[#This Row],[Join Date]], TODAY(), "Y"))</f>
        <v>4</v>
      </c>
      <c r="Q271" t="str" cm="1">
        <f t="array" aca="1" ref="Q2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272" spans="1:17" hidden="1" x14ac:dyDescent="0.3">
      <c r="A272">
        <v>1271</v>
      </c>
      <c r="B272" t="s">
        <v>609</v>
      </c>
      <c r="C272" t="s">
        <v>10</v>
      </c>
      <c r="D272" t="s">
        <v>11</v>
      </c>
      <c r="E272">
        <v>33</v>
      </c>
      <c r="F272" t="str" cm="1">
        <f t="array" ref="F272">_xlfn.IFS(EmployeeData[[#This Row],[Age]]&lt;30,"20s",EmployeeData[[#This Row],[Age]]&lt;40,"30s",EmployeeData[[#This Row],[Age]]&lt;50,"40s",EmployeeData[[#This Row],[Age]]&lt;60,"50s",EmployeeData[[#This Row],[Age]]&gt;=60,"60s")</f>
        <v>30s</v>
      </c>
      <c r="G272" s="5">
        <v>45526</v>
      </c>
      <c r="I272" t="s">
        <v>17</v>
      </c>
      <c r="J272" t="s">
        <v>18</v>
      </c>
      <c r="K272" cm="1">
        <f t="array" aca="1" ref="K272" ca="1">_xlfn.IFS(EmployeeData[[#This Row],[Status]]="Active",_xlfn.DAYS(TODAY(),EmployeeData[[#This Row],[Join Date]]),EmployeeData[[#This Row],[Status]]="Exited",_xlfn.DAYS(EmployeeData[[#This Row],[Exit Date]],EmployeeData[[#This Row],[Join Date]]))</f>
        <v>671</v>
      </c>
      <c r="L272" cm="1">
        <f t="array" aca="1" ref="L272" ca="1">_xlfn.IFS(EmployeeData[[#This Row],[Status]]="Exited",DATEDIF(EmployeeData[[#This Row],[Join Date]], EmployeeData[[#This Row],[Exit Date]], "Y"),EmployeeData[[#This Row],[Status]]="Active",DATEDIF(EmployeeData[[#This Row],[Join Date]], TODAY(), "Y"))</f>
        <v>1</v>
      </c>
      <c r="Q272" t="str" cm="1">
        <f t="array" aca="1" ref="Q2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273" spans="1:17" hidden="1" x14ac:dyDescent="0.3">
      <c r="A273">
        <v>1272</v>
      </c>
      <c r="B273" t="s">
        <v>423</v>
      </c>
      <c r="C273" t="s">
        <v>15</v>
      </c>
      <c r="D273" t="s">
        <v>11</v>
      </c>
      <c r="E273">
        <v>34</v>
      </c>
      <c r="F273" t="str" cm="1">
        <f t="array" ref="F273">_xlfn.IFS(EmployeeData[[#This Row],[Age]]&lt;30,"20s",EmployeeData[[#This Row],[Age]]&lt;40,"30s",EmployeeData[[#This Row],[Age]]&lt;50,"40s",EmployeeData[[#This Row],[Age]]&lt;60,"50s",EmployeeData[[#This Row],[Age]]&gt;=60,"60s")</f>
        <v>30s</v>
      </c>
      <c r="G273" s="5">
        <v>44896</v>
      </c>
      <c r="I273" t="s">
        <v>17</v>
      </c>
      <c r="J273" t="s">
        <v>18</v>
      </c>
      <c r="K273" cm="1">
        <f t="array" aca="1" ref="K273" ca="1">_xlfn.IFS(EmployeeData[[#This Row],[Status]]="Active",_xlfn.DAYS(TODAY(),EmployeeData[[#This Row],[Join Date]]),EmployeeData[[#This Row],[Status]]="Exited",_xlfn.DAYS(EmployeeData[[#This Row],[Exit Date]],EmployeeData[[#This Row],[Join Date]]))</f>
        <v>1301</v>
      </c>
      <c r="L273" cm="1">
        <f t="array" aca="1" ref="L273" ca="1">_xlfn.IFS(EmployeeData[[#This Row],[Status]]="Exited",DATEDIF(EmployeeData[[#This Row],[Join Date]], EmployeeData[[#This Row],[Exit Date]], "Y"),EmployeeData[[#This Row],[Status]]="Active",DATEDIF(EmployeeData[[#This Row],[Join Date]], TODAY(), "Y"))</f>
        <v>3</v>
      </c>
      <c r="Q273" t="str" cm="1">
        <f t="array" aca="1" ref="Q2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23 days</v>
      </c>
    </row>
    <row r="274" spans="1:17" hidden="1" x14ac:dyDescent="0.3">
      <c r="A274">
        <v>1273</v>
      </c>
      <c r="B274" t="s">
        <v>110</v>
      </c>
      <c r="C274" t="s">
        <v>15</v>
      </c>
      <c r="D274" t="s">
        <v>16</v>
      </c>
      <c r="E274">
        <v>37</v>
      </c>
      <c r="F274" t="str" cm="1">
        <f t="array" ref="F274">_xlfn.IFS(EmployeeData[[#This Row],[Age]]&lt;30,"20s",EmployeeData[[#This Row],[Age]]&lt;40,"30s",EmployeeData[[#This Row],[Age]]&lt;50,"40s",EmployeeData[[#This Row],[Age]]&lt;60,"50s",EmployeeData[[#This Row],[Age]]&gt;=60,"60s")</f>
        <v>30s</v>
      </c>
      <c r="G274" s="5">
        <v>45798</v>
      </c>
      <c r="H274" s="5">
        <v>46104</v>
      </c>
      <c r="I274" t="s">
        <v>52</v>
      </c>
      <c r="J274" t="s">
        <v>13</v>
      </c>
      <c r="K274" cm="1">
        <f t="array" aca="1" ref="K274" ca="1">_xlfn.IFS(EmployeeData[[#This Row],[Status]]="Active",_xlfn.DAYS(TODAY(),EmployeeData[[#This Row],[Join Date]]),EmployeeData[[#This Row],[Status]]="Exited",_xlfn.DAYS(EmployeeData[[#This Row],[Exit Date]],EmployeeData[[#This Row],[Join Date]]))</f>
        <v>306</v>
      </c>
      <c r="L274" cm="1">
        <f t="array" aca="1" ref="L274" ca="1">_xlfn.IFS(EmployeeData[[#This Row],[Status]]="Exited",DATEDIF(EmployeeData[[#This Row],[Join Date]], EmployeeData[[#This Row],[Exit Date]], "Y"),EmployeeData[[#This Row],[Status]]="Active",DATEDIF(EmployeeData[[#This Row],[Join Date]], TODAY(), "Y"))</f>
        <v>0</v>
      </c>
      <c r="Q274" t="str" cm="1">
        <f t="array" aca="1" ref="Q2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275" spans="1:17" hidden="1" x14ac:dyDescent="0.3">
      <c r="A275">
        <v>1274</v>
      </c>
      <c r="B275" t="s">
        <v>664</v>
      </c>
      <c r="C275" t="s">
        <v>23</v>
      </c>
      <c r="D275" t="s">
        <v>24</v>
      </c>
      <c r="E275">
        <v>53</v>
      </c>
      <c r="F275" t="str" cm="1">
        <f t="array" ref="F275">_xlfn.IFS(EmployeeData[[#This Row],[Age]]&lt;30,"20s",EmployeeData[[#This Row],[Age]]&lt;40,"30s",EmployeeData[[#This Row],[Age]]&lt;50,"40s",EmployeeData[[#This Row],[Age]]&lt;60,"50s",EmployeeData[[#This Row],[Age]]&gt;=60,"60s")</f>
        <v>50s</v>
      </c>
      <c r="G275" s="5">
        <v>45934</v>
      </c>
      <c r="I275" t="s">
        <v>17</v>
      </c>
      <c r="J275" t="s">
        <v>18</v>
      </c>
      <c r="K275" cm="1">
        <f t="array" aca="1" ref="K275" ca="1">_xlfn.IFS(EmployeeData[[#This Row],[Status]]="Active",_xlfn.DAYS(TODAY(),EmployeeData[[#This Row],[Join Date]]),EmployeeData[[#This Row],[Status]]="Exited",_xlfn.DAYS(EmployeeData[[#This Row],[Exit Date]],EmployeeData[[#This Row],[Join Date]]))</f>
        <v>263</v>
      </c>
      <c r="L275" cm="1">
        <f t="array" aca="1" ref="L275" ca="1">_xlfn.IFS(EmployeeData[[#This Row],[Status]]="Exited",DATEDIF(EmployeeData[[#This Row],[Join Date]], EmployeeData[[#This Row],[Exit Date]], "Y"),EmployeeData[[#This Row],[Status]]="Active",DATEDIF(EmployeeData[[#This Row],[Join Date]], TODAY(), "Y"))</f>
        <v>0</v>
      </c>
      <c r="Q275" t="str" cm="1">
        <f t="array" aca="1" ref="Q2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276" spans="1:17" hidden="1" x14ac:dyDescent="0.3">
      <c r="A276">
        <v>1275</v>
      </c>
      <c r="B276" t="s">
        <v>995</v>
      </c>
      <c r="C276" t="s">
        <v>33</v>
      </c>
      <c r="D276" t="s">
        <v>24</v>
      </c>
      <c r="E276">
        <v>26</v>
      </c>
      <c r="F276" t="str" cm="1">
        <f t="array" ref="F276">_xlfn.IFS(EmployeeData[[#This Row],[Age]]&lt;30,"20s",EmployeeData[[#This Row],[Age]]&lt;40,"30s",EmployeeData[[#This Row],[Age]]&lt;50,"40s",EmployeeData[[#This Row],[Age]]&lt;60,"50s",EmployeeData[[#This Row],[Age]]&gt;=60,"60s")</f>
        <v>20s</v>
      </c>
      <c r="G276" s="5">
        <v>43548</v>
      </c>
      <c r="I276" t="s">
        <v>17</v>
      </c>
      <c r="J276" t="s">
        <v>18</v>
      </c>
      <c r="K276" cm="1">
        <f t="array" aca="1" ref="K276" ca="1">_xlfn.IFS(EmployeeData[[#This Row],[Status]]="Active",_xlfn.DAYS(TODAY(),EmployeeData[[#This Row],[Join Date]]),EmployeeData[[#This Row],[Status]]="Exited",_xlfn.DAYS(EmployeeData[[#This Row],[Exit Date]],EmployeeData[[#This Row],[Join Date]]))</f>
        <v>2649</v>
      </c>
      <c r="L276" cm="1">
        <f t="array" aca="1" ref="L276" ca="1">_xlfn.IFS(EmployeeData[[#This Row],[Status]]="Exited",DATEDIF(EmployeeData[[#This Row],[Join Date]], EmployeeData[[#This Row],[Exit Date]], "Y"),EmployeeData[[#This Row],[Status]]="Active",DATEDIF(EmployeeData[[#This Row],[Join Date]], TODAY(), "Y"))</f>
        <v>7</v>
      </c>
      <c r="Q276" t="str" cm="1">
        <f t="array" aca="1" ref="Q2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277" spans="1:17" hidden="1" x14ac:dyDescent="0.3">
      <c r="A277">
        <v>1276</v>
      </c>
      <c r="B277" t="s">
        <v>193</v>
      </c>
      <c r="C277" t="s">
        <v>15</v>
      </c>
      <c r="D277" t="s">
        <v>11</v>
      </c>
      <c r="E277">
        <v>46</v>
      </c>
      <c r="F277" t="str" cm="1">
        <f t="array" ref="F277">_xlfn.IFS(EmployeeData[[#This Row],[Age]]&lt;30,"20s",EmployeeData[[#This Row],[Age]]&lt;40,"30s",EmployeeData[[#This Row],[Age]]&lt;50,"40s",EmployeeData[[#This Row],[Age]]&lt;60,"50s",EmployeeData[[#This Row],[Age]]&gt;=60,"60s")</f>
        <v>40s</v>
      </c>
      <c r="G277" s="5">
        <v>44459</v>
      </c>
      <c r="I277" t="s">
        <v>17</v>
      </c>
      <c r="J277" t="s">
        <v>18</v>
      </c>
      <c r="K277" cm="1">
        <f t="array" aca="1" ref="K277" ca="1">_xlfn.IFS(EmployeeData[[#This Row],[Status]]="Active",_xlfn.DAYS(TODAY(),EmployeeData[[#This Row],[Join Date]]),EmployeeData[[#This Row],[Status]]="Exited",_xlfn.DAYS(EmployeeData[[#This Row],[Exit Date]],EmployeeData[[#This Row],[Join Date]]))</f>
        <v>1738</v>
      </c>
      <c r="L277" cm="1">
        <f t="array" aca="1" ref="L277" ca="1">_xlfn.IFS(EmployeeData[[#This Row],[Status]]="Exited",DATEDIF(EmployeeData[[#This Row],[Join Date]], EmployeeData[[#This Row],[Exit Date]], "Y"),EmployeeData[[#This Row],[Status]]="Active",DATEDIF(EmployeeData[[#This Row],[Join Date]], TODAY(), "Y"))</f>
        <v>4</v>
      </c>
      <c r="Q277" t="str" cm="1">
        <f t="array" aca="1" ref="Q2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278" spans="1:17" hidden="1" x14ac:dyDescent="0.3">
      <c r="A278">
        <v>1277</v>
      </c>
      <c r="B278" t="s">
        <v>821</v>
      </c>
      <c r="C278" t="s">
        <v>15</v>
      </c>
      <c r="D278" t="s">
        <v>11</v>
      </c>
      <c r="E278">
        <v>56</v>
      </c>
      <c r="F278" t="str" cm="1">
        <f t="array" ref="F278">_xlfn.IFS(EmployeeData[[#This Row],[Age]]&lt;30,"20s",EmployeeData[[#This Row],[Age]]&lt;40,"30s",EmployeeData[[#This Row],[Age]]&lt;50,"40s",EmployeeData[[#This Row],[Age]]&lt;60,"50s",EmployeeData[[#This Row],[Age]]&gt;=60,"60s")</f>
        <v>50s</v>
      </c>
      <c r="G278" s="5">
        <v>45478</v>
      </c>
      <c r="I278" t="s">
        <v>17</v>
      </c>
      <c r="J278" t="s">
        <v>18</v>
      </c>
      <c r="K278" cm="1">
        <f t="array" aca="1" ref="K278" ca="1">_xlfn.IFS(EmployeeData[[#This Row],[Status]]="Active",_xlfn.DAYS(TODAY(),EmployeeData[[#This Row],[Join Date]]),EmployeeData[[#This Row],[Status]]="Exited",_xlfn.DAYS(EmployeeData[[#This Row],[Exit Date]],EmployeeData[[#This Row],[Join Date]]))</f>
        <v>719</v>
      </c>
      <c r="L278" cm="1">
        <f t="array" aca="1" ref="L278" ca="1">_xlfn.IFS(EmployeeData[[#This Row],[Status]]="Exited",DATEDIF(EmployeeData[[#This Row],[Join Date]], EmployeeData[[#This Row],[Exit Date]], "Y"),EmployeeData[[#This Row],[Status]]="Active",DATEDIF(EmployeeData[[#This Row],[Join Date]], TODAY(), "Y"))</f>
        <v>1</v>
      </c>
      <c r="Q278" t="str" cm="1">
        <f t="array" aca="1" ref="Q2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19 days</v>
      </c>
    </row>
    <row r="279" spans="1:17" hidden="1" x14ac:dyDescent="0.3">
      <c r="A279">
        <v>1278</v>
      </c>
      <c r="B279" t="s">
        <v>313</v>
      </c>
      <c r="C279" t="s">
        <v>20</v>
      </c>
      <c r="D279" t="s">
        <v>24</v>
      </c>
      <c r="E279">
        <v>53</v>
      </c>
      <c r="F279" t="str" cm="1">
        <f t="array" ref="F279">_xlfn.IFS(EmployeeData[[#This Row],[Age]]&lt;30,"20s",EmployeeData[[#This Row],[Age]]&lt;40,"30s",EmployeeData[[#This Row],[Age]]&lt;50,"40s",EmployeeData[[#This Row],[Age]]&lt;60,"50s",EmployeeData[[#This Row],[Age]]&gt;=60,"60s")</f>
        <v>50s</v>
      </c>
      <c r="G279" s="5">
        <v>43718</v>
      </c>
      <c r="H279" s="5">
        <v>43908</v>
      </c>
      <c r="I279" t="s">
        <v>65</v>
      </c>
      <c r="J279" t="s">
        <v>13</v>
      </c>
      <c r="K279" cm="1">
        <f t="array" aca="1" ref="K279" ca="1">_xlfn.IFS(EmployeeData[[#This Row],[Status]]="Active",_xlfn.DAYS(TODAY(),EmployeeData[[#This Row],[Join Date]]),EmployeeData[[#This Row],[Status]]="Exited",_xlfn.DAYS(EmployeeData[[#This Row],[Exit Date]],EmployeeData[[#This Row],[Join Date]]))</f>
        <v>190</v>
      </c>
      <c r="L279" cm="1">
        <f t="array" aca="1" ref="L279" ca="1">_xlfn.IFS(EmployeeData[[#This Row],[Status]]="Exited",DATEDIF(EmployeeData[[#This Row],[Join Date]], EmployeeData[[#This Row],[Exit Date]], "Y"),EmployeeData[[#This Row],[Status]]="Active",DATEDIF(EmployeeData[[#This Row],[Join Date]], TODAY(), "Y"))</f>
        <v>0</v>
      </c>
      <c r="Q279" t="str" cm="1">
        <f t="array" aca="1" ref="Q2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8 days</v>
      </c>
    </row>
    <row r="280" spans="1:17" hidden="1" x14ac:dyDescent="0.3">
      <c r="A280">
        <v>1279</v>
      </c>
      <c r="B280" t="s">
        <v>762</v>
      </c>
      <c r="C280" t="s">
        <v>15</v>
      </c>
      <c r="D280" t="s">
        <v>11</v>
      </c>
      <c r="E280">
        <v>30</v>
      </c>
      <c r="F280" t="str" cm="1">
        <f t="array" ref="F280">_xlfn.IFS(EmployeeData[[#This Row],[Age]]&lt;30,"20s",EmployeeData[[#This Row],[Age]]&lt;40,"30s",EmployeeData[[#This Row],[Age]]&lt;50,"40s",EmployeeData[[#This Row],[Age]]&lt;60,"50s",EmployeeData[[#This Row],[Age]]&gt;=60,"60s")</f>
        <v>30s</v>
      </c>
      <c r="G280" s="5">
        <v>44527</v>
      </c>
      <c r="H280" s="5">
        <v>45549</v>
      </c>
      <c r="I280" t="s">
        <v>52</v>
      </c>
      <c r="J280" t="s">
        <v>13</v>
      </c>
      <c r="K280" cm="1">
        <f t="array" aca="1" ref="K280" ca="1">_xlfn.IFS(EmployeeData[[#This Row],[Status]]="Active",_xlfn.DAYS(TODAY(),EmployeeData[[#This Row],[Join Date]]),EmployeeData[[#This Row],[Status]]="Exited",_xlfn.DAYS(EmployeeData[[#This Row],[Exit Date]],EmployeeData[[#This Row],[Join Date]]))</f>
        <v>1022</v>
      </c>
      <c r="L280" cm="1">
        <f t="array" aca="1" ref="L280" ca="1">_xlfn.IFS(EmployeeData[[#This Row],[Status]]="Exited",DATEDIF(EmployeeData[[#This Row],[Join Date]], EmployeeData[[#This Row],[Exit Date]], "Y"),EmployeeData[[#This Row],[Status]]="Active",DATEDIF(EmployeeData[[#This Row],[Join Date]], TODAY(), "Y"))</f>
        <v>2</v>
      </c>
      <c r="Q280" t="str" cm="1">
        <f t="array" aca="1" ref="Q2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81" spans="1:17" x14ac:dyDescent="0.3">
      <c r="A281">
        <v>1280</v>
      </c>
      <c r="B281" t="s">
        <v>765</v>
      </c>
      <c r="C281" t="s">
        <v>10</v>
      </c>
      <c r="D281" t="s">
        <v>11</v>
      </c>
      <c r="E281">
        <v>41</v>
      </c>
      <c r="F281" t="str" cm="1">
        <f t="array" ref="F281">_xlfn.IFS(EmployeeData[[#This Row],[Age]]&lt;30,"20s",EmployeeData[[#This Row],[Age]]&lt;40,"30s",EmployeeData[[#This Row],[Age]]&lt;50,"40s",EmployeeData[[#This Row],[Age]]&lt;60,"50s",EmployeeData[[#This Row],[Age]]&gt;=60,"60s")</f>
        <v>40s</v>
      </c>
      <c r="G281" s="5">
        <v>43376</v>
      </c>
      <c r="H281" s="5">
        <v>43937</v>
      </c>
      <c r="I281" t="s">
        <v>31</v>
      </c>
      <c r="J281" t="s">
        <v>13</v>
      </c>
      <c r="K281" cm="1">
        <f t="array" aca="1" ref="K281" ca="1">_xlfn.IFS(EmployeeData[[#This Row],[Status]]="Active",_xlfn.DAYS(TODAY(),EmployeeData[[#This Row],[Join Date]]),EmployeeData[[#This Row],[Status]]="Exited",_xlfn.DAYS(EmployeeData[[#This Row],[Exit Date]],EmployeeData[[#This Row],[Join Date]]))</f>
        <v>561</v>
      </c>
      <c r="L281" cm="1">
        <f t="array" aca="1" ref="L281" ca="1">_xlfn.IFS(EmployeeData[[#This Row],[Status]]="Exited",DATEDIF(EmployeeData[[#This Row],[Join Date]], EmployeeData[[#This Row],[Exit Date]], "Y"),EmployeeData[[#This Row],[Status]]="Active",DATEDIF(EmployeeData[[#This Row],[Join Date]], TODAY(), "Y"))</f>
        <v>1</v>
      </c>
      <c r="Q281" t="str" cm="1">
        <f t="array" aca="1" ref="Q2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13 days</v>
      </c>
    </row>
    <row r="282" spans="1:17" hidden="1" x14ac:dyDescent="0.3">
      <c r="A282">
        <v>1281</v>
      </c>
      <c r="B282" t="s">
        <v>738</v>
      </c>
      <c r="C282" t="s">
        <v>46</v>
      </c>
      <c r="D282" t="s">
        <v>11</v>
      </c>
      <c r="E282">
        <v>54</v>
      </c>
      <c r="F282" t="str" cm="1">
        <f t="array" ref="F282">_xlfn.IFS(EmployeeData[[#This Row],[Age]]&lt;30,"20s",EmployeeData[[#This Row],[Age]]&lt;40,"30s",EmployeeData[[#This Row],[Age]]&lt;50,"40s",EmployeeData[[#This Row],[Age]]&lt;60,"50s",EmployeeData[[#This Row],[Age]]&gt;=60,"60s")</f>
        <v>50s</v>
      </c>
      <c r="G282" s="5">
        <v>43815</v>
      </c>
      <c r="I282" t="s">
        <v>17</v>
      </c>
      <c r="J282" t="s">
        <v>18</v>
      </c>
      <c r="K282" cm="1">
        <f t="array" aca="1" ref="K282" ca="1">_xlfn.IFS(EmployeeData[[#This Row],[Status]]="Active",_xlfn.DAYS(TODAY(),EmployeeData[[#This Row],[Join Date]]),EmployeeData[[#This Row],[Status]]="Exited",_xlfn.DAYS(EmployeeData[[#This Row],[Exit Date]],EmployeeData[[#This Row],[Join Date]]))</f>
        <v>2382</v>
      </c>
      <c r="L282" cm="1">
        <f t="array" aca="1" ref="L282" ca="1">_xlfn.IFS(EmployeeData[[#This Row],[Status]]="Exited",DATEDIF(EmployeeData[[#This Row],[Join Date]], EmployeeData[[#This Row],[Exit Date]], "Y"),EmployeeData[[#This Row],[Status]]="Active",DATEDIF(EmployeeData[[#This Row],[Join Date]], TODAY(), "Y"))</f>
        <v>6</v>
      </c>
      <c r="Q282" t="str" cm="1">
        <f t="array" aca="1" ref="Q2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8 days</v>
      </c>
    </row>
    <row r="283" spans="1:17" hidden="1" x14ac:dyDescent="0.3">
      <c r="A283">
        <v>1282</v>
      </c>
      <c r="B283" t="s">
        <v>654</v>
      </c>
      <c r="C283" t="s">
        <v>15</v>
      </c>
      <c r="D283" t="s">
        <v>24</v>
      </c>
      <c r="E283">
        <v>32</v>
      </c>
      <c r="F283" t="str" cm="1">
        <f t="array" ref="F283">_xlfn.IFS(EmployeeData[[#This Row],[Age]]&lt;30,"20s",EmployeeData[[#This Row],[Age]]&lt;40,"30s",EmployeeData[[#This Row],[Age]]&lt;50,"40s",EmployeeData[[#This Row],[Age]]&lt;60,"50s",EmployeeData[[#This Row],[Age]]&gt;=60,"60s")</f>
        <v>30s</v>
      </c>
      <c r="G283" s="5">
        <v>43864</v>
      </c>
      <c r="I283" t="s">
        <v>17</v>
      </c>
      <c r="J283" t="s">
        <v>18</v>
      </c>
      <c r="K283" cm="1">
        <f t="array" aca="1" ref="K283" ca="1">_xlfn.IFS(EmployeeData[[#This Row],[Status]]="Active",_xlfn.DAYS(TODAY(),EmployeeData[[#This Row],[Join Date]]),EmployeeData[[#This Row],[Status]]="Exited",_xlfn.DAYS(EmployeeData[[#This Row],[Exit Date]],EmployeeData[[#This Row],[Join Date]]))</f>
        <v>2333</v>
      </c>
      <c r="L283" cm="1">
        <f t="array" aca="1" ref="L283" ca="1">_xlfn.IFS(EmployeeData[[#This Row],[Status]]="Exited",DATEDIF(EmployeeData[[#This Row],[Join Date]], EmployeeData[[#This Row],[Exit Date]], "Y"),EmployeeData[[#This Row],[Status]]="Active",DATEDIF(EmployeeData[[#This Row],[Join Date]], TODAY(), "Y"))</f>
        <v>6</v>
      </c>
      <c r="Q283" t="str" cm="1">
        <f t="array" aca="1" ref="Q2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21 days</v>
      </c>
    </row>
    <row r="284" spans="1:17" hidden="1" x14ac:dyDescent="0.3">
      <c r="A284">
        <v>1283</v>
      </c>
      <c r="B284" t="s">
        <v>793</v>
      </c>
      <c r="C284" t="s">
        <v>10</v>
      </c>
      <c r="D284" t="s">
        <v>24</v>
      </c>
      <c r="E284">
        <v>21</v>
      </c>
      <c r="F284" t="str" cm="1">
        <f t="array" ref="F284">_xlfn.IFS(EmployeeData[[#This Row],[Age]]&lt;30,"20s",EmployeeData[[#This Row],[Age]]&lt;40,"30s",EmployeeData[[#This Row],[Age]]&lt;50,"40s",EmployeeData[[#This Row],[Age]]&lt;60,"50s",EmployeeData[[#This Row],[Age]]&gt;=60,"60s")</f>
        <v>20s</v>
      </c>
      <c r="G284" s="5">
        <v>45987</v>
      </c>
      <c r="H284" s="5">
        <v>46112</v>
      </c>
      <c r="I284" t="s">
        <v>34</v>
      </c>
      <c r="J284" t="s">
        <v>13</v>
      </c>
      <c r="K284" cm="1">
        <f t="array" aca="1" ref="K284" ca="1">_xlfn.IFS(EmployeeData[[#This Row],[Status]]="Active",_xlfn.DAYS(TODAY(),EmployeeData[[#This Row],[Join Date]]),EmployeeData[[#This Row],[Status]]="Exited",_xlfn.DAYS(EmployeeData[[#This Row],[Exit Date]],EmployeeData[[#This Row],[Join Date]]))</f>
        <v>125</v>
      </c>
      <c r="L284" cm="1">
        <f t="array" aca="1" ref="L284" ca="1">_xlfn.IFS(EmployeeData[[#This Row],[Status]]="Exited",DATEDIF(EmployeeData[[#This Row],[Join Date]], EmployeeData[[#This Row],[Exit Date]], "Y"),EmployeeData[[#This Row],[Status]]="Active",DATEDIF(EmployeeData[[#This Row],[Join Date]], TODAY(), "Y"))</f>
        <v>0</v>
      </c>
      <c r="Q284" t="str" cm="1">
        <f t="array" aca="1" ref="Q2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5 days</v>
      </c>
    </row>
    <row r="285" spans="1:17" hidden="1" x14ac:dyDescent="0.3">
      <c r="A285">
        <v>1284</v>
      </c>
      <c r="B285" t="s">
        <v>379</v>
      </c>
      <c r="C285" t="s">
        <v>10</v>
      </c>
      <c r="D285" t="s">
        <v>16</v>
      </c>
      <c r="E285">
        <v>28</v>
      </c>
      <c r="F285" t="str" cm="1">
        <f t="array" ref="F285">_xlfn.IFS(EmployeeData[[#This Row],[Age]]&lt;30,"20s",EmployeeData[[#This Row],[Age]]&lt;40,"30s",EmployeeData[[#This Row],[Age]]&lt;50,"40s",EmployeeData[[#This Row],[Age]]&lt;60,"50s",EmployeeData[[#This Row],[Age]]&gt;=60,"60s")</f>
        <v>20s</v>
      </c>
      <c r="G285" s="5">
        <v>44175</v>
      </c>
      <c r="I285" t="s">
        <v>17</v>
      </c>
      <c r="J285" t="s">
        <v>18</v>
      </c>
      <c r="K285" cm="1">
        <f t="array" aca="1" ref="K285" ca="1">_xlfn.IFS(EmployeeData[[#This Row],[Status]]="Active",_xlfn.DAYS(TODAY(),EmployeeData[[#This Row],[Join Date]]),EmployeeData[[#This Row],[Status]]="Exited",_xlfn.DAYS(EmployeeData[[#This Row],[Exit Date]],EmployeeData[[#This Row],[Join Date]]))</f>
        <v>2022</v>
      </c>
      <c r="L285" cm="1">
        <f t="array" aca="1" ref="L285" ca="1">_xlfn.IFS(EmployeeData[[#This Row],[Status]]="Exited",DATEDIF(EmployeeData[[#This Row],[Join Date]], EmployeeData[[#This Row],[Exit Date]], "Y"),EmployeeData[[#This Row],[Status]]="Active",DATEDIF(EmployeeData[[#This Row],[Join Date]], TODAY(), "Y"))</f>
        <v>5</v>
      </c>
      <c r="Q285" t="str" cm="1">
        <f t="array" aca="1" ref="Q2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14 days</v>
      </c>
    </row>
    <row r="286" spans="1:17" hidden="1" x14ac:dyDescent="0.3">
      <c r="A286">
        <v>1285</v>
      </c>
      <c r="B286" t="s">
        <v>1038</v>
      </c>
      <c r="C286" t="s">
        <v>10</v>
      </c>
      <c r="D286" t="s">
        <v>24</v>
      </c>
      <c r="E286">
        <v>46</v>
      </c>
      <c r="F286" t="str" cm="1">
        <f t="array" ref="F286">_xlfn.IFS(EmployeeData[[#This Row],[Age]]&lt;30,"20s",EmployeeData[[#This Row],[Age]]&lt;40,"30s",EmployeeData[[#This Row],[Age]]&lt;50,"40s",EmployeeData[[#This Row],[Age]]&lt;60,"50s",EmployeeData[[#This Row],[Age]]&gt;=60,"60s")</f>
        <v>40s</v>
      </c>
      <c r="G286" s="5">
        <v>45505</v>
      </c>
      <c r="H286" s="5">
        <v>45955</v>
      </c>
      <c r="I286" t="s">
        <v>52</v>
      </c>
      <c r="J286" t="s">
        <v>13</v>
      </c>
      <c r="K286" cm="1">
        <f t="array" aca="1" ref="K286" ca="1">_xlfn.IFS(EmployeeData[[#This Row],[Status]]="Active",_xlfn.DAYS(TODAY(),EmployeeData[[#This Row],[Join Date]]),EmployeeData[[#This Row],[Status]]="Exited",_xlfn.DAYS(EmployeeData[[#This Row],[Exit Date]],EmployeeData[[#This Row],[Join Date]]))</f>
        <v>450</v>
      </c>
      <c r="L286" cm="1">
        <f t="array" aca="1" ref="L286" ca="1">_xlfn.IFS(EmployeeData[[#This Row],[Status]]="Exited",DATEDIF(EmployeeData[[#This Row],[Join Date]], EmployeeData[[#This Row],[Exit Date]], "Y"),EmployeeData[[#This Row],[Status]]="Active",DATEDIF(EmployeeData[[#This Row],[Join Date]], TODAY(), "Y"))</f>
        <v>1</v>
      </c>
      <c r="Q286" t="str" cm="1">
        <f t="array" aca="1" ref="Q2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87" spans="1:17" hidden="1" x14ac:dyDescent="0.3">
      <c r="A287">
        <v>1286</v>
      </c>
      <c r="B287" t="s">
        <v>468</v>
      </c>
      <c r="C287" t="s">
        <v>10</v>
      </c>
      <c r="D287" t="s">
        <v>24</v>
      </c>
      <c r="E287">
        <v>53</v>
      </c>
      <c r="F287" t="str" cm="1">
        <f t="array" ref="F287">_xlfn.IFS(EmployeeData[[#This Row],[Age]]&lt;30,"20s",EmployeeData[[#This Row],[Age]]&lt;40,"30s",EmployeeData[[#This Row],[Age]]&lt;50,"40s",EmployeeData[[#This Row],[Age]]&lt;60,"50s",EmployeeData[[#This Row],[Age]]&gt;=60,"60s")</f>
        <v>50s</v>
      </c>
      <c r="G287" s="5">
        <v>45853</v>
      </c>
      <c r="H287" s="5">
        <v>45973</v>
      </c>
      <c r="I287" t="s">
        <v>26</v>
      </c>
      <c r="J287" t="s">
        <v>13</v>
      </c>
      <c r="K287" cm="1">
        <f t="array" aca="1" ref="K287" ca="1">_xlfn.IFS(EmployeeData[[#This Row],[Status]]="Active",_xlfn.DAYS(TODAY(),EmployeeData[[#This Row],[Join Date]]),EmployeeData[[#This Row],[Status]]="Exited",_xlfn.DAYS(EmployeeData[[#This Row],[Exit Date]],EmployeeData[[#This Row],[Join Date]]))</f>
        <v>120</v>
      </c>
      <c r="L287" cm="1">
        <f t="array" aca="1" ref="L287" ca="1">_xlfn.IFS(EmployeeData[[#This Row],[Status]]="Exited",DATEDIF(EmployeeData[[#This Row],[Join Date]], EmployeeData[[#This Row],[Exit Date]], "Y"),EmployeeData[[#This Row],[Status]]="Active",DATEDIF(EmployeeData[[#This Row],[Join Date]], TODAY(), "Y"))</f>
        <v>0</v>
      </c>
      <c r="Q287" t="str" cm="1">
        <f t="array" aca="1" ref="Q2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28 days</v>
      </c>
    </row>
    <row r="288" spans="1:17" hidden="1" x14ac:dyDescent="0.3">
      <c r="A288">
        <v>1287</v>
      </c>
      <c r="B288" t="s">
        <v>980</v>
      </c>
      <c r="C288" t="s">
        <v>23</v>
      </c>
      <c r="D288" t="s">
        <v>24</v>
      </c>
      <c r="E288">
        <v>29</v>
      </c>
      <c r="F288" t="str" cm="1">
        <f t="array" ref="F288">_xlfn.IFS(EmployeeData[[#This Row],[Age]]&lt;30,"20s",EmployeeData[[#This Row],[Age]]&lt;40,"30s",EmployeeData[[#This Row],[Age]]&lt;50,"40s",EmployeeData[[#This Row],[Age]]&lt;60,"50s",EmployeeData[[#This Row],[Age]]&gt;=60,"60s")</f>
        <v>20s</v>
      </c>
      <c r="G288" s="5">
        <v>45455</v>
      </c>
      <c r="I288" t="s">
        <v>17</v>
      </c>
      <c r="J288" t="s">
        <v>18</v>
      </c>
      <c r="K288" cm="1">
        <f t="array" aca="1" ref="K288" ca="1">_xlfn.IFS(EmployeeData[[#This Row],[Status]]="Active",_xlfn.DAYS(TODAY(),EmployeeData[[#This Row],[Join Date]]),EmployeeData[[#This Row],[Status]]="Exited",_xlfn.DAYS(EmployeeData[[#This Row],[Exit Date]],EmployeeData[[#This Row],[Join Date]]))</f>
        <v>742</v>
      </c>
      <c r="L288" cm="1">
        <f t="array" aca="1" ref="L288" ca="1">_xlfn.IFS(EmployeeData[[#This Row],[Status]]="Exited",DATEDIF(EmployeeData[[#This Row],[Join Date]], EmployeeData[[#This Row],[Exit Date]], "Y"),EmployeeData[[#This Row],[Status]]="Active",DATEDIF(EmployeeData[[#This Row],[Join Date]], TODAY(), "Y"))</f>
        <v>2</v>
      </c>
      <c r="Q288" t="str" cm="1">
        <f t="array" aca="1" ref="Q2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12 days</v>
      </c>
    </row>
    <row r="289" spans="1:17" hidden="1" x14ac:dyDescent="0.3">
      <c r="A289">
        <v>1288</v>
      </c>
      <c r="B289" t="s">
        <v>204</v>
      </c>
      <c r="C289" t="s">
        <v>20</v>
      </c>
      <c r="D289" t="s">
        <v>24</v>
      </c>
      <c r="E289">
        <v>32</v>
      </c>
      <c r="F289" t="str" cm="1">
        <f t="array" ref="F289">_xlfn.IFS(EmployeeData[[#This Row],[Age]]&lt;30,"20s",EmployeeData[[#This Row],[Age]]&lt;40,"30s",EmployeeData[[#This Row],[Age]]&lt;50,"40s",EmployeeData[[#This Row],[Age]]&lt;60,"50s",EmployeeData[[#This Row],[Age]]&gt;=60,"60s")</f>
        <v>30s</v>
      </c>
      <c r="G289" s="5">
        <v>45373</v>
      </c>
      <c r="H289" s="5">
        <v>45758</v>
      </c>
      <c r="I289" t="s">
        <v>31</v>
      </c>
      <c r="J289" t="s">
        <v>13</v>
      </c>
      <c r="K289" cm="1">
        <f t="array" aca="1" ref="K289" ca="1">_xlfn.IFS(EmployeeData[[#This Row],[Status]]="Active",_xlfn.DAYS(TODAY(),EmployeeData[[#This Row],[Join Date]]),EmployeeData[[#This Row],[Status]]="Exited",_xlfn.DAYS(EmployeeData[[#This Row],[Exit Date]],EmployeeData[[#This Row],[Join Date]]))</f>
        <v>385</v>
      </c>
      <c r="L289" cm="1">
        <f t="array" aca="1" ref="L289" ca="1">_xlfn.IFS(EmployeeData[[#This Row],[Status]]="Exited",DATEDIF(EmployeeData[[#This Row],[Join Date]], EmployeeData[[#This Row],[Exit Date]], "Y"),EmployeeData[[#This Row],[Status]]="Active",DATEDIF(EmployeeData[[#This Row],[Join Date]], TODAY(), "Y"))</f>
        <v>1</v>
      </c>
      <c r="Q289" t="str" cm="1">
        <f t="array" aca="1" ref="Q2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290" spans="1:17" hidden="1" x14ac:dyDescent="0.3">
      <c r="A290">
        <v>1289</v>
      </c>
      <c r="B290" t="s">
        <v>366</v>
      </c>
      <c r="C290" t="s">
        <v>33</v>
      </c>
      <c r="D290" t="s">
        <v>11</v>
      </c>
      <c r="E290">
        <v>52</v>
      </c>
      <c r="F290" t="str" cm="1">
        <f t="array" ref="F290">_xlfn.IFS(EmployeeData[[#This Row],[Age]]&lt;30,"20s",EmployeeData[[#This Row],[Age]]&lt;40,"30s",EmployeeData[[#This Row],[Age]]&lt;50,"40s",EmployeeData[[#This Row],[Age]]&lt;60,"50s",EmployeeData[[#This Row],[Age]]&gt;=60,"60s")</f>
        <v>50s</v>
      </c>
      <c r="G290" s="5">
        <v>43660</v>
      </c>
      <c r="H290" s="5">
        <v>45322</v>
      </c>
      <c r="I290" t="s">
        <v>21</v>
      </c>
      <c r="J290" t="s">
        <v>13</v>
      </c>
      <c r="K290" cm="1">
        <f t="array" aca="1" ref="K290" ca="1">_xlfn.IFS(EmployeeData[[#This Row],[Status]]="Active",_xlfn.DAYS(TODAY(),EmployeeData[[#This Row],[Join Date]]),EmployeeData[[#This Row],[Status]]="Exited",_xlfn.DAYS(EmployeeData[[#This Row],[Exit Date]],EmployeeData[[#This Row],[Join Date]]))</f>
        <v>1662</v>
      </c>
      <c r="L290" cm="1">
        <f t="array" aca="1" ref="L290" ca="1">_xlfn.IFS(EmployeeData[[#This Row],[Status]]="Exited",DATEDIF(EmployeeData[[#This Row],[Join Date]], EmployeeData[[#This Row],[Exit Date]], "Y"),EmployeeData[[#This Row],[Status]]="Active",DATEDIF(EmployeeData[[#This Row],[Join Date]], TODAY(), "Y"))</f>
        <v>4</v>
      </c>
      <c r="Q290" t="str" cm="1">
        <f t="array" aca="1" ref="Q2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17 days</v>
      </c>
    </row>
    <row r="291" spans="1:17" hidden="1" x14ac:dyDescent="0.3">
      <c r="A291">
        <v>1290</v>
      </c>
      <c r="B291" t="s">
        <v>550</v>
      </c>
      <c r="C291" t="s">
        <v>10</v>
      </c>
      <c r="D291" t="s">
        <v>11</v>
      </c>
      <c r="E291">
        <v>52</v>
      </c>
      <c r="F291" t="str" cm="1">
        <f t="array" ref="F291">_xlfn.IFS(EmployeeData[[#This Row],[Age]]&lt;30,"20s",EmployeeData[[#This Row],[Age]]&lt;40,"30s",EmployeeData[[#This Row],[Age]]&lt;50,"40s",EmployeeData[[#This Row],[Age]]&lt;60,"50s",EmployeeData[[#This Row],[Age]]&gt;=60,"60s")</f>
        <v>50s</v>
      </c>
      <c r="G291" s="5">
        <v>43786</v>
      </c>
      <c r="H291" s="5">
        <v>44002</v>
      </c>
      <c r="I291" t="s">
        <v>52</v>
      </c>
      <c r="J291" t="s">
        <v>13</v>
      </c>
      <c r="K291" cm="1">
        <f t="array" aca="1" ref="K291" ca="1">_xlfn.IFS(EmployeeData[[#This Row],[Status]]="Active",_xlfn.DAYS(TODAY(),EmployeeData[[#This Row],[Join Date]]),EmployeeData[[#This Row],[Status]]="Exited",_xlfn.DAYS(EmployeeData[[#This Row],[Exit Date]],EmployeeData[[#This Row],[Join Date]]))</f>
        <v>216</v>
      </c>
      <c r="L291" cm="1">
        <f t="array" aca="1" ref="L291" ca="1">_xlfn.IFS(EmployeeData[[#This Row],[Status]]="Exited",DATEDIF(EmployeeData[[#This Row],[Join Date]], EmployeeData[[#This Row],[Exit Date]], "Y"),EmployeeData[[#This Row],[Status]]="Active",DATEDIF(EmployeeData[[#This Row],[Join Date]], TODAY(), "Y"))</f>
        <v>0</v>
      </c>
      <c r="Q291" t="str" cm="1">
        <f t="array" aca="1" ref="Q2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3 days</v>
      </c>
    </row>
    <row r="292" spans="1:17" hidden="1" x14ac:dyDescent="0.3">
      <c r="A292">
        <v>1291</v>
      </c>
      <c r="B292" t="s">
        <v>942</v>
      </c>
      <c r="C292" t="s">
        <v>23</v>
      </c>
      <c r="D292" t="s">
        <v>16</v>
      </c>
      <c r="E292">
        <v>50</v>
      </c>
      <c r="F292" t="str" cm="1">
        <f t="array" ref="F292">_xlfn.IFS(EmployeeData[[#This Row],[Age]]&lt;30,"20s",EmployeeData[[#This Row],[Age]]&lt;40,"30s",EmployeeData[[#This Row],[Age]]&lt;50,"40s",EmployeeData[[#This Row],[Age]]&lt;60,"50s",EmployeeData[[#This Row],[Age]]&gt;=60,"60s")</f>
        <v>50s</v>
      </c>
      <c r="G292" s="5">
        <v>45417</v>
      </c>
      <c r="I292" t="s">
        <v>17</v>
      </c>
      <c r="J292" t="s">
        <v>18</v>
      </c>
      <c r="K292" cm="1">
        <f t="array" aca="1" ref="K292" ca="1">_xlfn.IFS(EmployeeData[[#This Row],[Status]]="Active",_xlfn.DAYS(TODAY(),EmployeeData[[#This Row],[Join Date]]),EmployeeData[[#This Row],[Status]]="Exited",_xlfn.DAYS(EmployeeData[[#This Row],[Exit Date]],EmployeeData[[#This Row],[Join Date]]))</f>
        <v>780</v>
      </c>
      <c r="L292" cm="1">
        <f t="array" aca="1" ref="L292" ca="1">_xlfn.IFS(EmployeeData[[#This Row],[Status]]="Exited",DATEDIF(EmployeeData[[#This Row],[Join Date]], EmployeeData[[#This Row],[Exit Date]], "Y"),EmployeeData[[#This Row],[Status]]="Active",DATEDIF(EmployeeData[[#This Row],[Join Date]], TODAY(), "Y"))</f>
        <v>2</v>
      </c>
      <c r="Q292" t="str" cm="1">
        <f t="array" aca="1" ref="Q2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19 days</v>
      </c>
    </row>
    <row r="293" spans="1:17" hidden="1" x14ac:dyDescent="0.3">
      <c r="A293">
        <v>1292</v>
      </c>
      <c r="B293" t="s">
        <v>865</v>
      </c>
      <c r="C293" t="s">
        <v>10</v>
      </c>
      <c r="D293" t="s">
        <v>24</v>
      </c>
      <c r="E293">
        <v>44</v>
      </c>
      <c r="F293" t="str" cm="1">
        <f t="array" ref="F293">_xlfn.IFS(EmployeeData[[#This Row],[Age]]&lt;30,"20s",EmployeeData[[#This Row],[Age]]&lt;40,"30s",EmployeeData[[#This Row],[Age]]&lt;50,"40s",EmployeeData[[#This Row],[Age]]&lt;60,"50s",EmployeeData[[#This Row],[Age]]&gt;=60,"60s")</f>
        <v>40s</v>
      </c>
      <c r="G293" s="5">
        <v>45321</v>
      </c>
      <c r="I293" t="s">
        <v>17</v>
      </c>
      <c r="J293" t="s">
        <v>18</v>
      </c>
      <c r="K293" cm="1">
        <f t="array" aca="1" ref="K293" ca="1">_xlfn.IFS(EmployeeData[[#This Row],[Status]]="Active",_xlfn.DAYS(TODAY(),EmployeeData[[#This Row],[Join Date]]),EmployeeData[[#This Row],[Status]]="Exited",_xlfn.DAYS(EmployeeData[[#This Row],[Exit Date]],EmployeeData[[#This Row],[Join Date]]))</f>
        <v>876</v>
      </c>
      <c r="L293" cm="1">
        <f t="array" aca="1" ref="L293" ca="1">_xlfn.IFS(EmployeeData[[#This Row],[Status]]="Exited",DATEDIF(EmployeeData[[#This Row],[Join Date]], EmployeeData[[#This Row],[Exit Date]], "Y"),EmployeeData[[#This Row],[Status]]="Active",DATEDIF(EmployeeData[[#This Row],[Join Date]], TODAY(), "Y"))</f>
        <v>2</v>
      </c>
      <c r="Q293" t="str" cm="1">
        <f t="array" aca="1" ref="Q2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294" spans="1:17" hidden="1" x14ac:dyDescent="0.3">
      <c r="A294">
        <v>1293</v>
      </c>
      <c r="B294" t="s">
        <v>422</v>
      </c>
      <c r="C294" t="s">
        <v>46</v>
      </c>
      <c r="D294" t="s">
        <v>16</v>
      </c>
      <c r="E294">
        <v>36</v>
      </c>
      <c r="F294" t="str" cm="1">
        <f t="array" ref="F294">_xlfn.IFS(EmployeeData[[#This Row],[Age]]&lt;30,"20s",EmployeeData[[#This Row],[Age]]&lt;40,"30s",EmployeeData[[#This Row],[Age]]&lt;50,"40s",EmployeeData[[#This Row],[Age]]&lt;60,"50s",EmployeeData[[#This Row],[Age]]&gt;=60,"60s")</f>
        <v>30s</v>
      </c>
      <c r="G294" s="5">
        <v>44320</v>
      </c>
      <c r="I294" t="s">
        <v>17</v>
      </c>
      <c r="J294" t="s">
        <v>18</v>
      </c>
      <c r="K294" cm="1">
        <f t="array" aca="1" ref="K294" ca="1">_xlfn.IFS(EmployeeData[[#This Row],[Status]]="Active",_xlfn.DAYS(TODAY(),EmployeeData[[#This Row],[Join Date]]),EmployeeData[[#This Row],[Status]]="Exited",_xlfn.DAYS(EmployeeData[[#This Row],[Exit Date]],EmployeeData[[#This Row],[Join Date]]))</f>
        <v>1877</v>
      </c>
      <c r="L294" cm="1">
        <f t="array" aca="1" ref="L294" ca="1">_xlfn.IFS(EmployeeData[[#This Row],[Status]]="Exited",DATEDIF(EmployeeData[[#This Row],[Join Date]], EmployeeData[[#This Row],[Exit Date]], "Y"),EmployeeData[[#This Row],[Status]]="Active",DATEDIF(EmployeeData[[#This Row],[Join Date]], TODAY(), "Y"))</f>
        <v>5</v>
      </c>
      <c r="Q294" t="str" cm="1">
        <f t="array" aca="1" ref="Q2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20 days</v>
      </c>
    </row>
    <row r="295" spans="1:17" hidden="1" x14ac:dyDescent="0.3">
      <c r="A295">
        <v>1294</v>
      </c>
      <c r="B295" t="s">
        <v>786</v>
      </c>
      <c r="C295" t="s">
        <v>10</v>
      </c>
      <c r="D295" t="s">
        <v>11</v>
      </c>
      <c r="E295">
        <v>36</v>
      </c>
      <c r="F295" t="str" cm="1">
        <f t="array" ref="F295">_xlfn.IFS(EmployeeData[[#This Row],[Age]]&lt;30,"20s",EmployeeData[[#This Row],[Age]]&lt;40,"30s",EmployeeData[[#This Row],[Age]]&lt;50,"40s",EmployeeData[[#This Row],[Age]]&lt;60,"50s",EmployeeData[[#This Row],[Age]]&gt;=60,"60s")</f>
        <v>30s</v>
      </c>
      <c r="G295" s="5">
        <v>43960</v>
      </c>
      <c r="I295" t="s">
        <v>17</v>
      </c>
      <c r="J295" t="s">
        <v>18</v>
      </c>
      <c r="K295" cm="1">
        <f t="array" aca="1" ref="K295" ca="1">_xlfn.IFS(EmployeeData[[#This Row],[Status]]="Active",_xlfn.DAYS(TODAY(),EmployeeData[[#This Row],[Join Date]]),EmployeeData[[#This Row],[Status]]="Exited",_xlfn.DAYS(EmployeeData[[#This Row],[Exit Date]],EmployeeData[[#This Row],[Join Date]]))</f>
        <v>2237</v>
      </c>
      <c r="L295" cm="1">
        <f t="array" aca="1" ref="L295" ca="1">_xlfn.IFS(EmployeeData[[#This Row],[Status]]="Exited",DATEDIF(EmployeeData[[#This Row],[Join Date]], EmployeeData[[#This Row],[Exit Date]], "Y"),EmployeeData[[#This Row],[Status]]="Active",DATEDIF(EmployeeData[[#This Row],[Join Date]], TODAY(), "Y"))</f>
        <v>6</v>
      </c>
      <c r="Q295" t="str" cm="1">
        <f t="array" aca="1" ref="Q2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15 days</v>
      </c>
    </row>
    <row r="296" spans="1:17" hidden="1" x14ac:dyDescent="0.3">
      <c r="A296">
        <v>1295</v>
      </c>
      <c r="B296" t="s">
        <v>321</v>
      </c>
      <c r="C296" t="s">
        <v>15</v>
      </c>
      <c r="D296" t="s">
        <v>16</v>
      </c>
      <c r="E296">
        <v>34</v>
      </c>
      <c r="F296" t="str" cm="1">
        <f t="array" ref="F296">_xlfn.IFS(EmployeeData[[#This Row],[Age]]&lt;30,"20s",EmployeeData[[#This Row],[Age]]&lt;40,"30s",EmployeeData[[#This Row],[Age]]&lt;50,"40s",EmployeeData[[#This Row],[Age]]&lt;60,"50s",EmployeeData[[#This Row],[Age]]&gt;=60,"60s")</f>
        <v>30s</v>
      </c>
      <c r="G296" s="5">
        <v>43948</v>
      </c>
      <c r="I296" t="s">
        <v>17</v>
      </c>
      <c r="J296" t="s">
        <v>18</v>
      </c>
      <c r="K296" cm="1">
        <f t="array" aca="1" ref="K296" ca="1">_xlfn.IFS(EmployeeData[[#This Row],[Status]]="Active",_xlfn.DAYS(TODAY(),EmployeeData[[#This Row],[Join Date]]),EmployeeData[[#This Row],[Status]]="Exited",_xlfn.DAYS(EmployeeData[[#This Row],[Exit Date]],EmployeeData[[#This Row],[Join Date]]))</f>
        <v>2249</v>
      </c>
      <c r="L296" cm="1">
        <f t="array" aca="1" ref="L296" ca="1">_xlfn.IFS(EmployeeData[[#This Row],[Status]]="Exited",DATEDIF(EmployeeData[[#This Row],[Join Date]], EmployeeData[[#This Row],[Exit Date]], "Y"),EmployeeData[[#This Row],[Status]]="Active",DATEDIF(EmployeeData[[#This Row],[Join Date]], TODAY(), "Y"))</f>
        <v>6</v>
      </c>
      <c r="Q296" t="str" cm="1">
        <f t="array" aca="1" ref="Q2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28 days</v>
      </c>
    </row>
    <row r="297" spans="1:17" hidden="1" x14ac:dyDescent="0.3">
      <c r="A297">
        <v>1296</v>
      </c>
      <c r="B297" t="s">
        <v>154</v>
      </c>
      <c r="C297" t="s">
        <v>10</v>
      </c>
      <c r="D297" t="s">
        <v>11</v>
      </c>
      <c r="E297">
        <v>39</v>
      </c>
      <c r="F297" t="str" cm="1">
        <f t="array" ref="F297">_xlfn.IFS(EmployeeData[[#This Row],[Age]]&lt;30,"20s",EmployeeData[[#This Row],[Age]]&lt;40,"30s",EmployeeData[[#This Row],[Age]]&lt;50,"40s",EmployeeData[[#This Row],[Age]]&lt;60,"50s",EmployeeData[[#This Row],[Age]]&gt;=60,"60s")</f>
        <v>30s</v>
      </c>
      <c r="G297" s="5">
        <v>45446</v>
      </c>
      <c r="H297" s="5">
        <v>46062</v>
      </c>
      <c r="I297" t="s">
        <v>21</v>
      </c>
      <c r="J297" t="s">
        <v>13</v>
      </c>
      <c r="K297" cm="1">
        <f t="array" aca="1" ref="K297" ca="1">_xlfn.IFS(EmployeeData[[#This Row],[Status]]="Active",_xlfn.DAYS(TODAY(),EmployeeData[[#This Row],[Join Date]]),EmployeeData[[#This Row],[Status]]="Exited",_xlfn.DAYS(EmployeeData[[#This Row],[Exit Date]],EmployeeData[[#This Row],[Join Date]]))</f>
        <v>616</v>
      </c>
      <c r="L297" cm="1">
        <f t="array" aca="1" ref="L297" ca="1">_xlfn.IFS(EmployeeData[[#This Row],[Status]]="Exited",DATEDIF(EmployeeData[[#This Row],[Join Date]], EmployeeData[[#This Row],[Exit Date]], "Y"),EmployeeData[[#This Row],[Status]]="Active",DATEDIF(EmployeeData[[#This Row],[Join Date]], TODAY(), "Y"))</f>
        <v>1</v>
      </c>
      <c r="Q297" t="str" cm="1">
        <f t="array" aca="1" ref="Q2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298" spans="1:17" hidden="1" x14ac:dyDescent="0.3">
      <c r="A298">
        <v>1297</v>
      </c>
      <c r="B298" t="s">
        <v>910</v>
      </c>
      <c r="C298" t="s">
        <v>33</v>
      </c>
      <c r="D298" t="s">
        <v>11</v>
      </c>
      <c r="E298">
        <v>60</v>
      </c>
      <c r="F298" t="str" cm="1">
        <f t="array" ref="F298">_xlfn.IFS(EmployeeData[[#This Row],[Age]]&lt;30,"20s",EmployeeData[[#This Row],[Age]]&lt;40,"30s",EmployeeData[[#This Row],[Age]]&lt;50,"40s",EmployeeData[[#This Row],[Age]]&lt;60,"50s",EmployeeData[[#This Row],[Age]]&gt;=60,"60s")</f>
        <v>60s</v>
      </c>
      <c r="G298" s="5">
        <v>45787</v>
      </c>
      <c r="H298" s="5">
        <v>45944</v>
      </c>
      <c r="I298" t="s">
        <v>26</v>
      </c>
      <c r="J298" t="s">
        <v>13</v>
      </c>
      <c r="K298" cm="1">
        <f t="array" aca="1" ref="K298" ca="1">_xlfn.IFS(EmployeeData[[#This Row],[Status]]="Active",_xlfn.DAYS(TODAY(),EmployeeData[[#This Row],[Join Date]]),EmployeeData[[#This Row],[Status]]="Exited",_xlfn.DAYS(EmployeeData[[#This Row],[Exit Date]],EmployeeData[[#This Row],[Join Date]]))</f>
        <v>157</v>
      </c>
      <c r="L298" cm="1">
        <f t="array" aca="1" ref="L298" ca="1">_xlfn.IFS(EmployeeData[[#This Row],[Status]]="Exited",DATEDIF(EmployeeData[[#This Row],[Join Date]], EmployeeData[[#This Row],[Exit Date]], "Y"),EmployeeData[[#This Row],[Status]]="Active",DATEDIF(EmployeeData[[#This Row],[Join Date]], TODAY(), "Y"))</f>
        <v>0</v>
      </c>
      <c r="Q298" t="str" cm="1">
        <f t="array" aca="1" ref="Q2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4 days</v>
      </c>
    </row>
    <row r="299" spans="1:17" hidden="1" x14ac:dyDescent="0.3">
      <c r="A299">
        <v>1298</v>
      </c>
      <c r="B299" t="s">
        <v>1006</v>
      </c>
      <c r="C299" t="s">
        <v>23</v>
      </c>
      <c r="D299" t="s">
        <v>16</v>
      </c>
      <c r="E299">
        <v>47</v>
      </c>
      <c r="F299" t="str" cm="1">
        <f t="array" ref="F299">_xlfn.IFS(EmployeeData[[#This Row],[Age]]&lt;30,"20s",EmployeeData[[#This Row],[Age]]&lt;40,"30s",EmployeeData[[#This Row],[Age]]&lt;50,"40s",EmployeeData[[#This Row],[Age]]&lt;60,"50s",EmployeeData[[#This Row],[Age]]&gt;=60,"60s")</f>
        <v>40s</v>
      </c>
      <c r="G299" s="5">
        <v>44637</v>
      </c>
      <c r="I299" t="s">
        <v>17</v>
      </c>
      <c r="J299" t="s">
        <v>18</v>
      </c>
      <c r="K299" cm="1">
        <f t="array" aca="1" ref="K299" ca="1">_xlfn.IFS(EmployeeData[[#This Row],[Status]]="Active",_xlfn.DAYS(TODAY(),EmployeeData[[#This Row],[Join Date]]),EmployeeData[[#This Row],[Status]]="Exited",_xlfn.DAYS(EmployeeData[[#This Row],[Exit Date]],EmployeeData[[#This Row],[Join Date]]))</f>
        <v>1560</v>
      </c>
      <c r="L299" cm="1">
        <f t="array" aca="1" ref="L299" ca="1">_xlfn.IFS(EmployeeData[[#This Row],[Status]]="Exited",DATEDIF(EmployeeData[[#This Row],[Join Date]], EmployeeData[[#This Row],[Exit Date]], "Y"),EmployeeData[[#This Row],[Status]]="Active",DATEDIF(EmployeeData[[#This Row],[Join Date]], TODAY(), "Y"))</f>
        <v>4</v>
      </c>
      <c r="Q299" t="str" cm="1">
        <f t="array" aca="1" ref="Q2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7 days</v>
      </c>
    </row>
    <row r="300" spans="1:17" hidden="1" x14ac:dyDescent="0.3">
      <c r="A300">
        <v>1299</v>
      </c>
      <c r="B300" t="s">
        <v>1041</v>
      </c>
      <c r="C300" t="s">
        <v>20</v>
      </c>
      <c r="D300" t="s">
        <v>11</v>
      </c>
      <c r="E300">
        <v>50</v>
      </c>
      <c r="F300" t="str" cm="1">
        <f t="array" ref="F300">_xlfn.IFS(EmployeeData[[#This Row],[Age]]&lt;30,"20s",EmployeeData[[#This Row],[Age]]&lt;40,"30s",EmployeeData[[#This Row],[Age]]&lt;50,"40s",EmployeeData[[#This Row],[Age]]&lt;60,"50s",EmployeeData[[#This Row],[Age]]&gt;=60,"60s")</f>
        <v>50s</v>
      </c>
      <c r="G300" s="5">
        <v>45100</v>
      </c>
      <c r="H300" s="5">
        <v>45192</v>
      </c>
      <c r="I300" t="s">
        <v>52</v>
      </c>
      <c r="J300" t="s">
        <v>13</v>
      </c>
      <c r="K300" cm="1">
        <f t="array" aca="1" ref="K300" ca="1">_xlfn.IFS(EmployeeData[[#This Row],[Status]]="Active",_xlfn.DAYS(TODAY(),EmployeeData[[#This Row],[Join Date]]),EmployeeData[[#This Row],[Status]]="Exited",_xlfn.DAYS(EmployeeData[[#This Row],[Exit Date]],EmployeeData[[#This Row],[Join Date]]))</f>
        <v>92</v>
      </c>
      <c r="L300" cm="1">
        <f t="array" aca="1" ref="L300" ca="1">_xlfn.IFS(EmployeeData[[#This Row],[Status]]="Exited",DATEDIF(EmployeeData[[#This Row],[Join Date]], EmployeeData[[#This Row],[Exit Date]], "Y"),EmployeeData[[#This Row],[Status]]="Active",DATEDIF(EmployeeData[[#This Row],[Join Date]], TODAY(), "Y"))</f>
        <v>0</v>
      </c>
      <c r="Q300" t="str" cm="1">
        <f t="array" aca="1" ref="Q3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0 days</v>
      </c>
    </row>
    <row r="301" spans="1:17" hidden="1" x14ac:dyDescent="0.3">
      <c r="A301">
        <v>1300</v>
      </c>
      <c r="B301" t="s">
        <v>40</v>
      </c>
      <c r="C301" t="s">
        <v>23</v>
      </c>
      <c r="D301" t="s">
        <v>11</v>
      </c>
      <c r="E301">
        <v>25</v>
      </c>
      <c r="F301" t="str" cm="1">
        <f t="array" ref="F301">_xlfn.IFS(EmployeeData[[#This Row],[Age]]&lt;30,"20s",EmployeeData[[#This Row],[Age]]&lt;40,"30s",EmployeeData[[#This Row],[Age]]&lt;50,"40s",EmployeeData[[#This Row],[Age]]&lt;60,"50s",EmployeeData[[#This Row],[Age]]&gt;=60,"60s")</f>
        <v>20s</v>
      </c>
      <c r="G301" s="5">
        <v>45290</v>
      </c>
      <c r="I301" t="s">
        <v>17</v>
      </c>
      <c r="J301" t="s">
        <v>18</v>
      </c>
      <c r="K301" cm="1">
        <f t="array" aca="1" ref="K301" ca="1">_xlfn.IFS(EmployeeData[[#This Row],[Status]]="Active",_xlfn.DAYS(TODAY(),EmployeeData[[#This Row],[Join Date]]),EmployeeData[[#This Row],[Status]]="Exited",_xlfn.DAYS(EmployeeData[[#This Row],[Exit Date]],EmployeeData[[#This Row],[Join Date]]))</f>
        <v>907</v>
      </c>
      <c r="L301" cm="1">
        <f t="array" aca="1" ref="L301" ca="1">_xlfn.IFS(EmployeeData[[#This Row],[Status]]="Exited",DATEDIF(EmployeeData[[#This Row],[Join Date]], EmployeeData[[#This Row],[Exit Date]], "Y"),EmployeeData[[#This Row],[Status]]="Active",DATEDIF(EmployeeData[[#This Row],[Join Date]], TODAY(), "Y"))</f>
        <v>2</v>
      </c>
      <c r="Q301" t="str" cm="1">
        <f t="array" aca="1" ref="Q3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302" spans="1:17" hidden="1" x14ac:dyDescent="0.3">
      <c r="A302">
        <v>1301</v>
      </c>
      <c r="B302" t="s">
        <v>131</v>
      </c>
      <c r="C302" t="s">
        <v>33</v>
      </c>
      <c r="D302" t="s">
        <v>24</v>
      </c>
      <c r="E302">
        <v>57</v>
      </c>
      <c r="F302" t="str" cm="1">
        <f t="array" ref="F302">_xlfn.IFS(EmployeeData[[#This Row],[Age]]&lt;30,"20s",EmployeeData[[#This Row],[Age]]&lt;40,"30s",EmployeeData[[#This Row],[Age]]&lt;50,"40s",EmployeeData[[#This Row],[Age]]&lt;60,"50s",EmployeeData[[#This Row],[Age]]&gt;=60,"60s")</f>
        <v>50s</v>
      </c>
      <c r="G302" s="5">
        <v>43635</v>
      </c>
      <c r="I302" t="s">
        <v>17</v>
      </c>
      <c r="J302" t="s">
        <v>18</v>
      </c>
      <c r="K302" cm="1">
        <f t="array" aca="1" ref="K302" ca="1">_xlfn.IFS(EmployeeData[[#This Row],[Status]]="Active",_xlfn.DAYS(TODAY(),EmployeeData[[#This Row],[Join Date]]),EmployeeData[[#This Row],[Status]]="Exited",_xlfn.DAYS(EmployeeData[[#This Row],[Exit Date]],EmployeeData[[#This Row],[Join Date]]))</f>
        <v>2562</v>
      </c>
      <c r="L302" cm="1">
        <f t="array" aca="1" ref="L302" ca="1">_xlfn.IFS(EmployeeData[[#This Row],[Status]]="Exited",DATEDIF(EmployeeData[[#This Row],[Join Date]], EmployeeData[[#This Row],[Exit Date]], "Y"),EmployeeData[[#This Row],[Status]]="Active",DATEDIF(EmployeeData[[#This Row],[Join Date]], TODAY(), "Y"))</f>
        <v>7</v>
      </c>
      <c r="Q302" t="str" cm="1">
        <f t="array" aca="1" ref="Q3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5 days</v>
      </c>
    </row>
    <row r="303" spans="1:17" x14ac:dyDescent="0.3">
      <c r="A303">
        <v>1302</v>
      </c>
      <c r="B303" t="s">
        <v>115</v>
      </c>
      <c r="C303" t="s">
        <v>20</v>
      </c>
      <c r="D303" t="s">
        <v>16</v>
      </c>
      <c r="E303">
        <v>50</v>
      </c>
      <c r="F303" t="str" cm="1">
        <f t="array" ref="F303">_xlfn.IFS(EmployeeData[[#This Row],[Age]]&lt;30,"20s",EmployeeData[[#This Row],[Age]]&lt;40,"30s",EmployeeData[[#This Row],[Age]]&lt;50,"40s",EmployeeData[[#This Row],[Age]]&lt;60,"50s",EmployeeData[[#This Row],[Age]]&gt;=60,"60s")</f>
        <v>50s</v>
      </c>
      <c r="G303" s="5">
        <v>43167</v>
      </c>
      <c r="H303" s="5">
        <v>43904</v>
      </c>
      <c r="I303" t="s">
        <v>12</v>
      </c>
      <c r="J303" t="s">
        <v>13</v>
      </c>
      <c r="K303" cm="1">
        <f t="array" aca="1" ref="K303" ca="1">_xlfn.IFS(EmployeeData[[#This Row],[Status]]="Active",_xlfn.DAYS(TODAY(),EmployeeData[[#This Row],[Join Date]]),EmployeeData[[#This Row],[Status]]="Exited",_xlfn.DAYS(EmployeeData[[#This Row],[Exit Date]],EmployeeData[[#This Row],[Join Date]]))</f>
        <v>737</v>
      </c>
      <c r="L303" cm="1">
        <f t="array" aca="1" ref="L303" ca="1">_xlfn.IFS(EmployeeData[[#This Row],[Status]]="Exited",DATEDIF(EmployeeData[[#This Row],[Join Date]], EmployeeData[[#This Row],[Exit Date]], "Y"),EmployeeData[[#This Row],[Status]]="Active",DATEDIF(EmployeeData[[#This Row],[Join Date]], TODAY(), "Y"))</f>
        <v>2</v>
      </c>
      <c r="Q303" t="str" cm="1">
        <f t="array" aca="1" ref="Q3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304" spans="1:17" hidden="1" x14ac:dyDescent="0.3">
      <c r="A304">
        <v>1303</v>
      </c>
      <c r="B304" t="s">
        <v>592</v>
      </c>
      <c r="C304" t="s">
        <v>33</v>
      </c>
      <c r="D304" t="s">
        <v>16</v>
      </c>
      <c r="E304">
        <v>38</v>
      </c>
      <c r="F304" t="str" cm="1">
        <f t="array" ref="F304">_xlfn.IFS(EmployeeData[[#This Row],[Age]]&lt;30,"20s",EmployeeData[[#This Row],[Age]]&lt;40,"30s",EmployeeData[[#This Row],[Age]]&lt;50,"40s",EmployeeData[[#This Row],[Age]]&lt;60,"50s",EmployeeData[[#This Row],[Age]]&gt;=60,"60s")</f>
        <v>30s</v>
      </c>
      <c r="G304" s="5">
        <v>43483</v>
      </c>
      <c r="I304" t="s">
        <v>17</v>
      </c>
      <c r="J304" t="s">
        <v>18</v>
      </c>
      <c r="K304" cm="1">
        <f t="array" aca="1" ref="K304" ca="1">_xlfn.IFS(EmployeeData[[#This Row],[Status]]="Active",_xlfn.DAYS(TODAY(),EmployeeData[[#This Row],[Join Date]]),EmployeeData[[#This Row],[Status]]="Exited",_xlfn.DAYS(EmployeeData[[#This Row],[Exit Date]],EmployeeData[[#This Row],[Join Date]]))</f>
        <v>2714</v>
      </c>
      <c r="L304" cm="1">
        <f t="array" aca="1" ref="L304" ca="1">_xlfn.IFS(EmployeeData[[#This Row],[Status]]="Exited",DATEDIF(EmployeeData[[#This Row],[Join Date]], EmployeeData[[#This Row],[Exit Date]], "Y"),EmployeeData[[#This Row],[Status]]="Active",DATEDIF(EmployeeData[[#This Row],[Join Date]], TODAY(), "Y"))</f>
        <v>7</v>
      </c>
      <c r="Q304" t="str" cm="1">
        <f t="array" aca="1" ref="Q3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305" spans="1:17" hidden="1" x14ac:dyDescent="0.3">
      <c r="A305">
        <v>1304</v>
      </c>
      <c r="B305" t="s">
        <v>830</v>
      </c>
      <c r="C305" t="s">
        <v>15</v>
      </c>
      <c r="D305" t="s">
        <v>24</v>
      </c>
      <c r="E305">
        <v>35</v>
      </c>
      <c r="F305" t="str" cm="1">
        <f t="array" ref="F305">_xlfn.IFS(EmployeeData[[#This Row],[Age]]&lt;30,"20s",EmployeeData[[#This Row],[Age]]&lt;40,"30s",EmployeeData[[#This Row],[Age]]&lt;50,"40s",EmployeeData[[#This Row],[Age]]&lt;60,"50s",EmployeeData[[#This Row],[Age]]&gt;=60,"60s")</f>
        <v>30s</v>
      </c>
      <c r="G305" s="5">
        <v>44859</v>
      </c>
      <c r="I305" t="s">
        <v>17</v>
      </c>
      <c r="J305" t="s">
        <v>18</v>
      </c>
      <c r="K305" cm="1">
        <f t="array" aca="1" ref="K305" ca="1">_xlfn.IFS(EmployeeData[[#This Row],[Status]]="Active",_xlfn.DAYS(TODAY(),EmployeeData[[#This Row],[Join Date]]),EmployeeData[[#This Row],[Status]]="Exited",_xlfn.DAYS(EmployeeData[[#This Row],[Exit Date]],EmployeeData[[#This Row],[Join Date]]))</f>
        <v>1338</v>
      </c>
      <c r="L305" cm="1">
        <f t="array" aca="1" ref="L305" ca="1">_xlfn.IFS(EmployeeData[[#This Row],[Status]]="Exited",DATEDIF(EmployeeData[[#This Row],[Join Date]], EmployeeData[[#This Row],[Exit Date]], "Y"),EmployeeData[[#This Row],[Status]]="Active",DATEDIF(EmployeeData[[#This Row],[Join Date]], TODAY(), "Y"))</f>
        <v>3</v>
      </c>
      <c r="Q305" t="str" cm="1">
        <f t="array" aca="1" ref="Q3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30 days</v>
      </c>
    </row>
    <row r="306" spans="1:17" x14ac:dyDescent="0.3">
      <c r="A306">
        <v>1305</v>
      </c>
      <c r="B306" t="s">
        <v>969</v>
      </c>
      <c r="C306" t="s">
        <v>15</v>
      </c>
      <c r="D306" t="s">
        <v>16</v>
      </c>
      <c r="E306">
        <v>49</v>
      </c>
      <c r="F306" t="str" cm="1">
        <f t="array" ref="F306">_xlfn.IFS(EmployeeData[[#This Row],[Age]]&lt;30,"20s",EmployeeData[[#This Row],[Age]]&lt;40,"30s",EmployeeData[[#This Row],[Age]]&lt;50,"40s",EmployeeData[[#This Row],[Age]]&lt;60,"50s",EmployeeData[[#This Row],[Age]]&gt;=60,"60s")</f>
        <v>40s</v>
      </c>
      <c r="G306" s="5">
        <v>43139</v>
      </c>
      <c r="H306" s="5">
        <v>44636</v>
      </c>
      <c r="I306" t="s">
        <v>52</v>
      </c>
      <c r="J306" t="s">
        <v>13</v>
      </c>
      <c r="K306" cm="1">
        <f t="array" aca="1" ref="K306" ca="1">_xlfn.IFS(EmployeeData[[#This Row],[Status]]="Active",_xlfn.DAYS(TODAY(),EmployeeData[[#This Row],[Join Date]]),EmployeeData[[#This Row],[Status]]="Exited",_xlfn.DAYS(EmployeeData[[#This Row],[Exit Date]],EmployeeData[[#This Row],[Join Date]]))</f>
        <v>1497</v>
      </c>
      <c r="L306" cm="1">
        <f t="array" aca="1" ref="L306" ca="1">_xlfn.IFS(EmployeeData[[#This Row],[Status]]="Exited",DATEDIF(EmployeeData[[#This Row],[Join Date]], EmployeeData[[#This Row],[Exit Date]], "Y"),EmployeeData[[#This Row],[Status]]="Active",DATEDIF(EmployeeData[[#This Row],[Join Date]], TODAY(), "Y"))</f>
        <v>4</v>
      </c>
      <c r="Q306" t="str" cm="1">
        <f t="array" aca="1" ref="Q3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307" spans="1:17" hidden="1" x14ac:dyDescent="0.3">
      <c r="A307">
        <v>1306</v>
      </c>
      <c r="B307" t="s">
        <v>30</v>
      </c>
      <c r="C307" t="s">
        <v>15</v>
      </c>
      <c r="D307" t="s">
        <v>16</v>
      </c>
      <c r="E307">
        <v>27</v>
      </c>
      <c r="F307" t="str" cm="1">
        <f t="array" ref="F307">_xlfn.IFS(EmployeeData[[#This Row],[Age]]&lt;30,"20s",EmployeeData[[#This Row],[Age]]&lt;40,"30s",EmployeeData[[#This Row],[Age]]&lt;50,"40s",EmployeeData[[#This Row],[Age]]&lt;60,"50s",EmployeeData[[#This Row],[Age]]&gt;=60,"60s")</f>
        <v>20s</v>
      </c>
      <c r="G307" s="5">
        <v>43523</v>
      </c>
      <c r="H307" s="5">
        <v>44838</v>
      </c>
      <c r="I307" t="s">
        <v>31</v>
      </c>
      <c r="J307" t="s">
        <v>13</v>
      </c>
      <c r="K307" cm="1">
        <f t="array" aca="1" ref="K307" ca="1">_xlfn.IFS(EmployeeData[[#This Row],[Status]]="Active",_xlfn.DAYS(TODAY(),EmployeeData[[#This Row],[Join Date]]),EmployeeData[[#This Row],[Status]]="Exited",_xlfn.DAYS(EmployeeData[[#This Row],[Exit Date]],EmployeeData[[#This Row],[Join Date]]))</f>
        <v>1315</v>
      </c>
      <c r="L307" cm="1">
        <f t="array" aca="1" ref="L307" ca="1">_xlfn.IFS(EmployeeData[[#This Row],[Status]]="Exited",DATEDIF(EmployeeData[[#This Row],[Join Date]], EmployeeData[[#This Row],[Exit Date]], "Y"),EmployeeData[[#This Row],[Status]]="Active",DATEDIF(EmployeeData[[#This Row],[Join Date]], TODAY(), "Y"))</f>
        <v>3</v>
      </c>
      <c r="Q307" t="str" cm="1">
        <f t="array" aca="1" ref="Q3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308" spans="1:17" hidden="1" x14ac:dyDescent="0.3">
      <c r="A308">
        <v>1307</v>
      </c>
      <c r="B308" t="s">
        <v>579</v>
      </c>
      <c r="C308" t="s">
        <v>15</v>
      </c>
      <c r="D308" t="s">
        <v>24</v>
      </c>
      <c r="E308">
        <v>21</v>
      </c>
      <c r="F308" t="str" cm="1">
        <f t="array" ref="F308">_xlfn.IFS(EmployeeData[[#This Row],[Age]]&lt;30,"20s",EmployeeData[[#This Row],[Age]]&lt;40,"30s",EmployeeData[[#This Row],[Age]]&lt;50,"40s",EmployeeData[[#This Row],[Age]]&lt;60,"50s",EmployeeData[[#This Row],[Age]]&gt;=60,"60s")</f>
        <v>20s</v>
      </c>
      <c r="G308" s="5">
        <v>45600</v>
      </c>
      <c r="I308" t="s">
        <v>17</v>
      </c>
      <c r="J308" t="s">
        <v>18</v>
      </c>
      <c r="K308" cm="1">
        <f t="array" aca="1" ref="K308" ca="1">_xlfn.IFS(EmployeeData[[#This Row],[Status]]="Active",_xlfn.DAYS(TODAY(),EmployeeData[[#This Row],[Join Date]]),EmployeeData[[#This Row],[Status]]="Exited",_xlfn.DAYS(EmployeeData[[#This Row],[Exit Date]],EmployeeData[[#This Row],[Join Date]]))</f>
        <v>597</v>
      </c>
      <c r="L308" cm="1">
        <f t="array" aca="1" ref="L308" ca="1">_xlfn.IFS(EmployeeData[[#This Row],[Status]]="Exited",DATEDIF(EmployeeData[[#This Row],[Join Date]], EmployeeData[[#This Row],[Exit Date]], "Y"),EmployeeData[[#This Row],[Status]]="Active",DATEDIF(EmployeeData[[#This Row],[Join Date]], TODAY(), "Y"))</f>
        <v>1</v>
      </c>
      <c r="Q308" t="str" cm="1">
        <f t="array" aca="1" ref="Q3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20 days</v>
      </c>
    </row>
    <row r="309" spans="1:17" hidden="1" x14ac:dyDescent="0.3">
      <c r="A309">
        <v>1308</v>
      </c>
      <c r="B309" t="s">
        <v>216</v>
      </c>
      <c r="C309" t="s">
        <v>23</v>
      </c>
      <c r="D309" t="s">
        <v>16</v>
      </c>
      <c r="E309">
        <v>47</v>
      </c>
      <c r="F309" t="str" cm="1">
        <f t="array" ref="F309">_xlfn.IFS(EmployeeData[[#This Row],[Age]]&lt;30,"20s",EmployeeData[[#This Row],[Age]]&lt;40,"30s",EmployeeData[[#This Row],[Age]]&lt;50,"40s",EmployeeData[[#This Row],[Age]]&lt;60,"50s",EmployeeData[[#This Row],[Age]]&gt;=60,"60s")</f>
        <v>40s</v>
      </c>
      <c r="G309" s="5">
        <v>45624</v>
      </c>
      <c r="I309" t="s">
        <v>17</v>
      </c>
      <c r="J309" t="s">
        <v>18</v>
      </c>
      <c r="K309" cm="1">
        <f t="array" aca="1" ref="K309" ca="1">_xlfn.IFS(EmployeeData[[#This Row],[Status]]="Active",_xlfn.DAYS(TODAY(),EmployeeData[[#This Row],[Join Date]]),EmployeeData[[#This Row],[Status]]="Exited",_xlfn.DAYS(EmployeeData[[#This Row],[Exit Date]],EmployeeData[[#This Row],[Join Date]]))</f>
        <v>573</v>
      </c>
      <c r="L309" cm="1">
        <f t="array" aca="1" ref="L309" ca="1">_xlfn.IFS(EmployeeData[[#This Row],[Status]]="Exited",DATEDIF(EmployeeData[[#This Row],[Join Date]], EmployeeData[[#This Row],[Exit Date]], "Y"),EmployeeData[[#This Row],[Status]]="Active",DATEDIF(EmployeeData[[#This Row],[Join Date]], TODAY(), "Y"))</f>
        <v>1</v>
      </c>
      <c r="Q309" t="str" cm="1">
        <f t="array" aca="1" ref="Q3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310" spans="1:17" hidden="1" x14ac:dyDescent="0.3">
      <c r="A310">
        <v>1309</v>
      </c>
      <c r="B310" t="s">
        <v>202</v>
      </c>
      <c r="C310" t="s">
        <v>15</v>
      </c>
      <c r="D310" t="s">
        <v>16</v>
      </c>
      <c r="E310">
        <v>45</v>
      </c>
      <c r="F310" t="str" cm="1">
        <f t="array" ref="F310">_xlfn.IFS(EmployeeData[[#This Row],[Age]]&lt;30,"20s",EmployeeData[[#This Row],[Age]]&lt;40,"30s",EmployeeData[[#This Row],[Age]]&lt;50,"40s",EmployeeData[[#This Row],[Age]]&lt;60,"50s",EmployeeData[[#This Row],[Age]]&gt;=60,"60s")</f>
        <v>40s</v>
      </c>
      <c r="G310" s="5">
        <v>44540</v>
      </c>
      <c r="I310" t="s">
        <v>17</v>
      </c>
      <c r="J310" t="s">
        <v>18</v>
      </c>
      <c r="K310" cm="1">
        <f t="array" aca="1" ref="K310" ca="1">_xlfn.IFS(EmployeeData[[#This Row],[Status]]="Active",_xlfn.DAYS(TODAY(),EmployeeData[[#This Row],[Join Date]]),EmployeeData[[#This Row],[Status]]="Exited",_xlfn.DAYS(EmployeeData[[#This Row],[Exit Date]],EmployeeData[[#This Row],[Join Date]]))</f>
        <v>1657</v>
      </c>
      <c r="L310" cm="1">
        <f t="array" aca="1" ref="L310" ca="1">_xlfn.IFS(EmployeeData[[#This Row],[Status]]="Exited",DATEDIF(EmployeeData[[#This Row],[Join Date]], EmployeeData[[#This Row],[Exit Date]], "Y"),EmployeeData[[#This Row],[Status]]="Active",DATEDIF(EmployeeData[[#This Row],[Join Date]], TODAY(), "Y"))</f>
        <v>4</v>
      </c>
      <c r="Q310" t="str" cm="1">
        <f t="array" aca="1" ref="Q3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14 days</v>
      </c>
    </row>
    <row r="311" spans="1:17" hidden="1" x14ac:dyDescent="0.3">
      <c r="A311">
        <v>1310</v>
      </c>
      <c r="B311" t="s">
        <v>638</v>
      </c>
      <c r="C311" t="s">
        <v>10</v>
      </c>
      <c r="D311" t="s">
        <v>24</v>
      </c>
      <c r="E311">
        <v>39</v>
      </c>
      <c r="F311" t="str" cm="1">
        <f t="array" ref="F311">_xlfn.IFS(EmployeeData[[#This Row],[Age]]&lt;30,"20s",EmployeeData[[#This Row],[Age]]&lt;40,"30s",EmployeeData[[#This Row],[Age]]&lt;50,"40s",EmployeeData[[#This Row],[Age]]&lt;60,"50s",EmployeeData[[#This Row],[Age]]&gt;=60,"60s")</f>
        <v>30s</v>
      </c>
      <c r="G311" s="5">
        <v>45929</v>
      </c>
      <c r="H311" s="5">
        <v>46096</v>
      </c>
      <c r="I311" t="s">
        <v>31</v>
      </c>
      <c r="J311" t="s">
        <v>13</v>
      </c>
      <c r="K311" cm="1">
        <f t="array" aca="1" ref="K311" ca="1">_xlfn.IFS(EmployeeData[[#This Row],[Status]]="Active",_xlfn.DAYS(TODAY(),EmployeeData[[#This Row],[Join Date]]),EmployeeData[[#This Row],[Status]]="Exited",_xlfn.DAYS(EmployeeData[[#This Row],[Exit Date]],EmployeeData[[#This Row],[Join Date]]))</f>
        <v>167</v>
      </c>
      <c r="L311" cm="1">
        <f t="array" aca="1" ref="L311" ca="1">_xlfn.IFS(EmployeeData[[#This Row],[Status]]="Exited",DATEDIF(EmployeeData[[#This Row],[Join Date]], EmployeeData[[#This Row],[Exit Date]], "Y"),EmployeeData[[#This Row],[Status]]="Active",DATEDIF(EmployeeData[[#This Row],[Join Date]], TODAY(), "Y"))</f>
        <v>0</v>
      </c>
      <c r="Q311" t="str" cm="1">
        <f t="array" aca="1" ref="Q3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312" spans="1:17" hidden="1" x14ac:dyDescent="0.3">
      <c r="A312">
        <v>1311</v>
      </c>
      <c r="B312" t="s">
        <v>796</v>
      </c>
      <c r="C312" t="s">
        <v>10</v>
      </c>
      <c r="D312" t="s">
        <v>16</v>
      </c>
      <c r="E312">
        <v>36</v>
      </c>
      <c r="F312" t="str" cm="1">
        <f t="array" ref="F312">_xlfn.IFS(EmployeeData[[#This Row],[Age]]&lt;30,"20s",EmployeeData[[#This Row],[Age]]&lt;40,"30s",EmployeeData[[#This Row],[Age]]&lt;50,"40s",EmployeeData[[#This Row],[Age]]&lt;60,"50s",EmployeeData[[#This Row],[Age]]&gt;=60,"60s")</f>
        <v>30s</v>
      </c>
      <c r="G312" s="5">
        <v>45128</v>
      </c>
      <c r="I312" t="s">
        <v>17</v>
      </c>
      <c r="J312" t="s">
        <v>18</v>
      </c>
      <c r="K312" cm="1">
        <f t="array" aca="1" ref="K312" ca="1">_xlfn.IFS(EmployeeData[[#This Row],[Status]]="Active",_xlfn.DAYS(TODAY(),EmployeeData[[#This Row],[Join Date]]),EmployeeData[[#This Row],[Status]]="Exited",_xlfn.DAYS(EmployeeData[[#This Row],[Exit Date]],EmployeeData[[#This Row],[Join Date]]))</f>
        <v>1069</v>
      </c>
      <c r="L312" cm="1">
        <f t="array" aca="1" ref="L312" ca="1">_xlfn.IFS(EmployeeData[[#This Row],[Status]]="Exited",DATEDIF(EmployeeData[[#This Row],[Join Date]], EmployeeData[[#This Row],[Exit Date]], "Y"),EmployeeData[[#This Row],[Status]]="Active",DATEDIF(EmployeeData[[#This Row],[Join Date]], TODAY(), "Y"))</f>
        <v>2</v>
      </c>
      <c r="Q312" t="str" cm="1">
        <f t="array" aca="1" ref="Q3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3 days</v>
      </c>
    </row>
    <row r="313" spans="1:17" hidden="1" x14ac:dyDescent="0.3">
      <c r="A313">
        <v>1312</v>
      </c>
      <c r="B313" t="s">
        <v>967</v>
      </c>
      <c r="C313" t="s">
        <v>15</v>
      </c>
      <c r="D313" t="s">
        <v>11</v>
      </c>
      <c r="E313">
        <v>21</v>
      </c>
      <c r="F313" t="str" cm="1">
        <f t="array" ref="F313">_xlfn.IFS(EmployeeData[[#This Row],[Age]]&lt;30,"20s",EmployeeData[[#This Row],[Age]]&lt;40,"30s",EmployeeData[[#This Row],[Age]]&lt;50,"40s",EmployeeData[[#This Row],[Age]]&lt;60,"50s",EmployeeData[[#This Row],[Age]]&gt;=60,"60s")</f>
        <v>20s</v>
      </c>
      <c r="G313" s="5">
        <v>44580</v>
      </c>
      <c r="I313" t="s">
        <v>17</v>
      </c>
      <c r="J313" t="s">
        <v>18</v>
      </c>
      <c r="K313" cm="1">
        <f t="array" aca="1" ref="K313" ca="1">_xlfn.IFS(EmployeeData[[#This Row],[Status]]="Active",_xlfn.DAYS(TODAY(),EmployeeData[[#This Row],[Join Date]]),EmployeeData[[#This Row],[Status]]="Exited",_xlfn.DAYS(EmployeeData[[#This Row],[Exit Date]],EmployeeData[[#This Row],[Join Date]]))</f>
        <v>1617</v>
      </c>
      <c r="L313" cm="1">
        <f t="array" aca="1" ref="L313" ca="1">_xlfn.IFS(EmployeeData[[#This Row],[Status]]="Exited",DATEDIF(EmployeeData[[#This Row],[Join Date]], EmployeeData[[#This Row],[Exit Date]], "Y"),EmployeeData[[#This Row],[Status]]="Active",DATEDIF(EmployeeData[[#This Row],[Join Date]], TODAY(), "Y"))</f>
        <v>4</v>
      </c>
      <c r="Q313" t="str" cm="1">
        <f t="array" aca="1" ref="Q3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5 days</v>
      </c>
    </row>
    <row r="314" spans="1:17" hidden="1" x14ac:dyDescent="0.3">
      <c r="A314">
        <v>1313</v>
      </c>
      <c r="B314" t="s">
        <v>709</v>
      </c>
      <c r="C314" t="s">
        <v>23</v>
      </c>
      <c r="D314" t="s">
        <v>24</v>
      </c>
      <c r="E314">
        <v>32</v>
      </c>
      <c r="F314" t="str" cm="1">
        <f t="array" ref="F314">_xlfn.IFS(EmployeeData[[#This Row],[Age]]&lt;30,"20s",EmployeeData[[#This Row],[Age]]&lt;40,"30s",EmployeeData[[#This Row],[Age]]&lt;50,"40s",EmployeeData[[#This Row],[Age]]&lt;60,"50s",EmployeeData[[#This Row],[Age]]&gt;=60,"60s")</f>
        <v>30s</v>
      </c>
      <c r="G314" s="5">
        <v>45030</v>
      </c>
      <c r="I314" t="s">
        <v>17</v>
      </c>
      <c r="J314" t="s">
        <v>18</v>
      </c>
      <c r="K314" cm="1">
        <f t="array" aca="1" ref="K314" ca="1">_xlfn.IFS(EmployeeData[[#This Row],[Status]]="Active",_xlfn.DAYS(TODAY(),EmployeeData[[#This Row],[Join Date]]),EmployeeData[[#This Row],[Status]]="Exited",_xlfn.DAYS(EmployeeData[[#This Row],[Exit Date]],EmployeeData[[#This Row],[Join Date]]))</f>
        <v>1167</v>
      </c>
      <c r="L314" cm="1">
        <f t="array" aca="1" ref="L314" ca="1">_xlfn.IFS(EmployeeData[[#This Row],[Status]]="Exited",DATEDIF(EmployeeData[[#This Row],[Join Date]], EmployeeData[[#This Row],[Exit Date]], "Y"),EmployeeData[[#This Row],[Status]]="Active",DATEDIF(EmployeeData[[#This Row],[Join Date]], TODAY(), "Y"))</f>
        <v>3</v>
      </c>
      <c r="Q314" t="str" cm="1">
        <f t="array" aca="1" ref="Q3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10 days</v>
      </c>
    </row>
    <row r="315" spans="1:17" hidden="1" x14ac:dyDescent="0.3">
      <c r="A315">
        <v>1314</v>
      </c>
      <c r="B315" t="s">
        <v>582</v>
      </c>
      <c r="C315" t="s">
        <v>10</v>
      </c>
      <c r="D315" t="s">
        <v>16</v>
      </c>
      <c r="E315">
        <v>24</v>
      </c>
      <c r="F315" t="str" cm="1">
        <f t="array" ref="F315">_xlfn.IFS(EmployeeData[[#This Row],[Age]]&lt;30,"20s",EmployeeData[[#This Row],[Age]]&lt;40,"30s",EmployeeData[[#This Row],[Age]]&lt;50,"40s",EmployeeData[[#This Row],[Age]]&lt;60,"50s",EmployeeData[[#This Row],[Age]]&gt;=60,"60s")</f>
        <v>20s</v>
      </c>
      <c r="G315" s="5">
        <v>44731</v>
      </c>
      <c r="I315" t="s">
        <v>17</v>
      </c>
      <c r="J315" t="s">
        <v>18</v>
      </c>
      <c r="K315" cm="1">
        <f t="array" aca="1" ref="K315" ca="1">_xlfn.IFS(EmployeeData[[#This Row],[Status]]="Active",_xlfn.DAYS(TODAY(),EmployeeData[[#This Row],[Join Date]]),EmployeeData[[#This Row],[Status]]="Exited",_xlfn.DAYS(EmployeeData[[#This Row],[Exit Date]],EmployeeData[[#This Row],[Join Date]]))</f>
        <v>1466</v>
      </c>
      <c r="L315" cm="1">
        <f t="array" aca="1" ref="L315" ca="1">_xlfn.IFS(EmployeeData[[#This Row],[Status]]="Exited",DATEDIF(EmployeeData[[#This Row],[Join Date]], EmployeeData[[#This Row],[Exit Date]], "Y"),EmployeeData[[#This Row],[Status]]="Active",DATEDIF(EmployeeData[[#This Row],[Join Date]], TODAY(), "Y"))</f>
        <v>4</v>
      </c>
      <c r="Q315" t="str" cm="1">
        <f t="array" aca="1" ref="Q3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5 days</v>
      </c>
    </row>
    <row r="316" spans="1:17" hidden="1" x14ac:dyDescent="0.3">
      <c r="A316">
        <v>1315</v>
      </c>
      <c r="B316" t="s">
        <v>748</v>
      </c>
      <c r="C316" t="s">
        <v>15</v>
      </c>
      <c r="D316" t="s">
        <v>24</v>
      </c>
      <c r="E316">
        <v>30</v>
      </c>
      <c r="F316" t="str" cm="1">
        <f t="array" ref="F316">_xlfn.IFS(EmployeeData[[#This Row],[Age]]&lt;30,"20s",EmployeeData[[#This Row],[Age]]&lt;40,"30s",EmployeeData[[#This Row],[Age]]&lt;50,"40s",EmployeeData[[#This Row],[Age]]&lt;60,"50s",EmployeeData[[#This Row],[Age]]&gt;=60,"60s")</f>
        <v>30s</v>
      </c>
      <c r="G316" s="5">
        <v>44237</v>
      </c>
      <c r="H316" s="5">
        <v>44488</v>
      </c>
      <c r="I316" t="s">
        <v>65</v>
      </c>
      <c r="J316" t="s">
        <v>13</v>
      </c>
      <c r="K316" cm="1">
        <f t="array" aca="1" ref="K316" ca="1">_xlfn.IFS(EmployeeData[[#This Row],[Status]]="Active",_xlfn.DAYS(TODAY(),EmployeeData[[#This Row],[Join Date]]),EmployeeData[[#This Row],[Status]]="Exited",_xlfn.DAYS(EmployeeData[[#This Row],[Exit Date]],EmployeeData[[#This Row],[Join Date]]))</f>
        <v>251</v>
      </c>
      <c r="L316" cm="1">
        <f t="array" aca="1" ref="L316" ca="1">_xlfn.IFS(EmployeeData[[#This Row],[Status]]="Exited",DATEDIF(EmployeeData[[#This Row],[Join Date]], EmployeeData[[#This Row],[Exit Date]], "Y"),EmployeeData[[#This Row],[Status]]="Active",DATEDIF(EmployeeData[[#This Row],[Join Date]], TODAY(), "Y"))</f>
        <v>0</v>
      </c>
      <c r="Q316" t="str" cm="1">
        <f t="array" aca="1" ref="Q3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317" spans="1:17" hidden="1" x14ac:dyDescent="0.3">
      <c r="A317">
        <v>1316</v>
      </c>
      <c r="B317" t="s">
        <v>1058</v>
      </c>
      <c r="C317" t="s">
        <v>23</v>
      </c>
      <c r="D317" t="s">
        <v>11</v>
      </c>
      <c r="E317">
        <v>25</v>
      </c>
      <c r="F317" t="str" cm="1">
        <f t="array" ref="F317">_xlfn.IFS(EmployeeData[[#This Row],[Age]]&lt;30,"20s",EmployeeData[[#This Row],[Age]]&lt;40,"30s",EmployeeData[[#This Row],[Age]]&lt;50,"40s",EmployeeData[[#This Row],[Age]]&lt;60,"50s",EmployeeData[[#This Row],[Age]]&gt;=60,"60s")</f>
        <v>20s</v>
      </c>
      <c r="G317" s="5">
        <v>44371</v>
      </c>
      <c r="I317" t="s">
        <v>17</v>
      </c>
      <c r="J317" t="s">
        <v>18</v>
      </c>
      <c r="K317" cm="1">
        <f t="array" aca="1" ref="K317" ca="1">_xlfn.IFS(EmployeeData[[#This Row],[Status]]="Active",_xlfn.DAYS(TODAY(),EmployeeData[[#This Row],[Join Date]]),EmployeeData[[#This Row],[Status]]="Exited",_xlfn.DAYS(EmployeeData[[#This Row],[Exit Date]],EmployeeData[[#This Row],[Join Date]]))</f>
        <v>1826</v>
      </c>
      <c r="L317" cm="1">
        <f t="array" aca="1" ref="L317" ca="1">_xlfn.IFS(EmployeeData[[#This Row],[Status]]="Exited",DATEDIF(EmployeeData[[#This Row],[Join Date]], EmployeeData[[#This Row],[Exit Date]], "Y"),EmployeeData[[#This Row],[Status]]="Active",DATEDIF(EmployeeData[[#This Row],[Join Date]], TODAY(), "Y"))</f>
        <v>5</v>
      </c>
      <c r="Q317" t="str" cm="1">
        <f t="array" aca="1" ref="Q3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0 days</v>
      </c>
    </row>
    <row r="318" spans="1:17" hidden="1" x14ac:dyDescent="0.3">
      <c r="A318">
        <v>1317</v>
      </c>
      <c r="B318" t="s">
        <v>643</v>
      </c>
      <c r="C318" t="s">
        <v>15</v>
      </c>
      <c r="D318" t="s">
        <v>24</v>
      </c>
      <c r="E318">
        <v>24</v>
      </c>
      <c r="F318" t="str" cm="1">
        <f t="array" ref="F318">_xlfn.IFS(EmployeeData[[#This Row],[Age]]&lt;30,"20s",EmployeeData[[#This Row],[Age]]&lt;40,"30s",EmployeeData[[#This Row],[Age]]&lt;50,"40s",EmployeeData[[#This Row],[Age]]&lt;60,"50s",EmployeeData[[#This Row],[Age]]&gt;=60,"60s")</f>
        <v>20s</v>
      </c>
      <c r="G318" s="5">
        <v>44367</v>
      </c>
      <c r="I318" t="s">
        <v>17</v>
      </c>
      <c r="J318" t="s">
        <v>18</v>
      </c>
      <c r="K318" cm="1">
        <f t="array" aca="1" ref="K318" ca="1">_xlfn.IFS(EmployeeData[[#This Row],[Status]]="Active",_xlfn.DAYS(TODAY(),EmployeeData[[#This Row],[Join Date]]),EmployeeData[[#This Row],[Status]]="Exited",_xlfn.DAYS(EmployeeData[[#This Row],[Exit Date]],EmployeeData[[#This Row],[Join Date]]))</f>
        <v>1830</v>
      </c>
      <c r="L318" cm="1">
        <f t="array" aca="1" ref="L318" ca="1">_xlfn.IFS(EmployeeData[[#This Row],[Status]]="Exited",DATEDIF(EmployeeData[[#This Row],[Join Date]], EmployeeData[[#This Row],[Exit Date]], "Y"),EmployeeData[[#This Row],[Status]]="Active",DATEDIF(EmployeeData[[#This Row],[Join Date]], TODAY(), "Y"))</f>
        <v>5</v>
      </c>
      <c r="Q318" t="str" cm="1">
        <f t="array" aca="1" ref="Q3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4 days</v>
      </c>
    </row>
    <row r="319" spans="1:17" hidden="1" x14ac:dyDescent="0.3">
      <c r="A319">
        <v>1318</v>
      </c>
      <c r="B319" t="s">
        <v>191</v>
      </c>
      <c r="C319" t="s">
        <v>20</v>
      </c>
      <c r="D319" t="s">
        <v>16</v>
      </c>
      <c r="E319">
        <v>43</v>
      </c>
      <c r="F319" t="str" cm="1">
        <f t="array" ref="F319">_xlfn.IFS(EmployeeData[[#This Row],[Age]]&lt;30,"20s",EmployeeData[[#This Row],[Age]]&lt;40,"30s",EmployeeData[[#This Row],[Age]]&lt;50,"40s",EmployeeData[[#This Row],[Age]]&lt;60,"50s",EmployeeData[[#This Row],[Age]]&gt;=60,"60s")</f>
        <v>40s</v>
      </c>
      <c r="G319" s="5">
        <v>45243</v>
      </c>
      <c r="I319" t="s">
        <v>17</v>
      </c>
      <c r="J319" t="s">
        <v>18</v>
      </c>
      <c r="K319" cm="1">
        <f t="array" aca="1" ref="K319" ca="1">_xlfn.IFS(EmployeeData[[#This Row],[Status]]="Active",_xlfn.DAYS(TODAY(),EmployeeData[[#This Row],[Join Date]]),EmployeeData[[#This Row],[Status]]="Exited",_xlfn.DAYS(EmployeeData[[#This Row],[Exit Date]],EmployeeData[[#This Row],[Join Date]]))</f>
        <v>954</v>
      </c>
      <c r="L319" cm="1">
        <f t="array" aca="1" ref="L319" ca="1">_xlfn.IFS(EmployeeData[[#This Row],[Status]]="Exited",DATEDIF(EmployeeData[[#This Row],[Join Date]], EmployeeData[[#This Row],[Exit Date]], "Y"),EmployeeData[[#This Row],[Status]]="Active",DATEDIF(EmployeeData[[#This Row],[Join Date]], TODAY(), "Y"))</f>
        <v>2</v>
      </c>
      <c r="Q319" t="str" cm="1">
        <f t="array" aca="1" ref="Q3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11 days</v>
      </c>
    </row>
    <row r="320" spans="1:17" hidden="1" x14ac:dyDescent="0.3">
      <c r="A320">
        <v>1319</v>
      </c>
      <c r="B320" t="s">
        <v>706</v>
      </c>
      <c r="C320" t="s">
        <v>20</v>
      </c>
      <c r="D320" t="s">
        <v>16</v>
      </c>
      <c r="E320">
        <v>22</v>
      </c>
      <c r="F320" t="str" cm="1">
        <f t="array" ref="F320">_xlfn.IFS(EmployeeData[[#This Row],[Age]]&lt;30,"20s",EmployeeData[[#This Row],[Age]]&lt;40,"30s",EmployeeData[[#This Row],[Age]]&lt;50,"40s",EmployeeData[[#This Row],[Age]]&lt;60,"50s",EmployeeData[[#This Row],[Age]]&gt;=60,"60s")</f>
        <v>20s</v>
      </c>
      <c r="G320" s="5">
        <v>44473</v>
      </c>
      <c r="I320" t="s">
        <v>17</v>
      </c>
      <c r="J320" t="s">
        <v>18</v>
      </c>
      <c r="K320" cm="1">
        <f t="array" aca="1" ref="K320" ca="1">_xlfn.IFS(EmployeeData[[#This Row],[Status]]="Active",_xlfn.DAYS(TODAY(),EmployeeData[[#This Row],[Join Date]]),EmployeeData[[#This Row],[Status]]="Exited",_xlfn.DAYS(EmployeeData[[#This Row],[Exit Date]],EmployeeData[[#This Row],[Join Date]]))</f>
        <v>1724</v>
      </c>
      <c r="L320" cm="1">
        <f t="array" aca="1" ref="L320" ca="1">_xlfn.IFS(EmployeeData[[#This Row],[Status]]="Exited",DATEDIF(EmployeeData[[#This Row],[Join Date]], EmployeeData[[#This Row],[Exit Date]], "Y"),EmployeeData[[#This Row],[Status]]="Active",DATEDIF(EmployeeData[[#This Row],[Join Date]], TODAY(), "Y"))</f>
        <v>4</v>
      </c>
      <c r="Q320" t="str" cm="1">
        <f t="array" aca="1" ref="Q3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20 days</v>
      </c>
    </row>
    <row r="321" spans="1:17" hidden="1" x14ac:dyDescent="0.3">
      <c r="A321">
        <v>1320</v>
      </c>
      <c r="B321" t="s">
        <v>91</v>
      </c>
      <c r="C321" t="s">
        <v>23</v>
      </c>
      <c r="D321" t="s">
        <v>24</v>
      </c>
      <c r="E321">
        <v>24</v>
      </c>
      <c r="F321" t="str" cm="1">
        <f t="array" ref="F321">_xlfn.IFS(EmployeeData[[#This Row],[Age]]&lt;30,"20s",EmployeeData[[#This Row],[Age]]&lt;40,"30s",EmployeeData[[#This Row],[Age]]&lt;50,"40s",EmployeeData[[#This Row],[Age]]&lt;60,"50s",EmployeeData[[#This Row],[Age]]&gt;=60,"60s")</f>
        <v>20s</v>
      </c>
      <c r="G321" s="5">
        <v>45147</v>
      </c>
      <c r="I321" t="s">
        <v>17</v>
      </c>
      <c r="J321" t="s">
        <v>18</v>
      </c>
      <c r="K321" cm="1">
        <f t="array" aca="1" ref="K321" ca="1">_xlfn.IFS(EmployeeData[[#This Row],[Status]]="Active",_xlfn.DAYS(TODAY(),EmployeeData[[#This Row],[Join Date]]),EmployeeData[[#This Row],[Status]]="Exited",_xlfn.DAYS(EmployeeData[[#This Row],[Exit Date]],EmployeeData[[#This Row],[Join Date]]))</f>
        <v>1050</v>
      </c>
      <c r="L321" cm="1">
        <f t="array" aca="1" ref="L321" ca="1">_xlfn.IFS(EmployeeData[[#This Row],[Status]]="Exited",DATEDIF(EmployeeData[[#This Row],[Join Date]], EmployeeData[[#This Row],[Exit Date]], "Y"),EmployeeData[[#This Row],[Status]]="Active",DATEDIF(EmployeeData[[#This Row],[Join Date]], TODAY(), "Y"))</f>
        <v>2</v>
      </c>
      <c r="Q321" t="str" cm="1">
        <f t="array" aca="1" ref="Q3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15 days</v>
      </c>
    </row>
    <row r="322" spans="1:17" hidden="1" x14ac:dyDescent="0.3">
      <c r="A322">
        <v>1321</v>
      </c>
      <c r="B322" t="s">
        <v>957</v>
      </c>
      <c r="C322" t="s">
        <v>33</v>
      </c>
      <c r="D322" t="s">
        <v>24</v>
      </c>
      <c r="E322">
        <v>28</v>
      </c>
      <c r="F322" t="str" cm="1">
        <f t="array" ref="F322">_xlfn.IFS(EmployeeData[[#This Row],[Age]]&lt;30,"20s",EmployeeData[[#This Row],[Age]]&lt;40,"30s",EmployeeData[[#This Row],[Age]]&lt;50,"40s",EmployeeData[[#This Row],[Age]]&lt;60,"50s",EmployeeData[[#This Row],[Age]]&gt;=60,"60s")</f>
        <v>20s</v>
      </c>
      <c r="G322" s="5">
        <v>44036</v>
      </c>
      <c r="I322" t="s">
        <v>17</v>
      </c>
      <c r="J322" t="s">
        <v>18</v>
      </c>
      <c r="K322" cm="1">
        <f t="array" aca="1" ref="K322" ca="1">_xlfn.IFS(EmployeeData[[#This Row],[Status]]="Active",_xlfn.DAYS(TODAY(),EmployeeData[[#This Row],[Join Date]]),EmployeeData[[#This Row],[Status]]="Exited",_xlfn.DAYS(EmployeeData[[#This Row],[Exit Date]],EmployeeData[[#This Row],[Join Date]]))</f>
        <v>2161</v>
      </c>
      <c r="L322" cm="1">
        <f t="array" aca="1" ref="L322" ca="1">_xlfn.IFS(EmployeeData[[#This Row],[Status]]="Exited",DATEDIF(EmployeeData[[#This Row],[Join Date]], EmployeeData[[#This Row],[Exit Date]], "Y"),EmployeeData[[#This Row],[Status]]="Active",DATEDIF(EmployeeData[[#This Row],[Join Date]], TODAY(), "Y"))</f>
        <v>5</v>
      </c>
      <c r="Q322" t="str" cm="1">
        <f t="array" aca="1" ref="Q3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0 days</v>
      </c>
    </row>
    <row r="323" spans="1:17" hidden="1" x14ac:dyDescent="0.3">
      <c r="A323">
        <v>1322</v>
      </c>
      <c r="B323" t="s">
        <v>602</v>
      </c>
      <c r="C323" t="s">
        <v>15</v>
      </c>
      <c r="D323" t="s">
        <v>16</v>
      </c>
      <c r="E323">
        <v>44</v>
      </c>
      <c r="F323" t="str" cm="1">
        <f t="array" ref="F323">_xlfn.IFS(EmployeeData[[#This Row],[Age]]&lt;30,"20s",EmployeeData[[#This Row],[Age]]&lt;40,"30s",EmployeeData[[#This Row],[Age]]&lt;50,"40s",EmployeeData[[#This Row],[Age]]&lt;60,"50s",EmployeeData[[#This Row],[Age]]&gt;=60,"60s")</f>
        <v>40s</v>
      </c>
      <c r="G323" s="5">
        <v>44669</v>
      </c>
      <c r="I323" t="s">
        <v>17</v>
      </c>
      <c r="J323" t="s">
        <v>18</v>
      </c>
      <c r="K323" cm="1">
        <f t="array" aca="1" ref="K323" ca="1">_xlfn.IFS(EmployeeData[[#This Row],[Status]]="Active",_xlfn.DAYS(TODAY(),EmployeeData[[#This Row],[Join Date]]),EmployeeData[[#This Row],[Status]]="Exited",_xlfn.DAYS(EmployeeData[[#This Row],[Exit Date]],EmployeeData[[#This Row],[Join Date]]))</f>
        <v>1528</v>
      </c>
      <c r="L323" cm="1">
        <f t="array" aca="1" ref="L323" ca="1">_xlfn.IFS(EmployeeData[[#This Row],[Status]]="Exited",DATEDIF(EmployeeData[[#This Row],[Join Date]], EmployeeData[[#This Row],[Exit Date]], "Y"),EmployeeData[[#This Row],[Status]]="Active",DATEDIF(EmployeeData[[#This Row],[Join Date]], TODAY(), "Y"))</f>
        <v>4</v>
      </c>
      <c r="Q323" t="str" cm="1">
        <f t="array" aca="1" ref="Q3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6 days</v>
      </c>
    </row>
    <row r="324" spans="1:17" hidden="1" x14ac:dyDescent="0.3">
      <c r="A324">
        <v>1323</v>
      </c>
      <c r="B324" t="s">
        <v>572</v>
      </c>
      <c r="C324" t="s">
        <v>15</v>
      </c>
      <c r="D324" t="s">
        <v>16</v>
      </c>
      <c r="E324">
        <v>41</v>
      </c>
      <c r="F324" t="str" cm="1">
        <f t="array" ref="F324">_xlfn.IFS(EmployeeData[[#This Row],[Age]]&lt;30,"20s",EmployeeData[[#This Row],[Age]]&lt;40,"30s",EmployeeData[[#This Row],[Age]]&lt;50,"40s",EmployeeData[[#This Row],[Age]]&lt;60,"50s",EmployeeData[[#This Row],[Age]]&gt;=60,"60s")</f>
        <v>40s</v>
      </c>
      <c r="G324" s="5">
        <v>44212</v>
      </c>
      <c r="I324" t="s">
        <v>17</v>
      </c>
      <c r="J324" t="s">
        <v>18</v>
      </c>
      <c r="K324" cm="1">
        <f t="array" aca="1" ref="K324" ca="1">_xlfn.IFS(EmployeeData[[#This Row],[Status]]="Active",_xlfn.DAYS(TODAY(),EmployeeData[[#This Row],[Join Date]]),EmployeeData[[#This Row],[Status]]="Exited",_xlfn.DAYS(EmployeeData[[#This Row],[Exit Date]],EmployeeData[[#This Row],[Join Date]]))</f>
        <v>1985</v>
      </c>
      <c r="L324" cm="1">
        <f t="array" aca="1" ref="L324" ca="1">_xlfn.IFS(EmployeeData[[#This Row],[Status]]="Exited",DATEDIF(EmployeeData[[#This Row],[Join Date]], EmployeeData[[#This Row],[Exit Date]], "Y"),EmployeeData[[#This Row],[Status]]="Active",DATEDIF(EmployeeData[[#This Row],[Join Date]], TODAY(), "Y"))</f>
        <v>5</v>
      </c>
      <c r="Q324" t="str" cm="1">
        <f t="array" aca="1" ref="Q3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8 days</v>
      </c>
    </row>
    <row r="325" spans="1:17" hidden="1" x14ac:dyDescent="0.3">
      <c r="A325">
        <v>1324</v>
      </c>
      <c r="B325" t="s">
        <v>897</v>
      </c>
      <c r="C325" t="s">
        <v>15</v>
      </c>
      <c r="D325" t="s">
        <v>11</v>
      </c>
      <c r="E325">
        <v>23</v>
      </c>
      <c r="F325" t="str" cm="1">
        <f t="array" ref="F325">_xlfn.IFS(EmployeeData[[#This Row],[Age]]&lt;30,"20s",EmployeeData[[#This Row],[Age]]&lt;40,"30s",EmployeeData[[#This Row],[Age]]&lt;50,"40s",EmployeeData[[#This Row],[Age]]&lt;60,"50s",EmployeeData[[#This Row],[Age]]&gt;=60,"60s")</f>
        <v>20s</v>
      </c>
      <c r="G325" s="5">
        <v>44743</v>
      </c>
      <c r="H325" s="5">
        <v>45785</v>
      </c>
      <c r="I325" t="s">
        <v>52</v>
      </c>
      <c r="J325" t="s">
        <v>13</v>
      </c>
      <c r="K325" cm="1">
        <f t="array" aca="1" ref="K325" ca="1">_xlfn.IFS(EmployeeData[[#This Row],[Status]]="Active",_xlfn.DAYS(TODAY(),EmployeeData[[#This Row],[Join Date]]),EmployeeData[[#This Row],[Status]]="Exited",_xlfn.DAYS(EmployeeData[[#This Row],[Exit Date]],EmployeeData[[#This Row],[Join Date]]))</f>
        <v>1042</v>
      </c>
      <c r="L325" cm="1">
        <f t="array" aca="1" ref="L325" ca="1">_xlfn.IFS(EmployeeData[[#This Row],[Status]]="Exited",DATEDIF(EmployeeData[[#This Row],[Join Date]], EmployeeData[[#This Row],[Exit Date]], "Y"),EmployeeData[[#This Row],[Status]]="Active",DATEDIF(EmployeeData[[#This Row],[Join Date]], TODAY(), "Y"))</f>
        <v>2</v>
      </c>
      <c r="Q325" t="str" cm="1">
        <f t="array" aca="1" ref="Q3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326" spans="1:17" hidden="1" x14ac:dyDescent="0.3">
      <c r="A326">
        <v>1325</v>
      </c>
      <c r="B326" t="s">
        <v>836</v>
      </c>
      <c r="C326" t="s">
        <v>15</v>
      </c>
      <c r="D326" t="s">
        <v>16</v>
      </c>
      <c r="E326">
        <v>57</v>
      </c>
      <c r="F326" t="str" cm="1">
        <f t="array" ref="F326">_xlfn.IFS(EmployeeData[[#This Row],[Age]]&lt;30,"20s",EmployeeData[[#This Row],[Age]]&lt;40,"30s",EmployeeData[[#This Row],[Age]]&lt;50,"40s",EmployeeData[[#This Row],[Age]]&lt;60,"50s",EmployeeData[[#This Row],[Age]]&gt;=60,"60s")</f>
        <v>50s</v>
      </c>
      <c r="G326" s="5">
        <v>44345</v>
      </c>
      <c r="I326" t="s">
        <v>17</v>
      </c>
      <c r="J326" t="s">
        <v>18</v>
      </c>
      <c r="K326" cm="1">
        <f t="array" aca="1" ref="K326" ca="1">_xlfn.IFS(EmployeeData[[#This Row],[Status]]="Active",_xlfn.DAYS(TODAY(),EmployeeData[[#This Row],[Join Date]]),EmployeeData[[#This Row],[Status]]="Exited",_xlfn.DAYS(EmployeeData[[#This Row],[Exit Date]],EmployeeData[[#This Row],[Join Date]]))</f>
        <v>1852</v>
      </c>
      <c r="L326" cm="1">
        <f t="array" aca="1" ref="L326" ca="1">_xlfn.IFS(EmployeeData[[#This Row],[Status]]="Exited",DATEDIF(EmployeeData[[#This Row],[Join Date]], EmployeeData[[#This Row],[Exit Date]], "Y"),EmployeeData[[#This Row],[Status]]="Active",DATEDIF(EmployeeData[[#This Row],[Join Date]], TODAY(), "Y"))</f>
        <v>5</v>
      </c>
      <c r="Q326" t="str" cm="1">
        <f t="array" aca="1" ref="Q3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26 days</v>
      </c>
    </row>
    <row r="327" spans="1:17" hidden="1" x14ac:dyDescent="0.3">
      <c r="A327">
        <v>1326</v>
      </c>
      <c r="B327" t="s">
        <v>895</v>
      </c>
      <c r="C327" t="s">
        <v>46</v>
      </c>
      <c r="D327" t="s">
        <v>11</v>
      </c>
      <c r="E327">
        <v>55</v>
      </c>
      <c r="F327" t="str" cm="1">
        <f t="array" ref="F327">_xlfn.IFS(EmployeeData[[#This Row],[Age]]&lt;30,"20s",EmployeeData[[#This Row],[Age]]&lt;40,"30s",EmployeeData[[#This Row],[Age]]&lt;50,"40s",EmployeeData[[#This Row],[Age]]&lt;60,"50s",EmployeeData[[#This Row],[Age]]&gt;=60,"60s")</f>
        <v>50s</v>
      </c>
      <c r="G327" s="5">
        <v>44105</v>
      </c>
      <c r="H327" s="5">
        <v>46104</v>
      </c>
      <c r="I327" t="s">
        <v>12</v>
      </c>
      <c r="J327" t="s">
        <v>13</v>
      </c>
      <c r="K327" cm="1">
        <f t="array" aca="1" ref="K327" ca="1">_xlfn.IFS(EmployeeData[[#This Row],[Status]]="Active",_xlfn.DAYS(TODAY(),EmployeeData[[#This Row],[Join Date]]),EmployeeData[[#This Row],[Status]]="Exited",_xlfn.DAYS(EmployeeData[[#This Row],[Exit Date]],EmployeeData[[#This Row],[Join Date]]))</f>
        <v>1999</v>
      </c>
      <c r="L327" cm="1">
        <f t="array" aca="1" ref="L327" ca="1">_xlfn.IFS(EmployeeData[[#This Row],[Status]]="Exited",DATEDIF(EmployeeData[[#This Row],[Join Date]], EmployeeData[[#This Row],[Exit Date]], "Y"),EmployeeData[[#This Row],[Status]]="Active",DATEDIF(EmployeeData[[#This Row],[Join Date]], TODAY(), "Y"))</f>
        <v>5</v>
      </c>
      <c r="Q327" t="str" cm="1">
        <f t="array" aca="1" ref="Q3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328" spans="1:17" hidden="1" x14ac:dyDescent="0.3">
      <c r="A328">
        <v>1327</v>
      </c>
      <c r="B328" t="s">
        <v>520</v>
      </c>
      <c r="C328" t="s">
        <v>46</v>
      </c>
      <c r="D328" t="s">
        <v>16</v>
      </c>
      <c r="E328">
        <v>45</v>
      </c>
      <c r="F328" t="str" cm="1">
        <f t="array" ref="F328">_xlfn.IFS(EmployeeData[[#This Row],[Age]]&lt;30,"20s",EmployeeData[[#This Row],[Age]]&lt;40,"30s",EmployeeData[[#This Row],[Age]]&lt;50,"40s",EmployeeData[[#This Row],[Age]]&lt;60,"50s",EmployeeData[[#This Row],[Age]]&gt;=60,"60s")</f>
        <v>40s</v>
      </c>
      <c r="G328" s="5">
        <v>44360</v>
      </c>
      <c r="H328" s="5">
        <v>45535</v>
      </c>
      <c r="I328" t="s">
        <v>21</v>
      </c>
      <c r="J328" t="s">
        <v>13</v>
      </c>
      <c r="K328" cm="1">
        <f t="array" aca="1" ref="K328" ca="1">_xlfn.IFS(EmployeeData[[#This Row],[Status]]="Active",_xlfn.DAYS(TODAY(),EmployeeData[[#This Row],[Join Date]]),EmployeeData[[#This Row],[Status]]="Exited",_xlfn.DAYS(EmployeeData[[#This Row],[Exit Date]],EmployeeData[[#This Row],[Join Date]]))</f>
        <v>1175</v>
      </c>
      <c r="L328" cm="1">
        <f t="array" aca="1" ref="L328" ca="1">_xlfn.IFS(EmployeeData[[#This Row],[Status]]="Exited",DATEDIF(EmployeeData[[#This Row],[Join Date]], EmployeeData[[#This Row],[Exit Date]], "Y"),EmployeeData[[#This Row],[Status]]="Active",DATEDIF(EmployeeData[[#This Row],[Join Date]], TODAY(), "Y"))</f>
        <v>3</v>
      </c>
      <c r="Q328" t="str" cm="1">
        <f t="array" aca="1" ref="Q3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329" spans="1:17" hidden="1" x14ac:dyDescent="0.3">
      <c r="A329">
        <v>1328</v>
      </c>
      <c r="B329" t="s">
        <v>965</v>
      </c>
      <c r="C329" t="s">
        <v>46</v>
      </c>
      <c r="D329" t="s">
        <v>16</v>
      </c>
      <c r="E329">
        <v>38</v>
      </c>
      <c r="F329" t="str" cm="1">
        <f t="array" ref="F329">_xlfn.IFS(EmployeeData[[#This Row],[Age]]&lt;30,"20s",EmployeeData[[#This Row],[Age]]&lt;40,"30s",EmployeeData[[#This Row],[Age]]&lt;50,"40s",EmployeeData[[#This Row],[Age]]&lt;60,"50s",EmployeeData[[#This Row],[Age]]&gt;=60,"60s")</f>
        <v>30s</v>
      </c>
      <c r="G329" s="5">
        <v>43482</v>
      </c>
      <c r="H329" s="5">
        <v>44520</v>
      </c>
      <c r="I329" t="s">
        <v>52</v>
      </c>
      <c r="J329" t="s">
        <v>13</v>
      </c>
      <c r="K329" cm="1">
        <f t="array" aca="1" ref="K329" ca="1">_xlfn.IFS(EmployeeData[[#This Row],[Status]]="Active",_xlfn.DAYS(TODAY(),EmployeeData[[#This Row],[Join Date]]),EmployeeData[[#This Row],[Status]]="Exited",_xlfn.DAYS(EmployeeData[[#This Row],[Exit Date]],EmployeeData[[#This Row],[Join Date]]))</f>
        <v>1038</v>
      </c>
      <c r="L329" cm="1">
        <f t="array" aca="1" ref="L329" ca="1">_xlfn.IFS(EmployeeData[[#This Row],[Status]]="Exited",DATEDIF(EmployeeData[[#This Row],[Join Date]], EmployeeData[[#This Row],[Exit Date]], "Y"),EmployeeData[[#This Row],[Status]]="Active",DATEDIF(EmployeeData[[#This Row],[Join Date]], TODAY(), "Y"))</f>
        <v>2</v>
      </c>
      <c r="Q329" t="str" cm="1">
        <f t="array" aca="1" ref="Q3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330" spans="1:17" hidden="1" x14ac:dyDescent="0.3">
      <c r="A330">
        <v>1329</v>
      </c>
      <c r="B330" t="s">
        <v>632</v>
      </c>
      <c r="C330" t="s">
        <v>10</v>
      </c>
      <c r="D330" t="s">
        <v>11</v>
      </c>
      <c r="E330">
        <v>26</v>
      </c>
      <c r="F330" t="str" cm="1">
        <f t="array" ref="F330">_xlfn.IFS(EmployeeData[[#This Row],[Age]]&lt;30,"20s",EmployeeData[[#This Row],[Age]]&lt;40,"30s",EmployeeData[[#This Row],[Age]]&lt;50,"40s",EmployeeData[[#This Row],[Age]]&lt;60,"50s",EmployeeData[[#This Row],[Age]]&gt;=60,"60s")</f>
        <v>20s</v>
      </c>
      <c r="G330" s="5">
        <v>45479</v>
      </c>
      <c r="H330" s="5">
        <v>45705</v>
      </c>
      <c r="I330" t="s">
        <v>28</v>
      </c>
      <c r="J330" t="s">
        <v>13</v>
      </c>
      <c r="K330" cm="1">
        <f t="array" aca="1" ref="K330" ca="1">_xlfn.IFS(EmployeeData[[#This Row],[Status]]="Active",_xlfn.DAYS(TODAY(),EmployeeData[[#This Row],[Join Date]]),EmployeeData[[#This Row],[Status]]="Exited",_xlfn.DAYS(EmployeeData[[#This Row],[Exit Date]],EmployeeData[[#This Row],[Join Date]]))</f>
        <v>226</v>
      </c>
      <c r="L330" cm="1">
        <f t="array" aca="1" ref="L330" ca="1">_xlfn.IFS(EmployeeData[[#This Row],[Status]]="Exited",DATEDIF(EmployeeData[[#This Row],[Join Date]], EmployeeData[[#This Row],[Exit Date]], "Y"),EmployeeData[[#This Row],[Status]]="Active",DATEDIF(EmployeeData[[#This Row],[Join Date]], TODAY(), "Y"))</f>
        <v>0</v>
      </c>
      <c r="Q330" t="str" cm="1">
        <f t="array" aca="1" ref="Q3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331" spans="1:17" hidden="1" x14ac:dyDescent="0.3">
      <c r="A331">
        <v>1330</v>
      </c>
      <c r="B331" t="s">
        <v>119</v>
      </c>
      <c r="C331" t="s">
        <v>10</v>
      </c>
      <c r="D331" t="s">
        <v>11</v>
      </c>
      <c r="E331">
        <v>36</v>
      </c>
      <c r="F331" t="str" cm="1">
        <f t="array" ref="F331">_xlfn.IFS(EmployeeData[[#This Row],[Age]]&lt;30,"20s",EmployeeData[[#This Row],[Age]]&lt;40,"30s",EmployeeData[[#This Row],[Age]]&lt;50,"40s",EmployeeData[[#This Row],[Age]]&lt;60,"50s",EmployeeData[[#This Row],[Age]]&gt;=60,"60s")</f>
        <v>30s</v>
      </c>
      <c r="G331" s="5">
        <v>44295</v>
      </c>
      <c r="H331" s="5">
        <v>45030</v>
      </c>
      <c r="I331" t="s">
        <v>21</v>
      </c>
      <c r="J331" t="s">
        <v>13</v>
      </c>
      <c r="K331" cm="1">
        <f t="array" aca="1" ref="K331" ca="1">_xlfn.IFS(EmployeeData[[#This Row],[Status]]="Active",_xlfn.DAYS(TODAY(),EmployeeData[[#This Row],[Join Date]]),EmployeeData[[#This Row],[Status]]="Exited",_xlfn.DAYS(EmployeeData[[#This Row],[Exit Date]],EmployeeData[[#This Row],[Join Date]]))</f>
        <v>735</v>
      </c>
      <c r="L331" cm="1">
        <f t="array" aca="1" ref="L331" ca="1">_xlfn.IFS(EmployeeData[[#This Row],[Status]]="Exited",DATEDIF(EmployeeData[[#This Row],[Join Date]], EmployeeData[[#This Row],[Exit Date]], "Y"),EmployeeData[[#This Row],[Status]]="Active",DATEDIF(EmployeeData[[#This Row],[Join Date]], TODAY(), "Y"))</f>
        <v>2</v>
      </c>
      <c r="Q331" t="str" cm="1">
        <f t="array" aca="1" ref="Q3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5 days</v>
      </c>
    </row>
    <row r="332" spans="1:17" x14ac:dyDescent="0.3">
      <c r="A332">
        <v>1331</v>
      </c>
      <c r="B332" t="s">
        <v>819</v>
      </c>
      <c r="C332" t="s">
        <v>10</v>
      </c>
      <c r="D332" t="s">
        <v>24</v>
      </c>
      <c r="E332">
        <v>35</v>
      </c>
      <c r="F332" t="str" cm="1">
        <f t="array" ref="F332">_xlfn.IFS(EmployeeData[[#This Row],[Age]]&lt;30,"20s",EmployeeData[[#This Row],[Age]]&lt;40,"30s",EmployeeData[[#This Row],[Age]]&lt;50,"40s",EmployeeData[[#This Row],[Age]]&lt;60,"50s",EmployeeData[[#This Row],[Age]]&gt;=60,"60s")</f>
        <v>30s</v>
      </c>
      <c r="G332" s="5">
        <v>43406</v>
      </c>
      <c r="I332" t="s">
        <v>17</v>
      </c>
      <c r="J332" t="s">
        <v>18</v>
      </c>
      <c r="K332" cm="1">
        <f t="array" aca="1" ref="K332" ca="1">_xlfn.IFS(EmployeeData[[#This Row],[Status]]="Active",_xlfn.DAYS(TODAY(),EmployeeData[[#This Row],[Join Date]]),EmployeeData[[#This Row],[Status]]="Exited",_xlfn.DAYS(EmployeeData[[#This Row],[Exit Date]],EmployeeData[[#This Row],[Join Date]]))</f>
        <v>2791</v>
      </c>
      <c r="L332" cm="1">
        <f t="array" aca="1" ref="L332" ca="1">_xlfn.IFS(EmployeeData[[#This Row],[Status]]="Exited",DATEDIF(EmployeeData[[#This Row],[Join Date]], EmployeeData[[#This Row],[Exit Date]], "Y"),EmployeeData[[#This Row],[Status]]="Active",DATEDIF(EmployeeData[[#This Row],[Join Date]], TODAY(), "Y"))</f>
        <v>7</v>
      </c>
      <c r="Q332" t="str" cm="1">
        <f t="array" aca="1" ref="Q3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22 days</v>
      </c>
    </row>
    <row r="333" spans="1:17" hidden="1" x14ac:dyDescent="0.3">
      <c r="A333">
        <v>1332</v>
      </c>
      <c r="B333" t="s">
        <v>583</v>
      </c>
      <c r="C333" t="s">
        <v>15</v>
      </c>
      <c r="D333" t="s">
        <v>24</v>
      </c>
      <c r="E333">
        <v>47</v>
      </c>
      <c r="F333" t="str" cm="1">
        <f t="array" ref="F333">_xlfn.IFS(EmployeeData[[#This Row],[Age]]&lt;30,"20s",EmployeeData[[#This Row],[Age]]&lt;40,"30s",EmployeeData[[#This Row],[Age]]&lt;50,"40s",EmployeeData[[#This Row],[Age]]&lt;60,"50s",EmployeeData[[#This Row],[Age]]&gt;=60,"60s")</f>
        <v>40s</v>
      </c>
      <c r="G333" s="5">
        <v>43595</v>
      </c>
      <c r="I333" t="s">
        <v>17</v>
      </c>
      <c r="J333" t="s">
        <v>18</v>
      </c>
      <c r="K333" cm="1">
        <f t="array" aca="1" ref="K333" ca="1">_xlfn.IFS(EmployeeData[[#This Row],[Status]]="Active",_xlfn.DAYS(TODAY(),EmployeeData[[#This Row],[Join Date]]),EmployeeData[[#This Row],[Status]]="Exited",_xlfn.DAYS(EmployeeData[[#This Row],[Exit Date]],EmployeeData[[#This Row],[Join Date]]))</f>
        <v>2602</v>
      </c>
      <c r="L333" cm="1">
        <f t="array" aca="1" ref="L333" ca="1">_xlfn.IFS(EmployeeData[[#This Row],[Status]]="Exited",DATEDIF(EmployeeData[[#This Row],[Join Date]], EmployeeData[[#This Row],[Exit Date]], "Y"),EmployeeData[[#This Row],[Status]]="Active",DATEDIF(EmployeeData[[#This Row],[Join Date]], TODAY(), "Y"))</f>
        <v>7</v>
      </c>
      <c r="Q333" t="str" cm="1">
        <f t="array" aca="1" ref="Q3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14 days</v>
      </c>
    </row>
    <row r="334" spans="1:17" hidden="1" x14ac:dyDescent="0.3">
      <c r="A334">
        <v>1333</v>
      </c>
      <c r="B334" t="s">
        <v>78</v>
      </c>
      <c r="C334" t="s">
        <v>33</v>
      </c>
      <c r="D334" t="s">
        <v>16</v>
      </c>
      <c r="E334">
        <v>40</v>
      </c>
      <c r="F334" t="str" cm="1">
        <f t="array" ref="F334">_xlfn.IFS(EmployeeData[[#This Row],[Age]]&lt;30,"20s",EmployeeData[[#This Row],[Age]]&lt;40,"30s",EmployeeData[[#This Row],[Age]]&lt;50,"40s",EmployeeData[[#This Row],[Age]]&lt;60,"50s",EmployeeData[[#This Row],[Age]]&gt;=60,"60s")</f>
        <v>40s</v>
      </c>
      <c r="G334" s="5">
        <v>45987</v>
      </c>
      <c r="I334" t="s">
        <v>17</v>
      </c>
      <c r="J334" t="s">
        <v>18</v>
      </c>
      <c r="K334" cm="1">
        <f t="array" aca="1" ref="K334" ca="1">_xlfn.IFS(EmployeeData[[#This Row],[Status]]="Active",_xlfn.DAYS(TODAY(),EmployeeData[[#This Row],[Join Date]]),EmployeeData[[#This Row],[Status]]="Exited",_xlfn.DAYS(EmployeeData[[#This Row],[Exit Date]],EmployeeData[[#This Row],[Join Date]]))</f>
        <v>210</v>
      </c>
      <c r="L334" cm="1">
        <f t="array" aca="1" ref="L334" ca="1">_xlfn.IFS(EmployeeData[[#This Row],[Status]]="Exited",DATEDIF(EmployeeData[[#This Row],[Join Date]], EmployeeData[[#This Row],[Exit Date]], "Y"),EmployeeData[[#This Row],[Status]]="Active",DATEDIF(EmployeeData[[#This Row],[Join Date]], TODAY(), "Y"))</f>
        <v>0</v>
      </c>
      <c r="Q334" t="str" cm="1">
        <f t="array" aca="1" ref="Q3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29 days</v>
      </c>
    </row>
    <row r="335" spans="1:17" hidden="1" x14ac:dyDescent="0.3">
      <c r="A335">
        <v>1334</v>
      </c>
      <c r="B335" t="s">
        <v>222</v>
      </c>
      <c r="C335" t="s">
        <v>10</v>
      </c>
      <c r="D335" t="s">
        <v>16</v>
      </c>
      <c r="E335">
        <v>36</v>
      </c>
      <c r="F335" t="str" cm="1">
        <f t="array" ref="F335">_xlfn.IFS(EmployeeData[[#This Row],[Age]]&lt;30,"20s",EmployeeData[[#This Row],[Age]]&lt;40,"30s",EmployeeData[[#This Row],[Age]]&lt;50,"40s",EmployeeData[[#This Row],[Age]]&lt;60,"50s",EmployeeData[[#This Row],[Age]]&gt;=60,"60s")</f>
        <v>30s</v>
      </c>
      <c r="G335" s="5">
        <v>44558</v>
      </c>
      <c r="I335" t="s">
        <v>17</v>
      </c>
      <c r="J335" t="s">
        <v>18</v>
      </c>
      <c r="K335" cm="1">
        <f t="array" aca="1" ref="K335" ca="1">_xlfn.IFS(EmployeeData[[#This Row],[Status]]="Active",_xlfn.DAYS(TODAY(),EmployeeData[[#This Row],[Join Date]]),EmployeeData[[#This Row],[Status]]="Exited",_xlfn.DAYS(EmployeeData[[#This Row],[Exit Date]],EmployeeData[[#This Row],[Join Date]]))</f>
        <v>1639</v>
      </c>
      <c r="L335" cm="1">
        <f t="array" aca="1" ref="L335" ca="1">_xlfn.IFS(EmployeeData[[#This Row],[Status]]="Exited",DATEDIF(EmployeeData[[#This Row],[Join Date]], EmployeeData[[#This Row],[Exit Date]], "Y"),EmployeeData[[#This Row],[Status]]="Active",DATEDIF(EmployeeData[[#This Row],[Join Date]], TODAY(), "Y"))</f>
        <v>4</v>
      </c>
      <c r="Q335" t="str" cm="1">
        <f t="array" aca="1" ref="Q3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27 days</v>
      </c>
    </row>
    <row r="336" spans="1:17" hidden="1" x14ac:dyDescent="0.3">
      <c r="A336">
        <v>1335</v>
      </c>
      <c r="B336" t="s">
        <v>1030</v>
      </c>
      <c r="C336" t="s">
        <v>15</v>
      </c>
      <c r="D336" t="s">
        <v>24</v>
      </c>
      <c r="E336">
        <v>49</v>
      </c>
      <c r="F336" t="str" cm="1">
        <f t="array" ref="F336">_xlfn.IFS(EmployeeData[[#This Row],[Age]]&lt;30,"20s",EmployeeData[[#This Row],[Age]]&lt;40,"30s",EmployeeData[[#This Row],[Age]]&lt;50,"40s",EmployeeData[[#This Row],[Age]]&lt;60,"50s",EmployeeData[[#This Row],[Age]]&gt;=60,"60s")</f>
        <v>40s</v>
      </c>
      <c r="G336" s="5">
        <v>45378</v>
      </c>
      <c r="I336" t="s">
        <v>17</v>
      </c>
      <c r="J336" t="s">
        <v>18</v>
      </c>
      <c r="K336" cm="1">
        <f t="array" aca="1" ref="K336" ca="1">_xlfn.IFS(EmployeeData[[#This Row],[Status]]="Active",_xlfn.DAYS(TODAY(),EmployeeData[[#This Row],[Join Date]]),EmployeeData[[#This Row],[Status]]="Exited",_xlfn.DAYS(EmployeeData[[#This Row],[Exit Date]],EmployeeData[[#This Row],[Join Date]]))</f>
        <v>819</v>
      </c>
      <c r="L336" cm="1">
        <f t="array" aca="1" ref="L336" ca="1">_xlfn.IFS(EmployeeData[[#This Row],[Status]]="Exited",DATEDIF(EmployeeData[[#This Row],[Join Date]], EmployeeData[[#This Row],[Exit Date]], "Y"),EmployeeData[[#This Row],[Status]]="Active",DATEDIF(EmployeeData[[#This Row],[Join Date]], TODAY(), "Y"))</f>
        <v>2</v>
      </c>
      <c r="Q336" t="str" cm="1">
        <f t="array" aca="1" ref="Q3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28 days</v>
      </c>
    </row>
    <row r="337" spans="1:17" hidden="1" x14ac:dyDescent="0.3">
      <c r="A337">
        <v>1336</v>
      </c>
      <c r="B337" t="s">
        <v>746</v>
      </c>
      <c r="C337" t="s">
        <v>15</v>
      </c>
      <c r="D337" t="s">
        <v>16</v>
      </c>
      <c r="E337">
        <v>35</v>
      </c>
      <c r="F337" t="str" cm="1">
        <f t="array" ref="F337">_xlfn.IFS(EmployeeData[[#This Row],[Age]]&lt;30,"20s",EmployeeData[[#This Row],[Age]]&lt;40,"30s",EmployeeData[[#This Row],[Age]]&lt;50,"40s",EmployeeData[[#This Row],[Age]]&lt;60,"50s",EmployeeData[[#This Row],[Age]]&gt;=60,"60s")</f>
        <v>30s</v>
      </c>
      <c r="G337" s="5">
        <v>43636</v>
      </c>
      <c r="H337" s="5">
        <v>45366</v>
      </c>
      <c r="I337" t="s">
        <v>12</v>
      </c>
      <c r="J337" t="s">
        <v>13</v>
      </c>
      <c r="K337" cm="1">
        <f t="array" aca="1" ref="K337" ca="1">_xlfn.IFS(EmployeeData[[#This Row],[Status]]="Active",_xlfn.DAYS(TODAY(),EmployeeData[[#This Row],[Join Date]]),EmployeeData[[#This Row],[Status]]="Exited",_xlfn.DAYS(EmployeeData[[#This Row],[Exit Date]],EmployeeData[[#This Row],[Join Date]]))</f>
        <v>1730</v>
      </c>
      <c r="L337" cm="1">
        <f t="array" aca="1" ref="L337" ca="1">_xlfn.IFS(EmployeeData[[#This Row],[Status]]="Exited",DATEDIF(EmployeeData[[#This Row],[Join Date]], EmployeeData[[#This Row],[Exit Date]], "Y"),EmployeeData[[#This Row],[Status]]="Active",DATEDIF(EmployeeData[[#This Row],[Join Date]], TODAY(), "Y"))</f>
        <v>4</v>
      </c>
      <c r="Q337" t="str" cm="1">
        <f t="array" aca="1" ref="Q3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338" spans="1:17" hidden="1" x14ac:dyDescent="0.3">
      <c r="A338">
        <v>1337</v>
      </c>
      <c r="B338" t="s">
        <v>618</v>
      </c>
      <c r="C338" t="s">
        <v>15</v>
      </c>
      <c r="D338" t="s">
        <v>16</v>
      </c>
      <c r="E338">
        <v>49</v>
      </c>
      <c r="F338" t="str" cm="1">
        <f t="array" ref="F338">_xlfn.IFS(EmployeeData[[#This Row],[Age]]&lt;30,"20s",EmployeeData[[#This Row],[Age]]&lt;40,"30s",EmployeeData[[#This Row],[Age]]&lt;50,"40s",EmployeeData[[#This Row],[Age]]&lt;60,"50s",EmployeeData[[#This Row],[Age]]&gt;=60,"60s")</f>
        <v>40s</v>
      </c>
      <c r="G338" s="5">
        <v>43628</v>
      </c>
      <c r="H338" s="5">
        <v>45076</v>
      </c>
      <c r="I338" t="s">
        <v>31</v>
      </c>
      <c r="J338" t="s">
        <v>13</v>
      </c>
      <c r="K338" cm="1">
        <f t="array" aca="1" ref="K338" ca="1">_xlfn.IFS(EmployeeData[[#This Row],[Status]]="Active",_xlfn.DAYS(TODAY(),EmployeeData[[#This Row],[Join Date]]),EmployeeData[[#This Row],[Status]]="Exited",_xlfn.DAYS(EmployeeData[[#This Row],[Exit Date]],EmployeeData[[#This Row],[Join Date]]))</f>
        <v>1448</v>
      </c>
      <c r="L338" cm="1">
        <f t="array" aca="1" ref="L338" ca="1">_xlfn.IFS(EmployeeData[[#This Row],[Status]]="Exited",DATEDIF(EmployeeData[[#This Row],[Join Date]], EmployeeData[[#This Row],[Exit Date]], "Y"),EmployeeData[[#This Row],[Status]]="Active",DATEDIF(EmployeeData[[#This Row],[Join Date]], TODAY(), "Y"))</f>
        <v>3</v>
      </c>
      <c r="Q338" t="str" cm="1">
        <f t="array" aca="1" ref="Q3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339" spans="1:17" hidden="1" x14ac:dyDescent="0.3">
      <c r="A339">
        <v>1338</v>
      </c>
      <c r="B339" t="s">
        <v>766</v>
      </c>
      <c r="C339" t="s">
        <v>33</v>
      </c>
      <c r="D339" t="s">
        <v>24</v>
      </c>
      <c r="E339">
        <v>22</v>
      </c>
      <c r="F339" t="str" cm="1">
        <f t="array" ref="F339">_xlfn.IFS(EmployeeData[[#This Row],[Age]]&lt;30,"20s",EmployeeData[[#This Row],[Age]]&lt;40,"30s",EmployeeData[[#This Row],[Age]]&lt;50,"40s",EmployeeData[[#This Row],[Age]]&lt;60,"50s",EmployeeData[[#This Row],[Age]]&gt;=60,"60s")</f>
        <v>20s</v>
      </c>
      <c r="G339" s="5">
        <v>44668</v>
      </c>
      <c r="I339" t="s">
        <v>17</v>
      </c>
      <c r="J339" t="s">
        <v>18</v>
      </c>
      <c r="K339" cm="1">
        <f t="array" aca="1" ref="K339" ca="1">_xlfn.IFS(EmployeeData[[#This Row],[Status]]="Active",_xlfn.DAYS(TODAY(),EmployeeData[[#This Row],[Join Date]]),EmployeeData[[#This Row],[Status]]="Exited",_xlfn.DAYS(EmployeeData[[#This Row],[Exit Date]],EmployeeData[[#This Row],[Join Date]]))</f>
        <v>1529</v>
      </c>
      <c r="L339" cm="1">
        <f t="array" aca="1" ref="L339" ca="1">_xlfn.IFS(EmployeeData[[#This Row],[Status]]="Exited",DATEDIF(EmployeeData[[#This Row],[Join Date]], EmployeeData[[#This Row],[Exit Date]], "Y"),EmployeeData[[#This Row],[Status]]="Active",DATEDIF(EmployeeData[[#This Row],[Join Date]], TODAY(), "Y"))</f>
        <v>4</v>
      </c>
      <c r="Q339" t="str" cm="1">
        <f t="array" aca="1" ref="Q3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340" spans="1:17" x14ac:dyDescent="0.3">
      <c r="A340">
        <v>1339</v>
      </c>
      <c r="B340" t="s">
        <v>170</v>
      </c>
      <c r="C340" t="s">
        <v>10</v>
      </c>
      <c r="D340" t="s">
        <v>24</v>
      </c>
      <c r="E340">
        <v>30</v>
      </c>
      <c r="F340" t="str" cm="1">
        <f t="array" ref="F340">_xlfn.IFS(EmployeeData[[#This Row],[Age]]&lt;30,"20s",EmployeeData[[#This Row],[Age]]&lt;40,"30s",EmployeeData[[#This Row],[Age]]&lt;50,"40s",EmployeeData[[#This Row],[Age]]&lt;60,"50s",EmployeeData[[#This Row],[Age]]&gt;=60,"60s")</f>
        <v>30s</v>
      </c>
      <c r="G340" s="5">
        <v>43242</v>
      </c>
      <c r="I340" t="s">
        <v>17</v>
      </c>
      <c r="J340" t="s">
        <v>18</v>
      </c>
      <c r="K340" cm="1">
        <f t="array" aca="1" ref="K340" ca="1">_xlfn.IFS(EmployeeData[[#This Row],[Status]]="Active",_xlfn.DAYS(TODAY(),EmployeeData[[#This Row],[Join Date]]),EmployeeData[[#This Row],[Status]]="Exited",_xlfn.DAYS(EmployeeData[[#This Row],[Exit Date]],EmployeeData[[#This Row],[Join Date]]))</f>
        <v>2955</v>
      </c>
      <c r="L340" cm="1">
        <f t="array" aca="1" ref="L340" ca="1">_xlfn.IFS(EmployeeData[[#This Row],[Status]]="Exited",DATEDIF(EmployeeData[[#This Row],[Join Date]], EmployeeData[[#This Row],[Exit Date]], "Y"),EmployeeData[[#This Row],[Status]]="Active",DATEDIF(EmployeeData[[#This Row],[Join Date]], TODAY(), "Y"))</f>
        <v>8</v>
      </c>
      <c r="Q340" t="str" cm="1">
        <f t="array" aca="1" ref="Q3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 days</v>
      </c>
    </row>
    <row r="341" spans="1:17" hidden="1" x14ac:dyDescent="0.3">
      <c r="A341">
        <v>1340</v>
      </c>
      <c r="B341" t="s">
        <v>979</v>
      </c>
      <c r="C341" t="s">
        <v>33</v>
      </c>
      <c r="D341" t="s">
        <v>24</v>
      </c>
      <c r="E341">
        <v>26</v>
      </c>
      <c r="F341" t="str" cm="1">
        <f t="array" ref="F341">_xlfn.IFS(EmployeeData[[#This Row],[Age]]&lt;30,"20s",EmployeeData[[#This Row],[Age]]&lt;40,"30s",EmployeeData[[#This Row],[Age]]&lt;50,"40s",EmployeeData[[#This Row],[Age]]&lt;60,"50s",EmployeeData[[#This Row],[Age]]&gt;=60,"60s")</f>
        <v>20s</v>
      </c>
      <c r="G341" s="5">
        <v>44246</v>
      </c>
      <c r="I341" t="s">
        <v>17</v>
      </c>
      <c r="J341" t="s">
        <v>18</v>
      </c>
      <c r="K341" cm="1">
        <f t="array" aca="1" ref="K341" ca="1">_xlfn.IFS(EmployeeData[[#This Row],[Status]]="Active",_xlfn.DAYS(TODAY(),EmployeeData[[#This Row],[Join Date]]),EmployeeData[[#This Row],[Status]]="Exited",_xlfn.DAYS(EmployeeData[[#This Row],[Exit Date]],EmployeeData[[#This Row],[Join Date]]))</f>
        <v>1951</v>
      </c>
      <c r="L341" cm="1">
        <f t="array" aca="1" ref="L341" ca="1">_xlfn.IFS(EmployeeData[[#This Row],[Status]]="Exited",DATEDIF(EmployeeData[[#This Row],[Join Date]], EmployeeData[[#This Row],[Exit Date]], "Y"),EmployeeData[[#This Row],[Status]]="Active",DATEDIF(EmployeeData[[#This Row],[Join Date]], TODAY(), "Y"))</f>
        <v>5</v>
      </c>
      <c r="Q341" t="str" cm="1">
        <f t="array" aca="1" ref="Q3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5 days</v>
      </c>
    </row>
    <row r="342" spans="1:17" x14ac:dyDescent="0.3">
      <c r="A342">
        <v>1341</v>
      </c>
      <c r="B342" t="s">
        <v>728</v>
      </c>
      <c r="C342" t="s">
        <v>33</v>
      </c>
      <c r="D342" t="s">
        <v>16</v>
      </c>
      <c r="E342">
        <v>55</v>
      </c>
      <c r="F342" t="str" cm="1">
        <f t="array" ref="F342">_xlfn.IFS(EmployeeData[[#This Row],[Age]]&lt;30,"20s",EmployeeData[[#This Row],[Age]]&lt;40,"30s",EmployeeData[[#This Row],[Age]]&lt;50,"40s",EmployeeData[[#This Row],[Age]]&lt;60,"50s",EmployeeData[[#This Row],[Age]]&gt;=60,"60s")</f>
        <v>50s</v>
      </c>
      <c r="G342" s="5">
        <v>43180</v>
      </c>
      <c r="I342" t="s">
        <v>17</v>
      </c>
      <c r="J342" t="s">
        <v>18</v>
      </c>
      <c r="K342" cm="1">
        <f t="array" aca="1" ref="K342" ca="1">_xlfn.IFS(EmployeeData[[#This Row],[Status]]="Active",_xlfn.DAYS(TODAY(),EmployeeData[[#This Row],[Join Date]]),EmployeeData[[#This Row],[Status]]="Exited",_xlfn.DAYS(EmployeeData[[#This Row],[Exit Date]],EmployeeData[[#This Row],[Join Date]]))</f>
        <v>3017</v>
      </c>
      <c r="L342" cm="1">
        <f t="array" aca="1" ref="L342" ca="1">_xlfn.IFS(EmployeeData[[#This Row],[Status]]="Exited",DATEDIF(EmployeeData[[#This Row],[Join Date]], EmployeeData[[#This Row],[Exit Date]], "Y"),EmployeeData[[#This Row],[Status]]="Active",DATEDIF(EmployeeData[[#This Row],[Join Date]], TODAY(), "Y"))</f>
        <v>8</v>
      </c>
      <c r="Q342" t="str" cm="1">
        <f t="array" aca="1" ref="Q3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3 days</v>
      </c>
    </row>
    <row r="343" spans="1:17" hidden="1" x14ac:dyDescent="0.3">
      <c r="A343">
        <v>1342</v>
      </c>
      <c r="B343" t="s">
        <v>776</v>
      </c>
      <c r="C343" t="s">
        <v>10</v>
      </c>
      <c r="D343" t="s">
        <v>24</v>
      </c>
      <c r="E343">
        <v>57</v>
      </c>
      <c r="F343" t="str" cm="1">
        <f t="array" ref="F343">_xlfn.IFS(EmployeeData[[#This Row],[Age]]&lt;30,"20s",EmployeeData[[#This Row],[Age]]&lt;40,"30s",EmployeeData[[#This Row],[Age]]&lt;50,"40s",EmployeeData[[#This Row],[Age]]&lt;60,"50s",EmployeeData[[#This Row],[Age]]&gt;=60,"60s")</f>
        <v>50s</v>
      </c>
      <c r="G343" s="5">
        <v>44691</v>
      </c>
      <c r="H343" s="5">
        <v>44834</v>
      </c>
      <c r="I343" t="s">
        <v>26</v>
      </c>
      <c r="J343" t="s">
        <v>13</v>
      </c>
      <c r="K343" cm="1">
        <f t="array" aca="1" ref="K343" ca="1">_xlfn.IFS(EmployeeData[[#This Row],[Status]]="Active",_xlfn.DAYS(TODAY(),EmployeeData[[#This Row],[Join Date]]),EmployeeData[[#This Row],[Status]]="Exited",_xlfn.DAYS(EmployeeData[[#This Row],[Exit Date]],EmployeeData[[#This Row],[Join Date]]))</f>
        <v>143</v>
      </c>
      <c r="L343" cm="1">
        <f t="array" aca="1" ref="L343" ca="1">_xlfn.IFS(EmployeeData[[#This Row],[Status]]="Exited",DATEDIF(EmployeeData[[#This Row],[Join Date]], EmployeeData[[#This Row],[Exit Date]], "Y"),EmployeeData[[#This Row],[Status]]="Active",DATEDIF(EmployeeData[[#This Row],[Join Date]], TODAY(), "Y"))</f>
        <v>0</v>
      </c>
      <c r="Q343" t="str" cm="1">
        <f t="array" aca="1" ref="Q3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20 days</v>
      </c>
    </row>
    <row r="344" spans="1:17" hidden="1" x14ac:dyDescent="0.3">
      <c r="A344">
        <v>1343</v>
      </c>
      <c r="B344" t="s">
        <v>73</v>
      </c>
      <c r="C344" t="s">
        <v>23</v>
      </c>
      <c r="D344" t="s">
        <v>11</v>
      </c>
      <c r="E344">
        <v>51</v>
      </c>
      <c r="F344" t="str" cm="1">
        <f t="array" ref="F344">_xlfn.IFS(EmployeeData[[#This Row],[Age]]&lt;30,"20s",EmployeeData[[#This Row],[Age]]&lt;40,"30s",EmployeeData[[#This Row],[Age]]&lt;50,"40s",EmployeeData[[#This Row],[Age]]&lt;60,"50s",EmployeeData[[#This Row],[Age]]&gt;=60,"60s")</f>
        <v>50s</v>
      </c>
      <c r="G344" s="5">
        <v>43754</v>
      </c>
      <c r="H344" s="5">
        <v>44831</v>
      </c>
      <c r="I344" t="s">
        <v>26</v>
      </c>
      <c r="J344" t="s">
        <v>13</v>
      </c>
      <c r="K344" cm="1">
        <f t="array" aca="1" ref="K344" ca="1">_xlfn.IFS(EmployeeData[[#This Row],[Status]]="Active",_xlfn.DAYS(TODAY(),EmployeeData[[#This Row],[Join Date]]),EmployeeData[[#This Row],[Status]]="Exited",_xlfn.DAYS(EmployeeData[[#This Row],[Exit Date]],EmployeeData[[#This Row],[Join Date]]))</f>
        <v>1077</v>
      </c>
      <c r="L344" cm="1">
        <f t="array" aca="1" ref="L344" ca="1">_xlfn.IFS(EmployeeData[[#This Row],[Status]]="Exited",DATEDIF(EmployeeData[[#This Row],[Join Date]], EmployeeData[[#This Row],[Exit Date]], "Y"),EmployeeData[[#This Row],[Status]]="Active",DATEDIF(EmployeeData[[#This Row],[Join Date]], TODAY(), "Y"))</f>
        <v>2</v>
      </c>
      <c r="Q344" t="str" cm="1">
        <f t="array" aca="1" ref="Q3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345" spans="1:17" hidden="1" x14ac:dyDescent="0.3">
      <c r="A345">
        <v>1344</v>
      </c>
      <c r="B345" t="s">
        <v>203</v>
      </c>
      <c r="C345" t="s">
        <v>33</v>
      </c>
      <c r="D345" t="s">
        <v>24</v>
      </c>
      <c r="E345">
        <v>32</v>
      </c>
      <c r="F345" t="str" cm="1">
        <f t="array" ref="F345">_xlfn.IFS(EmployeeData[[#This Row],[Age]]&lt;30,"20s",EmployeeData[[#This Row],[Age]]&lt;40,"30s",EmployeeData[[#This Row],[Age]]&lt;50,"40s",EmployeeData[[#This Row],[Age]]&lt;60,"50s",EmployeeData[[#This Row],[Age]]&gt;=60,"60s")</f>
        <v>30s</v>
      </c>
      <c r="G345" s="5">
        <v>43822</v>
      </c>
      <c r="H345" s="5">
        <v>45214</v>
      </c>
      <c r="I345" t="s">
        <v>52</v>
      </c>
      <c r="J345" t="s">
        <v>13</v>
      </c>
      <c r="K345" cm="1">
        <f t="array" aca="1" ref="K345" ca="1">_xlfn.IFS(EmployeeData[[#This Row],[Status]]="Active",_xlfn.DAYS(TODAY(),EmployeeData[[#This Row],[Join Date]]),EmployeeData[[#This Row],[Status]]="Exited",_xlfn.DAYS(EmployeeData[[#This Row],[Exit Date]],EmployeeData[[#This Row],[Join Date]]))</f>
        <v>1392</v>
      </c>
      <c r="L345" cm="1">
        <f t="array" aca="1" ref="L345" ca="1">_xlfn.IFS(EmployeeData[[#This Row],[Status]]="Exited",DATEDIF(EmployeeData[[#This Row],[Join Date]], EmployeeData[[#This Row],[Exit Date]], "Y"),EmployeeData[[#This Row],[Status]]="Active",DATEDIF(EmployeeData[[#This Row],[Join Date]], TODAY(), "Y"))</f>
        <v>3</v>
      </c>
      <c r="Q345" t="str" cm="1">
        <f t="array" aca="1" ref="Q3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22 days</v>
      </c>
    </row>
    <row r="346" spans="1:17" hidden="1" x14ac:dyDescent="0.3">
      <c r="A346">
        <v>1345</v>
      </c>
      <c r="B346" t="s">
        <v>286</v>
      </c>
      <c r="C346" t="s">
        <v>46</v>
      </c>
      <c r="D346" t="s">
        <v>24</v>
      </c>
      <c r="E346">
        <v>57</v>
      </c>
      <c r="F346" t="str" cm="1">
        <f t="array" ref="F346">_xlfn.IFS(EmployeeData[[#This Row],[Age]]&lt;30,"20s",EmployeeData[[#This Row],[Age]]&lt;40,"30s",EmployeeData[[#This Row],[Age]]&lt;50,"40s",EmployeeData[[#This Row],[Age]]&lt;60,"50s",EmployeeData[[#This Row],[Age]]&gt;=60,"60s")</f>
        <v>50s</v>
      </c>
      <c r="G346" s="5">
        <v>43872</v>
      </c>
      <c r="I346" t="s">
        <v>17</v>
      </c>
      <c r="J346" t="s">
        <v>18</v>
      </c>
      <c r="K346" cm="1">
        <f t="array" aca="1" ref="K346" ca="1">_xlfn.IFS(EmployeeData[[#This Row],[Status]]="Active",_xlfn.DAYS(TODAY(),EmployeeData[[#This Row],[Join Date]]),EmployeeData[[#This Row],[Status]]="Exited",_xlfn.DAYS(EmployeeData[[#This Row],[Exit Date]],EmployeeData[[#This Row],[Join Date]]))</f>
        <v>2325</v>
      </c>
      <c r="L346" cm="1">
        <f t="array" aca="1" ref="L346" ca="1">_xlfn.IFS(EmployeeData[[#This Row],[Status]]="Exited",DATEDIF(EmployeeData[[#This Row],[Join Date]], EmployeeData[[#This Row],[Exit Date]], "Y"),EmployeeData[[#This Row],[Status]]="Active",DATEDIF(EmployeeData[[#This Row],[Join Date]], TODAY(), "Y"))</f>
        <v>6</v>
      </c>
      <c r="Q346" t="str" cm="1">
        <f t="array" aca="1" ref="Q3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13 days</v>
      </c>
    </row>
    <row r="347" spans="1:17" x14ac:dyDescent="0.3">
      <c r="A347">
        <v>1346</v>
      </c>
      <c r="B347" t="s">
        <v>931</v>
      </c>
      <c r="C347" t="s">
        <v>15</v>
      </c>
      <c r="D347" t="s">
        <v>16</v>
      </c>
      <c r="E347">
        <v>35</v>
      </c>
      <c r="F347" t="str" cm="1">
        <f t="array" ref="F347">_xlfn.IFS(EmployeeData[[#This Row],[Age]]&lt;30,"20s",EmployeeData[[#This Row],[Age]]&lt;40,"30s",EmployeeData[[#This Row],[Age]]&lt;50,"40s",EmployeeData[[#This Row],[Age]]&lt;60,"50s",EmployeeData[[#This Row],[Age]]&gt;=60,"60s")</f>
        <v>30s</v>
      </c>
      <c r="G347" s="5">
        <v>43182</v>
      </c>
      <c r="I347" t="s">
        <v>17</v>
      </c>
      <c r="J347" t="s">
        <v>18</v>
      </c>
      <c r="K347" cm="1">
        <f t="array" aca="1" ref="K347" ca="1">_xlfn.IFS(EmployeeData[[#This Row],[Status]]="Active",_xlfn.DAYS(TODAY(),EmployeeData[[#This Row],[Join Date]]),EmployeeData[[#This Row],[Status]]="Exited",_xlfn.DAYS(EmployeeData[[#This Row],[Exit Date]],EmployeeData[[#This Row],[Join Date]]))</f>
        <v>3015</v>
      </c>
      <c r="L347" cm="1">
        <f t="array" aca="1" ref="L347" ca="1">_xlfn.IFS(EmployeeData[[#This Row],[Status]]="Exited",DATEDIF(EmployeeData[[#This Row],[Join Date]], EmployeeData[[#This Row],[Exit Date]], "Y"),EmployeeData[[#This Row],[Status]]="Active",DATEDIF(EmployeeData[[#This Row],[Join Date]], TODAY(), "Y"))</f>
        <v>8</v>
      </c>
      <c r="Q347" t="str" cm="1">
        <f t="array" aca="1" ref="Q3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348" spans="1:17" hidden="1" x14ac:dyDescent="0.3">
      <c r="A348">
        <v>1347</v>
      </c>
      <c r="B348" t="s">
        <v>890</v>
      </c>
      <c r="C348" t="s">
        <v>15</v>
      </c>
      <c r="D348" t="s">
        <v>16</v>
      </c>
      <c r="E348">
        <v>32</v>
      </c>
      <c r="F348" t="str" cm="1">
        <f t="array" ref="F348">_xlfn.IFS(EmployeeData[[#This Row],[Age]]&lt;30,"20s",EmployeeData[[#This Row],[Age]]&lt;40,"30s",EmployeeData[[#This Row],[Age]]&lt;50,"40s",EmployeeData[[#This Row],[Age]]&lt;60,"50s",EmployeeData[[#This Row],[Age]]&gt;=60,"60s")</f>
        <v>30s</v>
      </c>
      <c r="G348" s="5">
        <v>44426</v>
      </c>
      <c r="H348" s="5">
        <v>44818</v>
      </c>
      <c r="I348" t="s">
        <v>28</v>
      </c>
      <c r="J348" t="s">
        <v>13</v>
      </c>
      <c r="K348" cm="1">
        <f t="array" aca="1" ref="K348" ca="1">_xlfn.IFS(EmployeeData[[#This Row],[Status]]="Active",_xlfn.DAYS(TODAY(),EmployeeData[[#This Row],[Join Date]]),EmployeeData[[#This Row],[Status]]="Exited",_xlfn.DAYS(EmployeeData[[#This Row],[Exit Date]],EmployeeData[[#This Row],[Join Date]]))</f>
        <v>392</v>
      </c>
      <c r="L348" cm="1">
        <f t="array" aca="1" ref="L348" ca="1">_xlfn.IFS(EmployeeData[[#This Row],[Status]]="Exited",DATEDIF(EmployeeData[[#This Row],[Join Date]], EmployeeData[[#This Row],[Exit Date]], "Y"),EmployeeData[[#This Row],[Status]]="Active",DATEDIF(EmployeeData[[#This Row],[Join Date]], TODAY(), "Y"))</f>
        <v>1</v>
      </c>
      <c r="Q348" t="str" cm="1">
        <f t="array" aca="1" ref="Q3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27 days</v>
      </c>
    </row>
    <row r="349" spans="1:17" hidden="1" x14ac:dyDescent="0.3">
      <c r="A349">
        <v>1348</v>
      </c>
      <c r="B349" t="s">
        <v>476</v>
      </c>
      <c r="C349" t="s">
        <v>33</v>
      </c>
      <c r="D349" t="s">
        <v>11</v>
      </c>
      <c r="E349">
        <v>44</v>
      </c>
      <c r="F349" t="str" cm="1">
        <f t="array" ref="F349">_xlfn.IFS(EmployeeData[[#This Row],[Age]]&lt;30,"20s",EmployeeData[[#This Row],[Age]]&lt;40,"30s",EmployeeData[[#This Row],[Age]]&lt;50,"40s",EmployeeData[[#This Row],[Age]]&lt;60,"50s",EmployeeData[[#This Row],[Age]]&gt;=60,"60s")</f>
        <v>40s</v>
      </c>
      <c r="G349" s="5">
        <v>45986</v>
      </c>
      <c r="I349" t="s">
        <v>17</v>
      </c>
      <c r="J349" t="s">
        <v>18</v>
      </c>
      <c r="K349" cm="1">
        <f t="array" aca="1" ref="K349" ca="1">_xlfn.IFS(EmployeeData[[#This Row],[Status]]="Active",_xlfn.DAYS(TODAY(),EmployeeData[[#This Row],[Join Date]]),EmployeeData[[#This Row],[Status]]="Exited",_xlfn.DAYS(EmployeeData[[#This Row],[Exit Date]],EmployeeData[[#This Row],[Join Date]]))</f>
        <v>211</v>
      </c>
      <c r="L349" cm="1">
        <f t="array" aca="1" ref="L349" ca="1">_xlfn.IFS(EmployeeData[[#This Row],[Status]]="Exited",DATEDIF(EmployeeData[[#This Row],[Join Date]], EmployeeData[[#This Row],[Exit Date]], "Y"),EmployeeData[[#This Row],[Status]]="Active",DATEDIF(EmployeeData[[#This Row],[Join Date]], TODAY(), "Y"))</f>
        <v>0</v>
      </c>
      <c r="Q349" t="str" cm="1">
        <f t="array" aca="1" ref="Q3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50" spans="1:17" hidden="1" x14ac:dyDescent="0.3">
      <c r="A350">
        <v>1349</v>
      </c>
      <c r="B350" t="s">
        <v>539</v>
      </c>
      <c r="C350" t="s">
        <v>10</v>
      </c>
      <c r="D350" t="s">
        <v>11</v>
      </c>
      <c r="E350">
        <v>48</v>
      </c>
      <c r="F350" t="str" cm="1">
        <f t="array" ref="F350">_xlfn.IFS(EmployeeData[[#This Row],[Age]]&lt;30,"20s",EmployeeData[[#This Row],[Age]]&lt;40,"30s",EmployeeData[[#This Row],[Age]]&lt;50,"40s",EmployeeData[[#This Row],[Age]]&lt;60,"50s",EmployeeData[[#This Row],[Age]]&gt;=60,"60s")</f>
        <v>40s</v>
      </c>
      <c r="G350" s="5">
        <v>45719</v>
      </c>
      <c r="I350" t="s">
        <v>17</v>
      </c>
      <c r="J350" t="s">
        <v>18</v>
      </c>
      <c r="K350" cm="1">
        <f t="array" aca="1" ref="K350" ca="1">_xlfn.IFS(EmployeeData[[#This Row],[Status]]="Active",_xlfn.DAYS(TODAY(),EmployeeData[[#This Row],[Join Date]]),EmployeeData[[#This Row],[Status]]="Exited",_xlfn.DAYS(EmployeeData[[#This Row],[Exit Date]],EmployeeData[[#This Row],[Join Date]]))</f>
        <v>478</v>
      </c>
      <c r="L350" cm="1">
        <f t="array" aca="1" ref="L350" ca="1">_xlfn.IFS(EmployeeData[[#This Row],[Status]]="Exited",DATEDIF(EmployeeData[[#This Row],[Join Date]], EmployeeData[[#This Row],[Exit Date]], "Y"),EmployeeData[[#This Row],[Status]]="Active",DATEDIF(EmployeeData[[#This Row],[Join Date]], TODAY(), "Y"))</f>
        <v>1</v>
      </c>
      <c r="Q350" t="str" cm="1">
        <f t="array" aca="1" ref="Q3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351" spans="1:17" hidden="1" x14ac:dyDescent="0.3">
      <c r="A351">
        <v>1350</v>
      </c>
      <c r="B351" t="s">
        <v>1047</v>
      </c>
      <c r="C351" t="s">
        <v>23</v>
      </c>
      <c r="D351" t="s">
        <v>11</v>
      </c>
      <c r="E351">
        <v>43</v>
      </c>
      <c r="F351" t="str" cm="1">
        <f t="array" ref="F351">_xlfn.IFS(EmployeeData[[#This Row],[Age]]&lt;30,"20s",EmployeeData[[#This Row],[Age]]&lt;40,"30s",EmployeeData[[#This Row],[Age]]&lt;50,"40s",EmployeeData[[#This Row],[Age]]&lt;60,"50s",EmployeeData[[#This Row],[Age]]&gt;=60,"60s")</f>
        <v>40s</v>
      </c>
      <c r="G351" s="5">
        <v>44015</v>
      </c>
      <c r="I351" t="s">
        <v>17</v>
      </c>
      <c r="J351" t="s">
        <v>18</v>
      </c>
      <c r="K351" cm="1">
        <f t="array" aca="1" ref="K351" ca="1">_xlfn.IFS(EmployeeData[[#This Row],[Status]]="Active",_xlfn.DAYS(TODAY(),EmployeeData[[#This Row],[Join Date]]),EmployeeData[[#This Row],[Status]]="Exited",_xlfn.DAYS(EmployeeData[[#This Row],[Exit Date]],EmployeeData[[#This Row],[Join Date]]))</f>
        <v>2182</v>
      </c>
      <c r="L351" cm="1">
        <f t="array" aca="1" ref="L351" ca="1">_xlfn.IFS(EmployeeData[[#This Row],[Status]]="Exited",DATEDIF(EmployeeData[[#This Row],[Join Date]], EmployeeData[[#This Row],[Exit Date]], "Y"),EmployeeData[[#This Row],[Status]]="Active",DATEDIF(EmployeeData[[#This Row],[Join Date]], TODAY(), "Y"))</f>
        <v>5</v>
      </c>
      <c r="Q351" t="str" cm="1">
        <f t="array" aca="1" ref="Q3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21 days</v>
      </c>
    </row>
    <row r="352" spans="1:17" hidden="1" x14ac:dyDescent="0.3">
      <c r="A352">
        <v>1351</v>
      </c>
      <c r="B352" t="s">
        <v>196</v>
      </c>
      <c r="C352" t="s">
        <v>15</v>
      </c>
      <c r="D352" t="s">
        <v>11</v>
      </c>
      <c r="E352">
        <v>57</v>
      </c>
      <c r="F352" t="str" cm="1">
        <f t="array" ref="F352">_xlfn.IFS(EmployeeData[[#This Row],[Age]]&lt;30,"20s",EmployeeData[[#This Row],[Age]]&lt;40,"30s",EmployeeData[[#This Row],[Age]]&lt;50,"40s",EmployeeData[[#This Row],[Age]]&lt;60,"50s",EmployeeData[[#This Row],[Age]]&gt;=60,"60s")</f>
        <v>50s</v>
      </c>
      <c r="G352" s="5">
        <v>44704</v>
      </c>
      <c r="I352" t="s">
        <v>17</v>
      </c>
      <c r="J352" t="s">
        <v>18</v>
      </c>
      <c r="K352" cm="1">
        <f t="array" aca="1" ref="K352" ca="1">_xlfn.IFS(EmployeeData[[#This Row],[Status]]="Active",_xlfn.DAYS(TODAY(),EmployeeData[[#This Row],[Join Date]]),EmployeeData[[#This Row],[Status]]="Exited",_xlfn.DAYS(EmployeeData[[#This Row],[Exit Date]],EmployeeData[[#This Row],[Join Date]]))</f>
        <v>1493</v>
      </c>
      <c r="L352" cm="1">
        <f t="array" aca="1" ref="L352" ca="1">_xlfn.IFS(EmployeeData[[#This Row],[Status]]="Exited",DATEDIF(EmployeeData[[#This Row],[Join Date]], EmployeeData[[#This Row],[Exit Date]], "Y"),EmployeeData[[#This Row],[Status]]="Active",DATEDIF(EmployeeData[[#This Row],[Join Date]], TODAY(), "Y"))</f>
        <v>4</v>
      </c>
      <c r="Q352" t="str" cm="1">
        <f t="array" aca="1" ref="Q3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353" spans="1:17" hidden="1" x14ac:dyDescent="0.3">
      <c r="A353">
        <v>1352</v>
      </c>
      <c r="B353" t="s">
        <v>369</v>
      </c>
      <c r="C353" t="s">
        <v>46</v>
      </c>
      <c r="D353" t="s">
        <v>11</v>
      </c>
      <c r="E353">
        <v>35</v>
      </c>
      <c r="F353" t="str" cm="1">
        <f t="array" ref="F353">_xlfn.IFS(EmployeeData[[#This Row],[Age]]&lt;30,"20s",EmployeeData[[#This Row],[Age]]&lt;40,"30s",EmployeeData[[#This Row],[Age]]&lt;50,"40s",EmployeeData[[#This Row],[Age]]&lt;60,"50s",EmployeeData[[#This Row],[Age]]&gt;=60,"60s")</f>
        <v>30s</v>
      </c>
      <c r="G353" s="5">
        <v>45720</v>
      </c>
      <c r="I353" t="s">
        <v>17</v>
      </c>
      <c r="J353" t="s">
        <v>18</v>
      </c>
      <c r="K353" cm="1">
        <f t="array" aca="1" ref="K353" ca="1">_xlfn.IFS(EmployeeData[[#This Row],[Status]]="Active",_xlfn.DAYS(TODAY(),EmployeeData[[#This Row],[Join Date]]),EmployeeData[[#This Row],[Status]]="Exited",_xlfn.DAYS(EmployeeData[[#This Row],[Exit Date]],EmployeeData[[#This Row],[Join Date]]))</f>
        <v>477</v>
      </c>
      <c r="L353" cm="1">
        <f t="array" aca="1" ref="L353" ca="1">_xlfn.IFS(EmployeeData[[#This Row],[Status]]="Exited",DATEDIF(EmployeeData[[#This Row],[Join Date]], EmployeeData[[#This Row],[Exit Date]], "Y"),EmployeeData[[#This Row],[Status]]="Active",DATEDIF(EmployeeData[[#This Row],[Join Date]], TODAY(), "Y"))</f>
        <v>1</v>
      </c>
      <c r="Q353" t="str" cm="1">
        <f t="array" aca="1" ref="Q3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354" spans="1:17" hidden="1" x14ac:dyDescent="0.3">
      <c r="A354">
        <v>1353</v>
      </c>
      <c r="B354" t="s">
        <v>1071</v>
      </c>
      <c r="C354" t="s">
        <v>15</v>
      </c>
      <c r="D354" t="s">
        <v>11</v>
      </c>
      <c r="E354">
        <v>31</v>
      </c>
      <c r="F354" t="str" cm="1">
        <f t="array" ref="F354">_xlfn.IFS(EmployeeData[[#This Row],[Age]]&lt;30,"20s",EmployeeData[[#This Row],[Age]]&lt;40,"30s",EmployeeData[[#This Row],[Age]]&lt;50,"40s",EmployeeData[[#This Row],[Age]]&lt;60,"50s",EmployeeData[[#This Row],[Age]]&gt;=60,"60s")</f>
        <v>30s</v>
      </c>
      <c r="G354" s="5">
        <v>45706</v>
      </c>
      <c r="I354" t="s">
        <v>17</v>
      </c>
      <c r="J354" t="s">
        <v>18</v>
      </c>
      <c r="K354" cm="1">
        <f t="array" aca="1" ref="K354" ca="1">_xlfn.IFS(EmployeeData[[#This Row],[Status]]="Active",_xlfn.DAYS(TODAY(),EmployeeData[[#This Row],[Join Date]]),EmployeeData[[#This Row],[Status]]="Exited",_xlfn.DAYS(EmployeeData[[#This Row],[Exit Date]],EmployeeData[[#This Row],[Join Date]]))</f>
        <v>491</v>
      </c>
      <c r="L354" cm="1">
        <f t="array" aca="1" ref="L354" ca="1">_xlfn.IFS(EmployeeData[[#This Row],[Status]]="Exited",DATEDIF(EmployeeData[[#This Row],[Join Date]], EmployeeData[[#This Row],[Exit Date]], "Y"),EmployeeData[[#This Row],[Status]]="Active",DATEDIF(EmployeeData[[#This Row],[Join Date]], TODAY(), "Y"))</f>
        <v>1</v>
      </c>
      <c r="Q354" t="str" cm="1">
        <f t="array" aca="1" ref="Q3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6 days</v>
      </c>
    </row>
    <row r="355" spans="1:17" hidden="1" x14ac:dyDescent="0.3">
      <c r="A355">
        <v>1354</v>
      </c>
      <c r="B355" t="s">
        <v>282</v>
      </c>
      <c r="C355" t="s">
        <v>20</v>
      </c>
      <c r="D355" t="s">
        <v>24</v>
      </c>
      <c r="E355">
        <v>21</v>
      </c>
      <c r="F355" t="str" cm="1">
        <f t="array" ref="F355">_xlfn.IFS(EmployeeData[[#This Row],[Age]]&lt;30,"20s",EmployeeData[[#This Row],[Age]]&lt;40,"30s",EmployeeData[[#This Row],[Age]]&lt;50,"40s",EmployeeData[[#This Row],[Age]]&lt;60,"50s",EmployeeData[[#This Row],[Age]]&gt;=60,"60s")</f>
        <v>20s</v>
      </c>
      <c r="G355" s="5">
        <v>44187</v>
      </c>
      <c r="H355" s="5">
        <v>45696</v>
      </c>
      <c r="I355" t="s">
        <v>31</v>
      </c>
      <c r="J355" t="s">
        <v>13</v>
      </c>
      <c r="K355" cm="1">
        <f t="array" aca="1" ref="K355" ca="1">_xlfn.IFS(EmployeeData[[#This Row],[Status]]="Active",_xlfn.DAYS(TODAY(),EmployeeData[[#This Row],[Join Date]]),EmployeeData[[#This Row],[Status]]="Exited",_xlfn.DAYS(EmployeeData[[#This Row],[Exit Date]],EmployeeData[[#This Row],[Join Date]]))</f>
        <v>1509</v>
      </c>
      <c r="L355" cm="1">
        <f t="array" aca="1" ref="L355" ca="1">_xlfn.IFS(EmployeeData[[#This Row],[Status]]="Exited",DATEDIF(EmployeeData[[#This Row],[Join Date]], EmployeeData[[#This Row],[Exit Date]], "Y"),EmployeeData[[#This Row],[Status]]="Active",DATEDIF(EmployeeData[[#This Row],[Join Date]], TODAY(), "Y"))</f>
        <v>4</v>
      </c>
      <c r="Q355" t="str" cm="1">
        <f t="array" aca="1" ref="Q3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356" spans="1:17" hidden="1" x14ac:dyDescent="0.3">
      <c r="A356">
        <v>1355</v>
      </c>
      <c r="B356" t="s">
        <v>1005</v>
      </c>
      <c r="C356" t="s">
        <v>15</v>
      </c>
      <c r="D356" t="s">
        <v>24</v>
      </c>
      <c r="E356">
        <v>47</v>
      </c>
      <c r="F356" t="str" cm="1">
        <f t="array" ref="F356">_xlfn.IFS(EmployeeData[[#This Row],[Age]]&lt;30,"20s",EmployeeData[[#This Row],[Age]]&lt;40,"30s",EmployeeData[[#This Row],[Age]]&lt;50,"40s",EmployeeData[[#This Row],[Age]]&lt;60,"50s",EmployeeData[[#This Row],[Age]]&gt;=60,"60s")</f>
        <v>40s</v>
      </c>
      <c r="G356" s="5">
        <v>43782</v>
      </c>
      <c r="I356" t="s">
        <v>17</v>
      </c>
      <c r="J356" t="s">
        <v>18</v>
      </c>
      <c r="K356" cm="1">
        <f t="array" aca="1" ref="K356" ca="1">_xlfn.IFS(EmployeeData[[#This Row],[Status]]="Active",_xlfn.DAYS(TODAY(),EmployeeData[[#This Row],[Join Date]]),EmployeeData[[#This Row],[Status]]="Exited",_xlfn.DAYS(EmployeeData[[#This Row],[Exit Date]],EmployeeData[[#This Row],[Join Date]]))</f>
        <v>2415</v>
      </c>
      <c r="L356" cm="1">
        <f t="array" aca="1" ref="L356" ca="1">_xlfn.IFS(EmployeeData[[#This Row],[Status]]="Exited",DATEDIF(EmployeeData[[#This Row],[Join Date]], EmployeeData[[#This Row],[Exit Date]], "Y"),EmployeeData[[#This Row],[Status]]="Active",DATEDIF(EmployeeData[[#This Row],[Join Date]], TODAY(), "Y"))</f>
        <v>6</v>
      </c>
      <c r="Q356" t="str" cm="1">
        <f t="array" aca="1" ref="Q3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11 days</v>
      </c>
    </row>
    <row r="357" spans="1:17" hidden="1" x14ac:dyDescent="0.3">
      <c r="A357">
        <v>1356</v>
      </c>
      <c r="B357" t="s">
        <v>1029</v>
      </c>
      <c r="C357" t="s">
        <v>15</v>
      </c>
      <c r="D357" t="s">
        <v>24</v>
      </c>
      <c r="E357">
        <v>57</v>
      </c>
      <c r="F357" t="str" cm="1">
        <f t="array" ref="F357">_xlfn.IFS(EmployeeData[[#This Row],[Age]]&lt;30,"20s",EmployeeData[[#This Row],[Age]]&lt;40,"30s",EmployeeData[[#This Row],[Age]]&lt;50,"40s",EmployeeData[[#This Row],[Age]]&lt;60,"50s",EmployeeData[[#This Row],[Age]]&gt;=60,"60s")</f>
        <v>50s</v>
      </c>
      <c r="G357" s="5">
        <v>45767</v>
      </c>
      <c r="I357" t="s">
        <v>17</v>
      </c>
      <c r="J357" t="s">
        <v>18</v>
      </c>
      <c r="K357" cm="1">
        <f t="array" aca="1" ref="K357" ca="1">_xlfn.IFS(EmployeeData[[#This Row],[Status]]="Active",_xlfn.DAYS(TODAY(),EmployeeData[[#This Row],[Join Date]]),EmployeeData[[#This Row],[Status]]="Exited",_xlfn.DAYS(EmployeeData[[#This Row],[Exit Date]],EmployeeData[[#This Row],[Join Date]]))</f>
        <v>430</v>
      </c>
      <c r="L357" cm="1">
        <f t="array" aca="1" ref="L357" ca="1">_xlfn.IFS(EmployeeData[[#This Row],[Status]]="Exited",DATEDIF(EmployeeData[[#This Row],[Join Date]], EmployeeData[[#This Row],[Exit Date]], "Y"),EmployeeData[[#This Row],[Status]]="Active",DATEDIF(EmployeeData[[#This Row],[Join Date]], TODAY(), "Y"))</f>
        <v>1</v>
      </c>
      <c r="Q357" t="str" cm="1">
        <f t="array" aca="1" ref="Q3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358" spans="1:17" x14ac:dyDescent="0.3">
      <c r="A358">
        <v>1357</v>
      </c>
      <c r="B358" t="s">
        <v>79</v>
      </c>
      <c r="C358" t="s">
        <v>10</v>
      </c>
      <c r="D358" t="s">
        <v>16</v>
      </c>
      <c r="E358">
        <v>27</v>
      </c>
      <c r="F358" t="str" cm="1">
        <f t="array" ref="F358">_xlfn.IFS(EmployeeData[[#This Row],[Age]]&lt;30,"20s",EmployeeData[[#This Row],[Age]]&lt;40,"30s",EmployeeData[[#This Row],[Age]]&lt;50,"40s",EmployeeData[[#This Row],[Age]]&lt;60,"50s",EmployeeData[[#This Row],[Age]]&gt;=60,"60s")</f>
        <v>20s</v>
      </c>
      <c r="G358" s="5">
        <v>43404</v>
      </c>
      <c r="H358" s="5">
        <v>45031</v>
      </c>
      <c r="I358" t="s">
        <v>31</v>
      </c>
      <c r="J358" t="s">
        <v>13</v>
      </c>
      <c r="K358" cm="1">
        <f t="array" aca="1" ref="K358" ca="1">_xlfn.IFS(EmployeeData[[#This Row],[Status]]="Active",_xlfn.DAYS(TODAY(),EmployeeData[[#This Row],[Join Date]]),EmployeeData[[#This Row],[Status]]="Exited",_xlfn.DAYS(EmployeeData[[#This Row],[Exit Date]],EmployeeData[[#This Row],[Join Date]]))</f>
        <v>1627</v>
      </c>
      <c r="L358" cm="1">
        <f t="array" aca="1" ref="L358" ca="1">_xlfn.IFS(EmployeeData[[#This Row],[Status]]="Exited",DATEDIF(EmployeeData[[#This Row],[Join Date]], EmployeeData[[#This Row],[Exit Date]], "Y"),EmployeeData[[#This Row],[Status]]="Active",DATEDIF(EmployeeData[[#This Row],[Join Date]], TODAY(), "Y"))</f>
        <v>4</v>
      </c>
      <c r="Q358" t="str" cm="1">
        <f t="array" aca="1" ref="Q3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359" spans="1:17" hidden="1" x14ac:dyDescent="0.3">
      <c r="A359">
        <v>1358</v>
      </c>
      <c r="B359" t="s">
        <v>426</v>
      </c>
      <c r="C359" t="s">
        <v>46</v>
      </c>
      <c r="D359" t="s">
        <v>24</v>
      </c>
      <c r="E359">
        <v>51</v>
      </c>
      <c r="F359" t="str" cm="1">
        <f t="array" ref="F359">_xlfn.IFS(EmployeeData[[#This Row],[Age]]&lt;30,"20s",EmployeeData[[#This Row],[Age]]&lt;40,"30s",EmployeeData[[#This Row],[Age]]&lt;50,"40s",EmployeeData[[#This Row],[Age]]&lt;60,"50s",EmployeeData[[#This Row],[Age]]&gt;=60,"60s")</f>
        <v>50s</v>
      </c>
      <c r="G359" s="5">
        <v>45986</v>
      </c>
      <c r="H359" s="5">
        <v>46159</v>
      </c>
      <c r="I359" t="s">
        <v>31</v>
      </c>
      <c r="J359" t="s">
        <v>13</v>
      </c>
      <c r="K359" cm="1">
        <f t="array" aca="1" ref="K359" ca="1">_xlfn.IFS(EmployeeData[[#This Row],[Status]]="Active",_xlfn.DAYS(TODAY(),EmployeeData[[#This Row],[Join Date]]),EmployeeData[[#This Row],[Status]]="Exited",_xlfn.DAYS(EmployeeData[[#This Row],[Exit Date]],EmployeeData[[#This Row],[Join Date]]))</f>
        <v>173</v>
      </c>
      <c r="L359" cm="1">
        <f t="array" aca="1" ref="L359" ca="1">_xlfn.IFS(EmployeeData[[#This Row],[Status]]="Exited",DATEDIF(EmployeeData[[#This Row],[Join Date]], EmployeeData[[#This Row],[Exit Date]], "Y"),EmployeeData[[#This Row],[Status]]="Active",DATEDIF(EmployeeData[[#This Row],[Join Date]], TODAY(), "Y"))</f>
        <v>0</v>
      </c>
      <c r="Q359" t="str" cm="1">
        <f t="array" aca="1" ref="Q3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22 days</v>
      </c>
    </row>
    <row r="360" spans="1:17" hidden="1" x14ac:dyDescent="0.3">
      <c r="A360">
        <v>1359</v>
      </c>
      <c r="B360" t="s">
        <v>657</v>
      </c>
      <c r="C360" t="s">
        <v>15</v>
      </c>
      <c r="D360" t="s">
        <v>16</v>
      </c>
      <c r="E360">
        <v>53</v>
      </c>
      <c r="F360" t="str" cm="1">
        <f t="array" ref="F360">_xlfn.IFS(EmployeeData[[#This Row],[Age]]&lt;30,"20s",EmployeeData[[#This Row],[Age]]&lt;40,"30s",EmployeeData[[#This Row],[Age]]&lt;50,"40s",EmployeeData[[#This Row],[Age]]&lt;60,"50s",EmployeeData[[#This Row],[Age]]&gt;=60,"60s")</f>
        <v>50s</v>
      </c>
      <c r="G360" s="5">
        <v>45313</v>
      </c>
      <c r="H360" s="5">
        <v>45691</v>
      </c>
      <c r="I360" t="s">
        <v>26</v>
      </c>
      <c r="J360" t="s">
        <v>13</v>
      </c>
      <c r="K360" cm="1">
        <f t="array" aca="1" ref="K360" ca="1">_xlfn.IFS(EmployeeData[[#This Row],[Status]]="Active",_xlfn.DAYS(TODAY(),EmployeeData[[#This Row],[Join Date]]),EmployeeData[[#This Row],[Status]]="Exited",_xlfn.DAYS(EmployeeData[[#This Row],[Exit Date]],EmployeeData[[#This Row],[Join Date]]))</f>
        <v>378</v>
      </c>
      <c r="L360" cm="1">
        <f t="array" aca="1" ref="L360" ca="1">_xlfn.IFS(EmployeeData[[#This Row],[Status]]="Exited",DATEDIF(EmployeeData[[#This Row],[Join Date]], EmployeeData[[#This Row],[Exit Date]], "Y"),EmployeeData[[#This Row],[Status]]="Active",DATEDIF(EmployeeData[[#This Row],[Join Date]], TODAY(), "Y"))</f>
        <v>1</v>
      </c>
      <c r="Q360" t="str" cm="1">
        <f t="array" aca="1" ref="Q3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12 days</v>
      </c>
    </row>
    <row r="361" spans="1:17" x14ac:dyDescent="0.3">
      <c r="A361">
        <v>1360</v>
      </c>
      <c r="B361" t="s">
        <v>949</v>
      </c>
      <c r="C361" t="s">
        <v>15</v>
      </c>
      <c r="D361" t="s">
        <v>24</v>
      </c>
      <c r="E361">
        <v>48</v>
      </c>
      <c r="F361" t="str" cm="1">
        <f t="array" ref="F361">_xlfn.IFS(EmployeeData[[#This Row],[Age]]&lt;30,"20s",EmployeeData[[#This Row],[Age]]&lt;40,"30s",EmployeeData[[#This Row],[Age]]&lt;50,"40s",EmployeeData[[#This Row],[Age]]&lt;60,"50s",EmployeeData[[#This Row],[Age]]&gt;=60,"60s")</f>
        <v>40s</v>
      </c>
      <c r="G361" s="5">
        <v>43459</v>
      </c>
      <c r="H361" s="5">
        <v>45516</v>
      </c>
      <c r="I361" t="s">
        <v>31</v>
      </c>
      <c r="J361" t="s">
        <v>13</v>
      </c>
      <c r="K361" cm="1">
        <f t="array" aca="1" ref="K361" ca="1">_xlfn.IFS(EmployeeData[[#This Row],[Status]]="Active",_xlfn.DAYS(TODAY(),EmployeeData[[#This Row],[Join Date]]),EmployeeData[[#This Row],[Status]]="Exited",_xlfn.DAYS(EmployeeData[[#This Row],[Exit Date]],EmployeeData[[#This Row],[Join Date]]))</f>
        <v>2057</v>
      </c>
      <c r="L361" cm="1">
        <f t="array" aca="1" ref="L361" ca="1">_xlfn.IFS(EmployeeData[[#This Row],[Status]]="Exited",DATEDIF(EmployeeData[[#This Row],[Join Date]], EmployeeData[[#This Row],[Exit Date]], "Y"),EmployeeData[[#This Row],[Status]]="Active",DATEDIF(EmployeeData[[#This Row],[Join Date]], TODAY(), "Y"))</f>
        <v>5</v>
      </c>
      <c r="Q361" t="str" cm="1">
        <f t="array" aca="1" ref="Q3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362" spans="1:17" hidden="1" x14ac:dyDescent="0.3">
      <c r="A362">
        <v>1361</v>
      </c>
      <c r="B362" t="s">
        <v>431</v>
      </c>
      <c r="C362" t="s">
        <v>46</v>
      </c>
      <c r="D362" t="s">
        <v>24</v>
      </c>
      <c r="E362">
        <v>28</v>
      </c>
      <c r="F362" t="str" cm="1">
        <f t="array" ref="F362">_xlfn.IFS(EmployeeData[[#This Row],[Age]]&lt;30,"20s",EmployeeData[[#This Row],[Age]]&lt;40,"30s",EmployeeData[[#This Row],[Age]]&lt;50,"40s",EmployeeData[[#This Row],[Age]]&lt;60,"50s",EmployeeData[[#This Row],[Age]]&gt;=60,"60s")</f>
        <v>20s</v>
      </c>
      <c r="G362" s="5">
        <v>44364</v>
      </c>
      <c r="I362" t="s">
        <v>17</v>
      </c>
      <c r="J362" t="s">
        <v>18</v>
      </c>
      <c r="K362" cm="1">
        <f t="array" aca="1" ref="K362" ca="1">_xlfn.IFS(EmployeeData[[#This Row],[Status]]="Active",_xlfn.DAYS(TODAY(),EmployeeData[[#This Row],[Join Date]]),EmployeeData[[#This Row],[Status]]="Exited",_xlfn.DAYS(EmployeeData[[#This Row],[Exit Date]],EmployeeData[[#This Row],[Join Date]]))</f>
        <v>1833</v>
      </c>
      <c r="L362" cm="1">
        <f t="array" aca="1" ref="L362" ca="1">_xlfn.IFS(EmployeeData[[#This Row],[Status]]="Exited",DATEDIF(EmployeeData[[#This Row],[Join Date]], EmployeeData[[#This Row],[Exit Date]], "Y"),EmployeeData[[#This Row],[Status]]="Active",DATEDIF(EmployeeData[[#This Row],[Join Date]], TODAY(), "Y"))</f>
        <v>5</v>
      </c>
      <c r="Q362" t="str" cm="1">
        <f t="array" aca="1" ref="Q3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7 days</v>
      </c>
    </row>
    <row r="363" spans="1:17" hidden="1" x14ac:dyDescent="0.3">
      <c r="A363">
        <v>1362</v>
      </c>
      <c r="B363" t="s">
        <v>961</v>
      </c>
      <c r="C363" t="s">
        <v>10</v>
      </c>
      <c r="D363" t="s">
        <v>24</v>
      </c>
      <c r="E363">
        <v>45</v>
      </c>
      <c r="F363" t="str" cm="1">
        <f t="array" ref="F363">_xlfn.IFS(EmployeeData[[#This Row],[Age]]&lt;30,"20s",EmployeeData[[#This Row],[Age]]&lt;40,"30s",EmployeeData[[#This Row],[Age]]&lt;50,"40s",EmployeeData[[#This Row],[Age]]&lt;60,"50s",EmployeeData[[#This Row],[Age]]&gt;=60,"60s")</f>
        <v>40s</v>
      </c>
      <c r="G363" s="5">
        <v>43858</v>
      </c>
      <c r="H363" s="5">
        <v>45510</v>
      </c>
      <c r="I363" t="s">
        <v>12</v>
      </c>
      <c r="J363" t="s">
        <v>13</v>
      </c>
      <c r="K363" cm="1">
        <f t="array" aca="1" ref="K363" ca="1">_xlfn.IFS(EmployeeData[[#This Row],[Status]]="Active",_xlfn.DAYS(TODAY(),EmployeeData[[#This Row],[Join Date]]),EmployeeData[[#This Row],[Status]]="Exited",_xlfn.DAYS(EmployeeData[[#This Row],[Exit Date]],EmployeeData[[#This Row],[Join Date]]))</f>
        <v>1652</v>
      </c>
      <c r="L363" cm="1">
        <f t="array" aca="1" ref="L363" ca="1">_xlfn.IFS(EmployeeData[[#This Row],[Status]]="Exited",DATEDIF(EmployeeData[[#This Row],[Join Date]], EmployeeData[[#This Row],[Exit Date]], "Y"),EmployeeData[[#This Row],[Status]]="Active",DATEDIF(EmployeeData[[#This Row],[Join Date]], TODAY(), "Y"))</f>
        <v>4</v>
      </c>
      <c r="Q363" t="str" cm="1">
        <f t="array" aca="1" ref="Q3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64" spans="1:17" x14ac:dyDescent="0.3">
      <c r="A364">
        <v>1363</v>
      </c>
      <c r="B364" t="s">
        <v>651</v>
      </c>
      <c r="C364" t="s">
        <v>10</v>
      </c>
      <c r="D364" t="s">
        <v>11</v>
      </c>
      <c r="E364">
        <v>57</v>
      </c>
      <c r="F364" t="str" cm="1">
        <f t="array" ref="F364">_xlfn.IFS(EmployeeData[[#This Row],[Age]]&lt;30,"20s",EmployeeData[[#This Row],[Age]]&lt;40,"30s",EmployeeData[[#This Row],[Age]]&lt;50,"40s",EmployeeData[[#This Row],[Age]]&lt;60,"50s",EmployeeData[[#This Row],[Age]]&gt;=60,"60s")</f>
        <v>50s</v>
      </c>
      <c r="G364" s="5">
        <v>43353</v>
      </c>
      <c r="H364" s="5">
        <v>43839</v>
      </c>
      <c r="I364" t="s">
        <v>31</v>
      </c>
      <c r="J364" t="s">
        <v>13</v>
      </c>
      <c r="K364" cm="1">
        <f t="array" aca="1" ref="K364" ca="1">_xlfn.IFS(EmployeeData[[#This Row],[Status]]="Active",_xlfn.DAYS(TODAY(),EmployeeData[[#This Row],[Join Date]]),EmployeeData[[#This Row],[Status]]="Exited",_xlfn.DAYS(EmployeeData[[#This Row],[Exit Date]],EmployeeData[[#This Row],[Join Date]]))</f>
        <v>486</v>
      </c>
      <c r="L364" cm="1">
        <f t="array" aca="1" ref="L364" ca="1">_xlfn.IFS(EmployeeData[[#This Row],[Status]]="Exited",DATEDIF(EmployeeData[[#This Row],[Join Date]], EmployeeData[[#This Row],[Exit Date]], "Y"),EmployeeData[[#This Row],[Status]]="Active",DATEDIF(EmployeeData[[#This Row],[Join Date]], TODAY(), "Y"))</f>
        <v>1</v>
      </c>
      <c r="Q364" t="str" cm="1">
        <f t="array" aca="1" ref="Q3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30 days</v>
      </c>
    </row>
    <row r="365" spans="1:17" hidden="1" x14ac:dyDescent="0.3">
      <c r="A365">
        <v>1364</v>
      </c>
      <c r="B365" t="s">
        <v>805</v>
      </c>
      <c r="C365" t="s">
        <v>23</v>
      </c>
      <c r="D365" t="s">
        <v>11</v>
      </c>
      <c r="E365">
        <v>54</v>
      </c>
      <c r="F365" t="str" cm="1">
        <f t="array" ref="F365">_xlfn.IFS(EmployeeData[[#This Row],[Age]]&lt;30,"20s",EmployeeData[[#This Row],[Age]]&lt;40,"30s",EmployeeData[[#This Row],[Age]]&lt;50,"40s",EmployeeData[[#This Row],[Age]]&lt;60,"50s",EmployeeData[[#This Row],[Age]]&gt;=60,"60s")</f>
        <v>50s</v>
      </c>
      <c r="G365" s="5">
        <v>44815</v>
      </c>
      <c r="I365" t="s">
        <v>17</v>
      </c>
      <c r="J365" t="s">
        <v>18</v>
      </c>
      <c r="K365" cm="1">
        <f t="array" aca="1" ref="K365" ca="1">_xlfn.IFS(EmployeeData[[#This Row],[Status]]="Active",_xlfn.DAYS(TODAY(),EmployeeData[[#This Row],[Join Date]]),EmployeeData[[#This Row],[Status]]="Exited",_xlfn.DAYS(EmployeeData[[#This Row],[Exit Date]],EmployeeData[[#This Row],[Join Date]]))</f>
        <v>1382</v>
      </c>
      <c r="L365" cm="1">
        <f t="array" aca="1" ref="L365" ca="1">_xlfn.IFS(EmployeeData[[#This Row],[Status]]="Exited",DATEDIF(EmployeeData[[#This Row],[Join Date]], EmployeeData[[#This Row],[Exit Date]], "Y"),EmployeeData[[#This Row],[Status]]="Active",DATEDIF(EmployeeData[[#This Row],[Join Date]], TODAY(), "Y"))</f>
        <v>3</v>
      </c>
      <c r="Q365" t="str" cm="1">
        <f t="array" aca="1" ref="Q3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13 days</v>
      </c>
    </row>
    <row r="366" spans="1:17" hidden="1" x14ac:dyDescent="0.3">
      <c r="A366">
        <v>1365</v>
      </c>
      <c r="B366" t="s">
        <v>794</v>
      </c>
      <c r="C366" t="s">
        <v>23</v>
      </c>
      <c r="D366" t="s">
        <v>16</v>
      </c>
      <c r="E366">
        <v>23</v>
      </c>
      <c r="F366" t="str" cm="1">
        <f t="array" ref="F366">_xlfn.IFS(EmployeeData[[#This Row],[Age]]&lt;30,"20s",EmployeeData[[#This Row],[Age]]&lt;40,"30s",EmployeeData[[#This Row],[Age]]&lt;50,"40s",EmployeeData[[#This Row],[Age]]&lt;60,"50s",EmployeeData[[#This Row],[Age]]&gt;=60,"60s")</f>
        <v>20s</v>
      </c>
      <c r="G366" s="5">
        <v>45157</v>
      </c>
      <c r="I366" t="s">
        <v>17</v>
      </c>
      <c r="J366" t="s">
        <v>18</v>
      </c>
      <c r="K366" cm="1">
        <f t="array" aca="1" ref="K366" ca="1">_xlfn.IFS(EmployeeData[[#This Row],[Status]]="Active",_xlfn.DAYS(TODAY(),EmployeeData[[#This Row],[Join Date]]),EmployeeData[[#This Row],[Status]]="Exited",_xlfn.DAYS(EmployeeData[[#This Row],[Exit Date]],EmployeeData[[#This Row],[Join Date]]))</f>
        <v>1040</v>
      </c>
      <c r="L366" cm="1">
        <f t="array" aca="1" ref="L366" ca="1">_xlfn.IFS(EmployeeData[[#This Row],[Status]]="Exited",DATEDIF(EmployeeData[[#This Row],[Join Date]], EmployeeData[[#This Row],[Exit Date]], "Y"),EmployeeData[[#This Row],[Status]]="Active",DATEDIF(EmployeeData[[#This Row],[Join Date]], TODAY(), "Y"))</f>
        <v>2</v>
      </c>
      <c r="Q366" t="str" cm="1">
        <f t="array" aca="1" ref="Q3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5 days</v>
      </c>
    </row>
    <row r="367" spans="1:17" hidden="1" x14ac:dyDescent="0.3">
      <c r="A367">
        <v>1366</v>
      </c>
      <c r="B367" t="s">
        <v>470</v>
      </c>
      <c r="C367" t="s">
        <v>23</v>
      </c>
      <c r="D367" t="s">
        <v>16</v>
      </c>
      <c r="E367">
        <v>49</v>
      </c>
      <c r="F367" t="str" cm="1">
        <f t="array" ref="F367">_xlfn.IFS(EmployeeData[[#This Row],[Age]]&lt;30,"20s",EmployeeData[[#This Row],[Age]]&lt;40,"30s",EmployeeData[[#This Row],[Age]]&lt;50,"40s",EmployeeData[[#This Row],[Age]]&lt;60,"50s",EmployeeData[[#This Row],[Age]]&gt;=60,"60s")</f>
        <v>40s</v>
      </c>
      <c r="G367" s="5">
        <v>43809</v>
      </c>
      <c r="I367" t="s">
        <v>17</v>
      </c>
      <c r="J367" t="s">
        <v>18</v>
      </c>
      <c r="K367" cm="1">
        <f t="array" aca="1" ref="K367" ca="1">_xlfn.IFS(EmployeeData[[#This Row],[Status]]="Active",_xlfn.DAYS(TODAY(),EmployeeData[[#This Row],[Join Date]]),EmployeeData[[#This Row],[Status]]="Exited",_xlfn.DAYS(EmployeeData[[#This Row],[Exit Date]],EmployeeData[[#This Row],[Join Date]]))</f>
        <v>2388</v>
      </c>
      <c r="L367" cm="1">
        <f t="array" aca="1" ref="L367" ca="1">_xlfn.IFS(EmployeeData[[#This Row],[Status]]="Exited",DATEDIF(EmployeeData[[#This Row],[Join Date]], EmployeeData[[#This Row],[Exit Date]], "Y"),EmployeeData[[#This Row],[Status]]="Active",DATEDIF(EmployeeData[[#This Row],[Join Date]], TODAY(), "Y"))</f>
        <v>6</v>
      </c>
      <c r="Q367" t="str" cm="1">
        <f t="array" aca="1" ref="Q3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368" spans="1:17" hidden="1" x14ac:dyDescent="0.3">
      <c r="A368">
        <v>1367</v>
      </c>
      <c r="B368" t="s">
        <v>538</v>
      </c>
      <c r="C368" t="s">
        <v>15</v>
      </c>
      <c r="D368" t="s">
        <v>24</v>
      </c>
      <c r="E368">
        <v>48</v>
      </c>
      <c r="F368" t="str" cm="1">
        <f t="array" ref="F368">_xlfn.IFS(EmployeeData[[#This Row],[Age]]&lt;30,"20s",EmployeeData[[#This Row],[Age]]&lt;40,"30s",EmployeeData[[#This Row],[Age]]&lt;50,"40s",EmployeeData[[#This Row],[Age]]&lt;60,"50s",EmployeeData[[#This Row],[Age]]&gt;=60,"60s")</f>
        <v>40s</v>
      </c>
      <c r="G368" s="5">
        <v>43928</v>
      </c>
      <c r="I368" t="s">
        <v>17</v>
      </c>
      <c r="J368" t="s">
        <v>18</v>
      </c>
      <c r="K368" cm="1">
        <f t="array" aca="1" ref="K368" ca="1">_xlfn.IFS(EmployeeData[[#This Row],[Status]]="Active",_xlfn.DAYS(TODAY(),EmployeeData[[#This Row],[Join Date]]),EmployeeData[[#This Row],[Status]]="Exited",_xlfn.DAYS(EmployeeData[[#This Row],[Exit Date]],EmployeeData[[#This Row],[Join Date]]))</f>
        <v>2269</v>
      </c>
      <c r="L368" cm="1">
        <f t="array" aca="1" ref="L368" ca="1">_xlfn.IFS(EmployeeData[[#This Row],[Status]]="Exited",DATEDIF(EmployeeData[[#This Row],[Join Date]], EmployeeData[[#This Row],[Exit Date]], "Y"),EmployeeData[[#This Row],[Status]]="Active",DATEDIF(EmployeeData[[#This Row],[Join Date]], TODAY(), "Y"))</f>
        <v>6</v>
      </c>
      <c r="Q368" t="str" cm="1">
        <f t="array" aca="1" ref="Q3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17 days</v>
      </c>
    </row>
    <row r="369" spans="1:17" hidden="1" x14ac:dyDescent="0.3">
      <c r="A369">
        <v>1368</v>
      </c>
      <c r="B369" t="s">
        <v>337</v>
      </c>
      <c r="C369" t="s">
        <v>15</v>
      </c>
      <c r="D369" t="s">
        <v>24</v>
      </c>
      <c r="E369">
        <v>56</v>
      </c>
      <c r="F369" t="str" cm="1">
        <f t="array" ref="F369">_xlfn.IFS(EmployeeData[[#This Row],[Age]]&lt;30,"20s",EmployeeData[[#This Row],[Age]]&lt;40,"30s",EmployeeData[[#This Row],[Age]]&lt;50,"40s",EmployeeData[[#This Row],[Age]]&lt;60,"50s",EmployeeData[[#This Row],[Age]]&gt;=60,"60s")</f>
        <v>50s</v>
      </c>
      <c r="G369" s="5">
        <v>44436</v>
      </c>
      <c r="I369" t="s">
        <v>17</v>
      </c>
      <c r="J369" t="s">
        <v>18</v>
      </c>
      <c r="K369" cm="1">
        <f t="array" aca="1" ref="K369" ca="1">_xlfn.IFS(EmployeeData[[#This Row],[Status]]="Active",_xlfn.DAYS(TODAY(),EmployeeData[[#This Row],[Join Date]]),EmployeeData[[#This Row],[Status]]="Exited",_xlfn.DAYS(EmployeeData[[#This Row],[Exit Date]],EmployeeData[[#This Row],[Join Date]]))</f>
        <v>1761</v>
      </c>
      <c r="L369" cm="1">
        <f t="array" aca="1" ref="L369" ca="1">_xlfn.IFS(EmployeeData[[#This Row],[Status]]="Exited",DATEDIF(EmployeeData[[#This Row],[Join Date]], EmployeeData[[#This Row],[Exit Date]], "Y"),EmployeeData[[#This Row],[Status]]="Active",DATEDIF(EmployeeData[[#This Row],[Join Date]], TODAY(), "Y"))</f>
        <v>4</v>
      </c>
      <c r="Q369" t="str" cm="1">
        <f t="array" aca="1" ref="Q3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27 days</v>
      </c>
    </row>
    <row r="370" spans="1:17" hidden="1" x14ac:dyDescent="0.3">
      <c r="A370">
        <v>1369</v>
      </c>
      <c r="B370" t="s">
        <v>355</v>
      </c>
      <c r="C370" t="s">
        <v>15</v>
      </c>
      <c r="D370" t="s">
        <v>11</v>
      </c>
      <c r="E370">
        <v>58</v>
      </c>
      <c r="F370" t="str" cm="1">
        <f t="array" ref="F370">_xlfn.IFS(EmployeeData[[#This Row],[Age]]&lt;30,"20s",EmployeeData[[#This Row],[Age]]&lt;40,"30s",EmployeeData[[#This Row],[Age]]&lt;50,"40s",EmployeeData[[#This Row],[Age]]&lt;60,"50s",EmployeeData[[#This Row],[Age]]&gt;=60,"60s")</f>
        <v>50s</v>
      </c>
      <c r="G370" s="5">
        <v>45241</v>
      </c>
      <c r="I370" t="s">
        <v>17</v>
      </c>
      <c r="J370" t="s">
        <v>18</v>
      </c>
      <c r="K370" cm="1">
        <f t="array" aca="1" ref="K370" ca="1">_xlfn.IFS(EmployeeData[[#This Row],[Status]]="Active",_xlfn.DAYS(TODAY(),EmployeeData[[#This Row],[Join Date]]),EmployeeData[[#This Row],[Status]]="Exited",_xlfn.DAYS(EmployeeData[[#This Row],[Exit Date]],EmployeeData[[#This Row],[Join Date]]))</f>
        <v>956</v>
      </c>
      <c r="L370" cm="1">
        <f t="array" aca="1" ref="L370" ca="1">_xlfn.IFS(EmployeeData[[#This Row],[Status]]="Exited",DATEDIF(EmployeeData[[#This Row],[Join Date]], EmployeeData[[#This Row],[Exit Date]], "Y"),EmployeeData[[#This Row],[Status]]="Active",DATEDIF(EmployeeData[[#This Row],[Join Date]], TODAY(), "Y"))</f>
        <v>2</v>
      </c>
      <c r="Q370" t="str" cm="1">
        <f t="array" aca="1" ref="Q3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371" spans="1:17" hidden="1" x14ac:dyDescent="0.3">
      <c r="A371">
        <v>1370</v>
      </c>
      <c r="B371" t="s">
        <v>354</v>
      </c>
      <c r="C371" t="s">
        <v>46</v>
      </c>
      <c r="D371" t="s">
        <v>24</v>
      </c>
      <c r="E371">
        <v>27</v>
      </c>
      <c r="F371" t="str" cm="1">
        <f t="array" ref="F371">_xlfn.IFS(EmployeeData[[#This Row],[Age]]&lt;30,"20s",EmployeeData[[#This Row],[Age]]&lt;40,"30s",EmployeeData[[#This Row],[Age]]&lt;50,"40s",EmployeeData[[#This Row],[Age]]&lt;60,"50s",EmployeeData[[#This Row],[Age]]&gt;=60,"60s")</f>
        <v>20s</v>
      </c>
      <c r="G371" s="5">
        <v>44272</v>
      </c>
      <c r="I371" t="s">
        <v>17</v>
      </c>
      <c r="J371" t="s">
        <v>18</v>
      </c>
      <c r="K371" cm="1">
        <f t="array" aca="1" ref="K371" ca="1">_xlfn.IFS(EmployeeData[[#This Row],[Status]]="Active",_xlfn.DAYS(TODAY(),EmployeeData[[#This Row],[Join Date]]),EmployeeData[[#This Row],[Status]]="Exited",_xlfn.DAYS(EmployeeData[[#This Row],[Exit Date]],EmployeeData[[#This Row],[Join Date]]))</f>
        <v>1925</v>
      </c>
      <c r="L371" cm="1">
        <f t="array" aca="1" ref="L371" ca="1">_xlfn.IFS(EmployeeData[[#This Row],[Status]]="Exited",DATEDIF(EmployeeData[[#This Row],[Join Date]], EmployeeData[[#This Row],[Exit Date]], "Y"),EmployeeData[[#This Row],[Status]]="Active",DATEDIF(EmployeeData[[#This Row],[Join Date]], TODAY(), "Y"))</f>
        <v>5</v>
      </c>
      <c r="Q371" t="str" cm="1">
        <f t="array" aca="1" ref="Q3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7 days</v>
      </c>
    </row>
    <row r="372" spans="1:17" hidden="1" x14ac:dyDescent="0.3">
      <c r="A372">
        <v>1371</v>
      </c>
      <c r="B372" t="s">
        <v>453</v>
      </c>
      <c r="C372" t="s">
        <v>23</v>
      </c>
      <c r="D372" t="s">
        <v>24</v>
      </c>
      <c r="E372">
        <v>32</v>
      </c>
      <c r="F372" t="str" cm="1">
        <f t="array" ref="F372">_xlfn.IFS(EmployeeData[[#This Row],[Age]]&lt;30,"20s",EmployeeData[[#This Row],[Age]]&lt;40,"30s",EmployeeData[[#This Row],[Age]]&lt;50,"40s",EmployeeData[[#This Row],[Age]]&lt;60,"50s",EmployeeData[[#This Row],[Age]]&gt;=60,"60s")</f>
        <v>30s</v>
      </c>
      <c r="G372" s="5">
        <v>44229</v>
      </c>
      <c r="I372" t="s">
        <v>17</v>
      </c>
      <c r="J372" t="s">
        <v>18</v>
      </c>
      <c r="K372" cm="1">
        <f t="array" aca="1" ref="K372" ca="1">_xlfn.IFS(EmployeeData[[#This Row],[Status]]="Active",_xlfn.DAYS(TODAY(),EmployeeData[[#This Row],[Join Date]]),EmployeeData[[#This Row],[Status]]="Exited",_xlfn.DAYS(EmployeeData[[#This Row],[Exit Date]],EmployeeData[[#This Row],[Join Date]]))</f>
        <v>1968</v>
      </c>
      <c r="L372" cm="1">
        <f t="array" aca="1" ref="L372" ca="1">_xlfn.IFS(EmployeeData[[#This Row],[Status]]="Exited",DATEDIF(EmployeeData[[#This Row],[Join Date]], EmployeeData[[#This Row],[Exit Date]], "Y"),EmployeeData[[#This Row],[Status]]="Active",DATEDIF(EmployeeData[[#This Row],[Join Date]], TODAY(), "Y"))</f>
        <v>5</v>
      </c>
      <c r="Q372" t="str" cm="1">
        <f t="array" aca="1" ref="Q3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22 days</v>
      </c>
    </row>
    <row r="373" spans="1:17" hidden="1" x14ac:dyDescent="0.3">
      <c r="A373">
        <v>1372</v>
      </c>
      <c r="B373" t="s">
        <v>659</v>
      </c>
      <c r="C373" t="s">
        <v>15</v>
      </c>
      <c r="D373" t="s">
        <v>11</v>
      </c>
      <c r="E373">
        <v>42</v>
      </c>
      <c r="F373" t="str" cm="1">
        <f t="array" ref="F373">_xlfn.IFS(EmployeeData[[#This Row],[Age]]&lt;30,"20s",EmployeeData[[#This Row],[Age]]&lt;40,"30s",EmployeeData[[#This Row],[Age]]&lt;50,"40s",EmployeeData[[#This Row],[Age]]&lt;60,"50s",EmployeeData[[#This Row],[Age]]&gt;=60,"60s")</f>
        <v>40s</v>
      </c>
      <c r="G373" s="5">
        <v>45929</v>
      </c>
      <c r="H373" s="5">
        <v>46140</v>
      </c>
      <c r="I373" t="s">
        <v>21</v>
      </c>
      <c r="J373" t="s">
        <v>13</v>
      </c>
      <c r="K373" cm="1">
        <f t="array" aca="1" ref="K373" ca="1">_xlfn.IFS(EmployeeData[[#This Row],[Status]]="Active",_xlfn.DAYS(TODAY(),EmployeeData[[#This Row],[Join Date]]),EmployeeData[[#This Row],[Status]]="Exited",_xlfn.DAYS(EmployeeData[[#This Row],[Exit Date]],EmployeeData[[#This Row],[Join Date]]))</f>
        <v>211</v>
      </c>
      <c r="L373" cm="1">
        <f t="array" aca="1" ref="L373" ca="1">_xlfn.IFS(EmployeeData[[#This Row],[Status]]="Exited",DATEDIF(EmployeeData[[#This Row],[Join Date]], EmployeeData[[#This Row],[Exit Date]], "Y"),EmployeeData[[#This Row],[Status]]="Active",DATEDIF(EmployeeData[[#This Row],[Join Date]], TODAY(), "Y"))</f>
        <v>0</v>
      </c>
      <c r="Q373" t="str" cm="1">
        <f t="array" aca="1" ref="Q3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74" spans="1:17" hidden="1" x14ac:dyDescent="0.3">
      <c r="A374">
        <v>1373</v>
      </c>
      <c r="B374" t="s">
        <v>526</v>
      </c>
      <c r="C374" t="s">
        <v>10</v>
      </c>
      <c r="D374" t="s">
        <v>11</v>
      </c>
      <c r="E374">
        <v>27</v>
      </c>
      <c r="F374" t="str" cm="1">
        <f t="array" ref="F374">_xlfn.IFS(EmployeeData[[#This Row],[Age]]&lt;30,"20s",EmployeeData[[#This Row],[Age]]&lt;40,"30s",EmployeeData[[#This Row],[Age]]&lt;50,"40s",EmployeeData[[#This Row],[Age]]&lt;60,"50s",EmployeeData[[#This Row],[Age]]&gt;=60,"60s")</f>
        <v>20s</v>
      </c>
      <c r="G374" s="5">
        <v>44034</v>
      </c>
      <c r="H374" s="5">
        <v>45938</v>
      </c>
      <c r="I374" t="s">
        <v>34</v>
      </c>
      <c r="J374" t="s">
        <v>13</v>
      </c>
      <c r="K374" cm="1">
        <f t="array" aca="1" ref="K374" ca="1">_xlfn.IFS(EmployeeData[[#This Row],[Status]]="Active",_xlfn.DAYS(TODAY(),EmployeeData[[#This Row],[Join Date]]),EmployeeData[[#This Row],[Status]]="Exited",_xlfn.DAYS(EmployeeData[[#This Row],[Exit Date]],EmployeeData[[#This Row],[Join Date]]))</f>
        <v>1904</v>
      </c>
      <c r="L374" cm="1">
        <f t="array" aca="1" ref="L374" ca="1">_xlfn.IFS(EmployeeData[[#This Row],[Status]]="Exited",DATEDIF(EmployeeData[[#This Row],[Join Date]], EmployeeData[[#This Row],[Exit Date]], "Y"),EmployeeData[[#This Row],[Status]]="Active",DATEDIF(EmployeeData[[#This Row],[Join Date]], TODAY(), "Y"))</f>
        <v>5</v>
      </c>
      <c r="Q374" t="str" cm="1">
        <f t="array" aca="1" ref="Q3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375" spans="1:17" hidden="1" x14ac:dyDescent="0.3">
      <c r="A375">
        <v>1374</v>
      </c>
      <c r="B375" t="s">
        <v>403</v>
      </c>
      <c r="C375" t="s">
        <v>23</v>
      </c>
      <c r="D375" t="s">
        <v>16</v>
      </c>
      <c r="E375">
        <v>49</v>
      </c>
      <c r="F375" t="str" cm="1">
        <f t="array" ref="F375">_xlfn.IFS(EmployeeData[[#This Row],[Age]]&lt;30,"20s",EmployeeData[[#This Row],[Age]]&lt;40,"30s",EmployeeData[[#This Row],[Age]]&lt;50,"40s",EmployeeData[[#This Row],[Age]]&lt;60,"50s",EmployeeData[[#This Row],[Age]]&gt;=60,"60s")</f>
        <v>40s</v>
      </c>
      <c r="G375" s="5">
        <v>43966</v>
      </c>
      <c r="I375" t="s">
        <v>17</v>
      </c>
      <c r="J375" t="s">
        <v>18</v>
      </c>
      <c r="K375" cm="1">
        <f t="array" aca="1" ref="K375" ca="1">_xlfn.IFS(EmployeeData[[#This Row],[Status]]="Active",_xlfn.DAYS(TODAY(),EmployeeData[[#This Row],[Join Date]]),EmployeeData[[#This Row],[Status]]="Exited",_xlfn.DAYS(EmployeeData[[#This Row],[Exit Date]],EmployeeData[[#This Row],[Join Date]]))</f>
        <v>2231</v>
      </c>
      <c r="L375" cm="1">
        <f t="array" aca="1" ref="L375" ca="1">_xlfn.IFS(EmployeeData[[#This Row],[Status]]="Exited",DATEDIF(EmployeeData[[#This Row],[Join Date]], EmployeeData[[#This Row],[Exit Date]], "Y"),EmployeeData[[#This Row],[Status]]="Active",DATEDIF(EmployeeData[[#This Row],[Join Date]], TODAY(), "Y"))</f>
        <v>6</v>
      </c>
      <c r="Q375" t="str" cm="1">
        <f t="array" aca="1" ref="Q3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9 days</v>
      </c>
    </row>
    <row r="376" spans="1:17" x14ac:dyDescent="0.3">
      <c r="A376">
        <v>1375</v>
      </c>
      <c r="B376" t="s">
        <v>410</v>
      </c>
      <c r="C376" t="s">
        <v>33</v>
      </c>
      <c r="D376" t="s">
        <v>24</v>
      </c>
      <c r="E376">
        <v>31</v>
      </c>
      <c r="F376" t="str" cm="1">
        <f t="array" ref="F376">_xlfn.IFS(EmployeeData[[#This Row],[Age]]&lt;30,"20s",EmployeeData[[#This Row],[Age]]&lt;40,"30s",EmployeeData[[#This Row],[Age]]&lt;50,"40s",EmployeeData[[#This Row],[Age]]&lt;60,"50s",EmployeeData[[#This Row],[Age]]&gt;=60,"60s")</f>
        <v>30s</v>
      </c>
      <c r="G376" s="5">
        <v>43369</v>
      </c>
      <c r="H376" s="5">
        <v>45534</v>
      </c>
      <c r="I376" t="s">
        <v>12</v>
      </c>
      <c r="J376" t="s">
        <v>13</v>
      </c>
      <c r="K376" cm="1">
        <f t="array" aca="1" ref="K376" ca="1">_xlfn.IFS(EmployeeData[[#This Row],[Status]]="Active",_xlfn.DAYS(TODAY(),EmployeeData[[#This Row],[Join Date]]),EmployeeData[[#This Row],[Status]]="Exited",_xlfn.DAYS(EmployeeData[[#This Row],[Exit Date]],EmployeeData[[#This Row],[Join Date]]))</f>
        <v>2165</v>
      </c>
      <c r="L376" cm="1">
        <f t="array" aca="1" ref="L376" ca="1">_xlfn.IFS(EmployeeData[[#This Row],[Status]]="Exited",DATEDIF(EmployeeData[[#This Row],[Join Date]], EmployeeData[[#This Row],[Exit Date]], "Y"),EmployeeData[[#This Row],[Status]]="Active",DATEDIF(EmployeeData[[#This Row],[Join Date]], TODAY(), "Y"))</f>
        <v>5</v>
      </c>
      <c r="Q376" t="str" cm="1">
        <f t="array" aca="1" ref="Q3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377" spans="1:17" hidden="1" x14ac:dyDescent="0.3">
      <c r="A377">
        <v>1376</v>
      </c>
      <c r="B377" t="s">
        <v>237</v>
      </c>
      <c r="C377" t="s">
        <v>33</v>
      </c>
      <c r="D377" t="s">
        <v>16</v>
      </c>
      <c r="E377">
        <v>24</v>
      </c>
      <c r="F377" t="str" cm="1">
        <f t="array" ref="F377">_xlfn.IFS(EmployeeData[[#This Row],[Age]]&lt;30,"20s",EmployeeData[[#This Row],[Age]]&lt;40,"30s",EmployeeData[[#This Row],[Age]]&lt;50,"40s",EmployeeData[[#This Row],[Age]]&lt;60,"50s",EmployeeData[[#This Row],[Age]]&gt;=60,"60s")</f>
        <v>20s</v>
      </c>
      <c r="G377" s="5">
        <v>44122</v>
      </c>
      <c r="H377" s="5">
        <v>44315</v>
      </c>
      <c r="I377" t="s">
        <v>52</v>
      </c>
      <c r="J377" t="s">
        <v>13</v>
      </c>
      <c r="K377" cm="1">
        <f t="array" aca="1" ref="K377" ca="1">_xlfn.IFS(EmployeeData[[#This Row],[Status]]="Active",_xlfn.DAYS(TODAY(),EmployeeData[[#This Row],[Join Date]]),EmployeeData[[#This Row],[Status]]="Exited",_xlfn.DAYS(EmployeeData[[#This Row],[Exit Date]],EmployeeData[[#This Row],[Join Date]]))</f>
        <v>193</v>
      </c>
      <c r="L377" cm="1">
        <f t="array" aca="1" ref="L377" ca="1">_xlfn.IFS(EmployeeData[[#This Row],[Status]]="Exited",DATEDIF(EmployeeData[[#This Row],[Join Date]], EmployeeData[[#This Row],[Exit Date]], "Y"),EmployeeData[[#This Row],[Status]]="Active",DATEDIF(EmployeeData[[#This Row],[Join Date]], TODAY(), "Y"))</f>
        <v>0</v>
      </c>
      <c r="Q377" t="str" cm="1">
        <f t="array" aca="1" ref="Q3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78" spans="1:17" hidden="1" x14ac:dyDescent="0.3">
      <c r="A378">
        <v>1377</v>
      </c>
      <c r="B378" t="s">
        <v>388</v>
      </c>
      <c r="C378" t="s">
        <v>23</v>
      </c>
      <c r="D378" t="s">
        <v>24</v>
      </c>
      <c r="E378">
        <v>28</v>
      </c>
      <c r="F378" t="str" cm="1">
        <f t="array" ref="F378">_xlfn.IFS(EmployeeData[[#This Row],[Age]]&lt;30,"20s",EmployeeData[[#This Row],[Age]]&lt;40,"30s",EmployeeData[[#This Row],[Age]]&lt;50,"40s",EmployeeData[[#This Row],[Age]]&lt;60,"50s",EmployeeData[[#This Row],[Age]]&gt;=60,"60s")</f>
        <v>20s</v>
      </c>
      <c r="G378" s="5">
        <v>45891</v>
      </c>
      <c r="H378" s="5">
        <v>46076</v>
      </c>
      <c r="I378" t="s">
        <v>65</v>
      </c>
      <c r="J378" t="s">
        <v>13</v>
      </c>
      <c r="K378" cm="1">
        <f t="array" aca="1" ref="K378" ca="1">_xlfn.IFS(EmployeeData[[#This Row],[Status]]="Active",_xlfn.DAYS(TODAY(),EmployeeData[[#This Row],[Join Date]]),EmployeeData[[#This Row],[Status]]="Exited",_xlfn.DAYS(EmployeeData[[#This Row],[Exit Date]],EmployeeData[[#This Row],[Join Date]]))</f>
        <v>185</v>
      </c>
      <c r="L378" cm="1">
        <f t="array" aca="1" ref="L378" ca="1">_xlfn.IFS(EmployeeData[[#This Row],[Status]]="Exited",DATEDIF(EmployeeData[[#This Row],[Join Date]], EmployeeData[[#This Row],[Exit Date]], "Y"),EmployeeData[[#This Row],[Status]]="Active",DATEDIF(EmployeeData[[#This Row],[Join Date]], TODAY(), "Y"))</f>
        <v>0</v>
      </c>
      <c r="Q378" t="str" cm="1">
        <f t="array" aca="1" ref="Q3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 days</v>
      </c>
    </row>
    <row r="379" spans="1:17" hidden="1" x14ac:dyDescent="0.3">
      <c r="A379">
        <v>1378</v>
      </c>
      <c r="B379" t="s">
        <v>418</v>
      </c>
      <c r="C379" t="s">
        <v>23</v>
      </c>
      <c r="D379" t="s">
        <v>24</v>
      </c>
      <c r="E379">
        <v>43</v>
      </c>
      <c r="F379" t="str" cm="1">
        <f t="array" ref="F379">_xlfn.IFS(EmployeeData[[#This Row],[Age]]&lt;30,"20s",EmployeeData[[#This Row],[Age]]&lt;40,"30s",EmployeeData[[#This Row],[Age]]&lt;50,"40s",EmployeeData[[#This Row],[Age]]&lt;60,"50s",EmployeeData[[#This Row],[Age]]&gt;=60,"60s")</f>
        <v>40s</v>
      </c>
      <c r="G379" s="5">
        <v>43770</v>
      </c>
      <c r="I379" t="s">
        <v>17</v>
      </c>
      <c r="J379" t="s">
        <v>18</v>
      </c>
      <c r="K379" cm="1">
        <f t="array" aca="1" ref="K379" ca="1">_xlfn.IFS(EmployeeData[[#This Row],[Status]]="Active",_xlfn.DAYS(TODAY(),EmployeeData[[#This Row],[Join Date]]),EmployeeData[[#This Row],[Status]]="Exited",_xlfn.DAYS(EmployeeData[[#This Row],[Exit Date]],EmployeeData[[#This Row],[Join Date]]))</f>
        <v>2427</v>
      </c>
      <c r="L379" cm="1">
        <f t="array" aca="1" ref="L379" ca="1">_xlfn.IFS(EmployeeData[[#This Row],[Status]]="Exited",DATEDIF(EmployeeData[[#This Row],[Join Date]], EmployeeData[[#This Row],[Exit Date]], "Y"),EmployeeData[[#This Row],[Status]]="Active",DATEDIF(EmployeeData[[#This Row],[Join Date]], TODAY(), "Y"))</f>
        <v>6</v>
      </c>
      <c r="Q379" t="str" cm="1">
        <f t="array" aca="1" ref="Q3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23 days</v>
      </c>
    </row>
    <row r="380" spans="1:17" hidden="1" x14ac:dyDescent="0.3">
      <c r="A380">
        <v>1379</v>
      </c>
      <c r="B380" t="s">
        <v>36</v>
      </c>
      <c r="C380" t="s">
        <v>15</v>
      </c>
      <c r="D380" t="s">
        <v>16</v>
      </c>
      <c r="E380">
        <v>24</v>
      </c>
      <c r="F380" t="str" cm="1">
        <f t="array" ref="F380">_xlfn.IFS(EmployeeData[[#This Row],[Age]]&lt;30,"20s",EmployeeData[[#This Row],[Age]]&lt;40,"30s",EmployeeData[[#This Row],[Age]]&lt;50,"40s",EmployeeData[[#This Row],[Age]]&lt;60,"50s",EmployeeData[[#This Row],[Age]]&gt;=60,"60s")</f>
        <v>20s</v>
      </c>
      <c r="G380" s="5">
        <v>43768</v>
      </c>
      <c r="I380" t="s">
        <v>17</v>
      </c>
      <c r="J380" t="s">
        <v>18</v>
      </c>
      <c r="K380" cm="1">
        <f t="array" aca="1" ref="K380" ca="1">_xlfn.IFS(EmployeeData[[#This Row],[Status]]="Active",_xlfn.DAYS(TODAY(),EmployeeData[[#This Row],[Join Date]]),EmployeeData[[#This Row],[Status]]="Exited",_xlfn.DAYS(EmployeeData[[#This Row],[Exit Date]],EmployeeData[[#This Row],[Join Date]]))</f>
        <v>2429</v>
      </c>
      <c r="L380" cm="1">
        <f t="array" aca="1" ref="L380" ca="1">_xlfn.IFS(EmployeeData[[#This Row],[Status]]="Exited",DATEDIF(EmployeeData[[#This Row],[Join Date]], EmployeeData[[#This Row],[Exit Date]], "Y"),EmployeeData[[#This Row],[Status]]="Active",DATEDIF(EmployeeData[[#This Row],[Join Date]], TODAY(), "Y"))</f>
        <v>6</v>
      </c>
      <c r="Q380" t="str" cm="1">
        <f t="array" aca="1" ref="Q3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25 days</v>
      </c>
    </row>
    <row r="381" spans="1:17" hidden="1" x14ac:dyDescent="0.3">
      <c r="A381">
        <v>1380</v>
      </c>
      <c r="B381" t="s">
        <v>861</v>
      </c>
      <c r="C381" t="s">
        <v>20</v>
      </c>
      <c r="D381" t="s">
        <v>16</v>
      </c>
      <c r="E381">
        <v>47</v>
      </c>
      <c r="F381" t="str" cm="1">
        <f t="array" ref="F381">_xlfn.IFS(EmployeeData[[#This Row],[Age]]&lt;30,"20s",EmployeeData[[#This Row],[Age]]&lt;40,"30s",EmployeeData[[#This Row],[Age]]&lt;50,"40s",EmployeeData[[#This Row],[Age]]&lt;60,"50s",EmployeeData[[#This Row],[Age]]&gt;=60,"60s")</f>
        <v>40s</v>
      </c>
      <c r="G381" s="5">
        <v>45203</v>
      </c>
      <c r="H381" s="5">
        <v>46092</v>
      </c>
      <c r="I381" t="s">
        <v>21</v>
      </c>
      <c r="J381" t="s">
        <v>13</v>
      </c>
      <c r="K381" cm="1">
        <f t="array" aca="1" ref="K381" ca="1">_xlfn.IFS(EmployeeData[[#This Row],[Status]]="Active",_xlfn.DAYS(TODAY(),EmployeeData[[#This Row],[Join Date]]),EmployeeData[[#This Row],[Status]]="Exited",_xlfn.DAYS(EmployeeData[[#This Row],[Exit Date]],EmployeeData[[#This Row],[Join Date]]))</f>
        <v>889</v>
      </c>
      <c r="L381" cm="1">
        <f t="array" aca="1" ref="L381" ca="1">_xlfn.IFS(EmployeeData[[#This Row],[Status]]="Exited",DATEDIF(EmployeeData[[#This Row],[Join Date]], EmployeeData[[#This Row],[Exit Date]], "Y"),EmployeeData[[#This Row],[Status]]="Active",DATEDIF(EmployeeData[[#This Row],[Join Date]], TODAY(), "Y"))</f>
        <v>2</v>
      </c>
      <c r="Q381" t="str" cm="1">
        <f t="array" aca="1" ref="Q3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382" spans="1:17" hidden="1" x14ac:dyDescent="0.3">
      <c r="A382">
        <v>1381</v>
      </c>
      <c r="B382" t="s">
        <v>809</v>
      </c>
      <c r="C382" t="s">
        <v>20</v>
      </c>
      <c r="D382" t="s">
        <v>24</v>
      </c>
      <c r="E382">
        <v>21</v>
      </c>
      <c r="F382" t="str" cm="1">
        <f t="array" ref="F382">_xlfn.IFS(EmployeeData[[#This Row],[Age]]&lt;30,"20s",EmployeeData[[#This Row],[Age]]&lt;40,"30s",EmployeeData[[#This Row],[Age]]&lt;50,"40s",EmployeeData[[#This Row],[Age]]&lt;60,"50s",EmployeeData[[#This Row],[Age]]&gt;=60,"60s")</f>
        <v>20s</v>
      </c>
      <c r="G382" s="5">
        <v>44017</v>
      </c>
      <c r="H382" s="5">
        <v>45358</v>
      </c>
      <c r="I382" t="s">
        <v>34</v>
      </c>
      <c r="J382" t="s">
        <v>13</v>
      </c>
      <c r="K382" cm="1">
        <f t="array" aca="1" ref="K382" ca="1">_xlfn.IFS(EmployeeData[[#This Row],[Status]]="Active",_xlfn.DAYS(TODAY(),EmployeeData[[#This Row],[Join Date]]),EmployeeData[[#This Row],[Status]]="Exited",_xlfn.DAYS(EmployeeData[[#This Row],[Exit Date]],EmployeeData[[#This Row],[Join Date]]))</f>
        <v>1341</v>
      </c>
      <c r="L382" cm="1">
        <f t="array" aca="1" ref="L382" ca="1">_xlfn.IFS(EmployeeData[[#This Row],[Status]]="Exited",DATEDIF(EmployeeData[[#This Row],[Join Date]], EmployeeData[[#This Row],[Exit Date]], "Y"),EmployeeData[[#This Row],[Status]]="Active",DATEDIF(EmployeeData[[#This Row],[Join Date]], TODAY(), "Y"))</f>
        <v>3</v>
      </c>
      <c r="Q382" t="str" cm="1">
        <f t="array" aca="1" ref="Q3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383" spans="1:17" hidden="1" x14ac:dyDescent="0.3">
      <c r="A383">
        <v>1382</v>
      </c>
      <c r="B383" t="s">
        <v>1059</v>
      </c>
      <c r="C383" t="s">
        <v>33</v>
      </c>
      <c r="D383" t="s">
        <v>24</v>
      </c>
      <c r="E383">
        <v>34</v>
      </c>
      <c r="F383" t="str" cm="1">
        <f t="array" ref="F383">_xlfn.IFS(EmployeeData[[#This Row],[Age]]&lt;30,"20s",EmployeeData[[#This Row],[Age]]&lt;40,"30s",EmployeeData[[#This Row],[Age]]&lt;50,"40s",EmployeeData[[#This Row],[Age]]&lt;60,"50s",EmployeeData[[#This Row],[Age]]&gt;=60,"60s")</f>
        <v>30s</v>
      </c>
      <c r="G383" s="5">
        <v>45012</v>
      </c>
      <c r="H383" s="5">
        <v>46168</v>
      </c>
      <c r="I383" t="s">
        <v>52</v>
      </c>
      <c r="J383" t="s">
        <v>13</v>
      </c>
      <c r="K383" cm="1">
        <f t="array" aca="1" ref="K383" ca="1">_xlfn.IFS(EmployeeData[[#This Row],[Status]]="Active",_xlfn.DAYS(TODAY(),EmployeeData[[#This Row],[Join Date]]),EmployeeData[[#This Row],[Status]]="Exited",_xlfn.DAYS(EmployeeData[[#This Row],[Exit Date]],EmployeeData[[#This Row],[Join Date]]))</f>
        <v>1156</v>
      </c>
      <c r="L383" cm="1">
        <f t="array" aca="1" ref="L383" ca="1">_xlfn.IFS(EmployeeData[[#This Row],[Status]]="Exited",DATEDIF(EmployeeData[[#This Row],[Join Date]], EmployeeData[[#This Row],[Exit Date]], "Y"),EmployeeData[[#This Row],[Status]]="Active",DATEDIF(EmployeeData[[#This Row],[Join Date]], TODAY(), "Y"))</f>
        <v>3</v>
      </c>
      <c r="Q383" t="str" cm="1">
        <f t="array" aca="1" ref="Q3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384" spans="1:17" hidden="1" x14ac:dyDescent="0.3">
      <c r="A384">
        <v>1383</v>
      </c>
      <c r="B384" t="s">
        <v>628</v>
      </c>
      <c r="C384" t="s">
        <v>23</v>
      </c>
      <c r="D384" t="s">
        <v>24</v>
      </c>
      <c r="E384">
        <v>39</v>
      </c>
      <c r="F384" t="str" cm="1">
        <f t="array" ref="F384">_xlfn.IFS(EmployeeData[[#This Row],[Age]]&lt;30,"20s",EmployeeData[[#This Row],[Age]]&lt;40,"30s",EmployeeData[[#This Row],[Age]]&lt;50,"40s",EmployeeData[[#This Row],[Age]]&lt;60,"50s",EmployeeData[[#This Row],[Age]]&gt;=60,"60s")</f>
        <v>30s</v>
      </c>
      <c r="G384" s="5">
        <v>44323</v>
      </c>
      <c r="I384" t="s">
        <v>17</v>
      </c>
      <c r="J384" t="s">
        <v>18</v>
      </c>
      <c r="K384" cm="1">
        <f t="array" aca="1" ref="K384" ca="1">_xlfn.IFS(EmployeeData[[#This Row],[Status]]="Active",_xlfn.DAYS(TODAY(),EmployeeData[[#This Row],[Join Date]]),EmployeeData[[#This Row],[Status]]="Exited",_xlfn.DAYS(EmployeeData[[#This Row],[Exit Date]],EmployeeData[[#This Row],[Join Date]]))</f>
        <v>1874</v>
      </c>
      <c r="L384" cm="1">
        <f t="array" aca="1" ref="L384" ca="1">_xlfn.IFS(EmployeeData[[#This Row],[Status]]="Exited",DATEDIF(EmployeeData[[#This Row],[Join Date]], EmployeeData[[#This Row],[Exit Date]], "Y"),EmployeeData[[#This Row],[Status]]="Active",DATEDIF(EmployeeData[[#This Row],[Join Date]], TODAY(), "Y"))</f>
        <v>5</v>
      </c>
      <c r="Q384" t="str" cm="1">
        <f t="array" aca="1" ref="Q3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17 days</v>
      </c>
    </row>
    <row r="385" spans="1:17" hidden="1" x14ac:dyDescent="0.3">
      <c r="A385">
        <v>1384</v>
      </c>
      <c r="B385" t="s">
        <v>54</v>
      </c>
      <c r="C385" t="s">
        <v>20</v>
      </c>
      <c r="D385" t="s">
        <v>11</v>
      </c>
      <c r="E385">
        <v>37</v>
      </c>
      <c r="F385" t="str" cm="1">
        <f t="array" ref="F385">_xlfn.IFS(EmployeeData[[#This Row],[Age]]&lt;30,"20s",EmployeeData[[#This Row],[Age]]&lt;40,"30s",EmployeeData[[#This Row],[Age]]&lt;50,"40s",EmployeeData[[#This Row],[Age]]&lt;60,"50s",EmployeeData[[#This Row],[Age]]&gt;=60,"60s")</f>
        <v>30s</v>
      </c>
      <c r="G385" s="5">
        <v>45788</v>
      </c>
      <c r="I385" t="s">
        <v>17</v>
      </c>
      <c r="J385" t="s">
        <v>18</v>
      </c>
      <c r="K385" cm="1">
        <f t="array" aca="1" ref="K385" ca="1">_xlfn.IFS(EmployeeData[[#This Row],[Status]]="Active",_xlfn.DAYS(TODAY(),EmployeeData[[#This Row],[Join Date]]),EmployeeData[[#This Row],[Status]]="Exited",_xlfn.DAYS(EmployeeData[[#This Row],[Exit Date]],EmployeeData[[#This Row],[Join Date]]))</f>
        <v>409</v>
      </c>
      <c r="L385" cm="1">
        <f t="array" aca="1" ref="L385" ca="1">_xlfn.IFS(EmployeeData[[#This Row],[Status]]="Exited",DATEDIF(EmployeeData[[#This Row],[Join Date]], EmployeeData[[#This Row],[Exit Date]], "Y"),EmployeeData[[#This Row],[Status]]="Active",DATEDIF(EmployeeData[[#This Row],[Join Date]], TODAY(), "Y"))</f>
        <v>1</v>
      </c>
      <c r="Q385" t="str" cm="1">
        <f t="array" aca="1" ref="Q3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13 days</v>
      </c>
    </row>
    <row r="386" spans="1:17" hidden="1" x14ac:dyDescent="0.3">
      <c r="A386">
        <v>1385</v>
      </c>
      <c r="B386" t="s">
        <v>50</v>
      </c>
      <c r="C386" t="s">
        <v>33</v>
      </c>
      <c r="D386" t="s">
        <v>11</v>
      </c>
      <c r="E386">
        <v>46</v>
      </c>
      <c r="F386" t="str" cm="1">
        <f t="array" ref="F386">_xlfn.IFS(EmployeeData[[#This Row],[Age]]&lt;30,"20s",EmployeeData[[#This Row],[Age]]&lt;40,"30s",EmployeeData[[#This Row],[Age]]&lt;50,"40s",EmployeeData[[#This Row],[Age]]&lt;60,"50s",EmployeeData[[#This Row],[Age]]&gt;=60,"60s")</f>
        <v>40s</v>
      </c>
      <c r="G386" s="5">
        <v>45806</v>
      </c>
      <c r="H386" s="5">
        <v>45967</v>
      </c>
      <c r="I386" t="s">
        <v>34</v>
      </c>
      <c r="J386" t="s">
        <v>13</v>
      </c>
      <c r="K386" cm="1">
        <f t="array" aca="1" ref="K386" ca="1">_xlfn.IFS(EmployeeData[[#This Row],[Status]]="Active",_xlfn.DAYS(TODAY(),EmployeeData[[#This Row],[Join Date]]),EmployeeData[[#This Row],[Status]]="Exited",_xlfn.DAYS(EmployeeData[[#This Row],[Exit Date]],EmployeeData[[#This Row],[Join Date]]))</f>
        <v>161</v>
      </c>
      <c r="L386" cm="1">
        <f t="array" aca="1" ref="L386" ca="1">_xlfn.IFS(EmployeeData[[#This Row],[Status]]="Exited",DATEDIF(EmployeeData[[#This Row],[Join Date]], EmployeeData[[#This Row],[Exit Date]], "Y"),EmployeeData[[#This Row],[Status]]="Active",DATEDIF(EmployeeData[[#This Row],[Join Date]], TODAY(), "Y"))</f>
        <v>0</v>
      </c>
      <c r="Q386" t="str" cm="1">
        <f t="array" aca="1" ref="Q3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387" spans="1:17" hidden="1" x14ac:dyDescent="0.3">
      <c r="A387">
        <v>1386</v>
      </c>
      <c r="B387" t="s">
        <v>827</v>
      </c>
      <c r="C387" t="s">
        <v>10</v>
      </c>
      <c r="D387" t="s">
        <v>11</v>
      </c>
      <c r="E387">
        <v>58</v>
      </c>
      <c r="F387" t="str" cm="1">
        <f t="array" ref="F387">_xlfn.IFS(EmployeeData[[#This Row],[Age]]&lt;30,"20s",EmployeeData[[#This Row],[Age]]&lt;40,"30s",EmployeeData[[#This Row],[Age]]&lt;50,"40s",EmployeeData[[#This Row],[Age]]&lt;60,"50s",EmployeeData[[#This Row],[Age]]&gt;=60,"60s")</f>
        <v>50s</v>
      </c>
      <c r="G387" s="5">
        <v>46001</v>
      </c>
      <c r="I387" t="s">
        <v>17</v>
      </c>
      <c r="J387" t="s">
        <v>18</v>
      </c>
      <c r="K387" cm="1">
        <f t="array" aca="1" ref="K387" ca="1">_xlfn.IFS(EmployeeData[[#This Row],[Status]]="Active",_xlfn.DAYS(TODAY(),EmployeeData[[#This Row],[Join Date]]),EmployeeData[[#This Row],[Status]]="Exited",_xlfn.DAYS(EmployeeData[[#This Row],[Exit Date]],EmployeeData[[#This Row],[Join Date]]))</f>
        <v>196</v>
      </c>
      <c r="L387" cm="1">
        <f t="array" aca="1" ref="L387" ca="1">_xlfn.IFS(EmployeeData[[#This Row],[Status]]="Exited",DATEDIF(EmployeeData[[#This Row],[Join Date]], EmployeeData[[#This Row],[Exit Date]], "Y"),EmployeeData[[#This Row],[Status]]="Active",DATEDIF(EmployeeData[[#This Row],[Join Date]], TODAY(), "Y"))</f>
        <v>0</v>
      </c>
      <c r="Q387" t="str" cm="1">
        <f t="array" aca="1" ref="Q3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388" spans="1:17" hidden="1" x14ac:dyDescent="0.3">
      <c r="A388">
        <v>1387</v>
      </c>
      <c r="B388" t="s">
        <v>251</v>
      </c>
      <c r="C388" t="s">
        <v>15</v>
      </c>
      <c r="D388" t="s">
        <v>24</v>
      </c>
      <c r="E388">
        <v>51</v>
      </c>
      <c r="F388" t="str" cm="1">
        <f t="array" ref="F388">_xlfn.IFS(EmployeeData[[#This Row],[Age]]&lt;30,"20s",EmployeeData[[#This Row],[Age]]&lt;40,"30s",EmployeeData[[#This Row],[Age]]&lt;50,"40s",EmployeeData[[#This Row],[Age]]&lt;60,"50s",EmployeeData[[#This Row],[Age]]&gt;=60,"60s")</f>
        <v>50s</v>
      </c>
      <c r="G388" s="5">
        <v>45852</v>
      </c>
      <c r="H388" s="5">
        <v>46018</v>
      </c>
      <c r="I388" t="s">
        <v>52</v>
      </c>
      <c r="J388" t="s">
        <v>13</v>
      </c>
      <c r="K388" cm="1">
        <f t="array" aca="1" ref="K388" ca="1">_xlfn.IFS(EmployeeData[[#This Row],[Status]]="Active",_xlfn.DAYS(TODAY(),EmployeeData[[#This Row],[Join Date]]),EmployeeData[[#This Row],[Status]]="Exited",_xlfn.DAYS(EmployeeData[[#This Row],[Exit Date]],EmployeeData[[#This Row],[Join Date]]))</f>
        <v>166</v>
      </c>
      <c r="L388" cm="1">
        <f t="array" aca="1" ref="L388" ca="1">_xlfn.IFS(EmployeeData[[#This Row],[Status]]="Exited",DATEDIF(EmployeeData[[#This Row],[Join Date]], EmployeeData[[#This Row],[Exit Date]], "Y"),EmployeeData[[#This Row],[Status]]="Active",DATEDIF(EmployeeData[[#This Row],[Join Date]], TODAY(), "Y"))</f>
        <v>0</v>
      </c>
      <c r="Q388" t="str" cm="1">
        <f t="array" aca="1" ref="Q3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389" spans="1:17" hidden="1" x14ac:dyDescent="0.3">
      <c r="A389">
        <v>1388</v>
      </c>
      <c r="B389" t="s">
        <v>721</v>
      </c>
      <c r="C389" t="s">
        <v>15</v>
      </c>
      <c r="D389" t="s">
        <v>16</v>
      </c>
      <c r="E389">
        <v>56</v>
      </c>
      <c r="F389" t="str" cm="1">
        <f t="array" ref="F389">_xlfn.IFS(EmployeeData[[#This Row],[Age]]&lt;30,"20s",EmployeeData[[#This Row],[Age]]&lt;40,"30s",EmployeeData[[#This Row],[Age]]&lt;50,"40s",EmployeeData[[#This Row],[Age]]&lt;60,"50s",EmployeeData[[#This Row],[Age]]&gt;=60,"60s")</f>
        <v>50s</v>
      </c>
      <c r="G389" s="5">
        <v>43850</v>
      </c>
      <c r="I389" t="s">
        <v>17</v>
      </c>
      <c r="J389" t="s">
        <v>18</v>
      </c>
      <c r="K389" cm="1">
        <f t="array" aca="1" ref="K389" ca="1">_xlfn.IFS(EmployeeData[[#This Row],[Status]]="Active",_xlfn.DAYS(TODAY(),EmployeeData[[#This Row],[Join Date]]),EmployeeData[[#This Row],[Status]]="Exited",_xlfn.DAYS(EmployeeData[[#This Row],[Exit Date]],EmployeeData[[#This Row],[Join Date]]))</f>
        <v>2347</v>
      </c>
      <c r="L389" cm="1">
        <f t="array" aca="1" ref="L389" ca="1">_xlfn.IFS(EmployeeData[[#This Row],[Status]]="Exited",DATEDIF(EmployeeData[[#This Row],[Join Date]], EmployeeData[[#This Row],[Exit Date]], "Y"),EmployeeData[[#This Row],[Status]]="Active",DATEDIF(EmployeeData[[#This Row],[Join Date]], TODAY(), "Y"))</f>
        <v>6</v>
      </c>
      <c r="Q389" t="str" cm="1">
        <f t="array" aca="1" ref="Q3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4 days</v>
      </c>
    </row>
    <row r="390" spans="1:17" hidden="1" x14ac:dyDescent="0.3">
      <c r="A390">
        <v>1389</v>
      </c>
      <c r="B390" t="s">
        <v>863</v>
      </c>
      <c r="C390" t="s">
        <v>15</v>
      </c>
      <c r="D390" t="s">
        <v>11</v>
      </c>
      <c r="E390">
        <v>53</v>
      </c>
      <c r="F390" t="str" cm="1">
        <f t="array" ref="F390">_xlfn.IFS(EmployeeData[[#This Row],[Age]]&lt;30,"20s",EmployeeData[[#This Row],[Age]]&lt;40,"30s",EmployeeData[[#This Row],[Age]]&lt;50,"40s",EmployeeData[[#This Row],[Age]]&lt;60,"50s",EmployeeData[[#This Row],[Age]]&gt;=60,"60s")</f>
        <v>50s</v>
      </c>
      <c r="G390" s="5">
        <v>44458</v>
      </c>
      <c r="H390" s="5">
        <v>45747</v>
      </c>
      <c r="I390" t="s">
        <v>26</v>
      </c>
      <c r="J390" t="s">
        <v>13</v>
      </c>
      <c r="K390" cm="1">
        <f t="array" aca="1" ref="K390" ca="1">_xlfn.IFS(EmployeeData[[#This Row],[Status]]="Active",_xlfn.DAYS(TODAY(),EmployeeData[[#This Row],[Join Date]]),EmployeeData[[#This Row],[Status]]="Exited",_xlfn.DAYS(EmployeeData[[#This Row],[Exit Date]],EmployeeData[[#This Row],[Join Date]]))</f>
        <v>1289</v>
      </c>
      <c r="L390" cm="1">
        <f t="array" aca="1" ref="L390" ca="1">_xlfn.IFS(EmployeeData[[#This Row],[Status]]="Exited",DATEDIF(EmployeeData[[#This Row],[Join Date]], EmployeeData[[#This Row],[Exit Date]], "Y"),EmployeeData[[#This Row],[Status]]="Active",DATEDIF(EmployeeData[[#This Row],[Join Date]], TODAY(), "Y"))</f>
        <v>3</v>
      </c>
      <c r="Q390" t="str" cm="1">
        <f t="array" aca="1" ref="Q3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12 days</v>
      </c>
    </row>
    <row r="391" spans="1:17" hidden="1" x14ac:dyDescent="0.3">
      <c r="A391">
        <v>1390</v>
      </c>
      <c r="B391" t="s">
        <v>39</v>
      </c>
      <c r="C391" t="s">
        <v>23</v>
      </c>
      <c r="D391" t="s">
        <v>11</v>
      </c>
      <c r="E391">
        <v>25</v>
      </c>
      <c r="F391" t="str" cm="1">
        <f t="array" ref="F391">_xlfn.IFS(EmployeeData[[#This Row],[Age]]&lt;30,"20s",EmployeeData[[#This Row],[Age]]&lt;40,"30s",EmployeeData[[#This Row],[Age]]&lt;50,"40s",EmployeeData[[#This Row],[Age]]&lt;60,"50s",EmployeeData[[#This Row],[Age]]&gt;=60,"60s")</f>
        <v>20s</v>
      </c>
      <c r="G391" s="5">
        <v>45035</v>
      </c>
      <c r="I391" t="s">
        <v>17</v>
      </c>
      <c r="J391" t="s">
        <v>18</v>
      </c>
      <c r="K391" cm="1">
        <f t="array" aca="1" ref="K391" ca="1">_xlfn.IFS(EmployeeData[[#This Row],[Status]]="Active",_xlfn.DAYS(TODAY(),EmployeeData[[#This Row],[Join Date]]),EmployeeData[[#This Row],[Status]]="Exited",_xlfn.DAYS(EmployeeData[[#This Row],[Exit Date]],EmployeeData[[#This Row],[Join Date]]))</f>
        <v>1162</v>
      </c>
      <c r="L391" cm="1">
        <f t="array" aca="1" ref="L391" ca="1">_xlfn.IFS(EmployeeData[[#This Row],[Status]]="Exited",DATEDIF(EmployeeData[[#This Row],[Join Date]], EmployeeData[[#This Row],[Exit Date]], "Y"),EmployeeData[[#This Row],[Status]]="Active",DATEDIF(EmployeeData[[#This Row],[Join Date]], TODAY(), "Y"))</f>
        <v>3</v>
      </c>
      <c r="Q391" t="str" cm="1">
        <f t="array" aca="1" ref="Q3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5 days</v>
      </c>
    </row>
    <row r="392" spans="1:17" hidden="1" x14ac:dyDescent="0.3">
      <c r="A392">
        <v>1391</v>
      </c>
      <c r="B392" t="s">
        <v>267</v>
      </c>
      <c r="C392" t="s">
        <v>10</v>
      </c>
      <c r="D392" t="s">
        <v>16</v>
      </c>
      <c r="E392">
        <v>24</v>
      </c>
      <c r="F392" t="str" cm="1">
        <f t="array" ref="F392">_xlfn.IFS(EmployeeData[[#This Row],[Age]]&lt;30,"20s",EmployeeData[[#This Row],[Age]]&lt;40,"30s",EmployeeData[[#This Row],[Age]]&lt;50,"40s",EmployeeData[[#This Row],[Age]]&lt;60,"50s",EmployeeData[[#This Row],[Age]]&gt;=60,"60s")</f>
        <v>20s</v>
      </c>
      <c r="G392" s="5">
        <v>43718</v>
      </c>
      <c r="H392" s="5">
        <v>44628</v>
      </c>
      <c r="I392" t="s">
        <v>12</v>
      </c>
      <c r="J392" t="s">
        <v>13</v>
      </c>
      <c r="K392" cm="1">
        <f t="array" aca="1" ref="K392" ca="1">_xlfn.IFS(EmployeeData[[#This Row],[Status]]="Active",_xlfn.DAYS(TODAY(),EmployeeData[[#This Row],[Join Date]]),EmployeeData[[#This Row],[Status]]="Exited",_xlfn.DAYS(EmployeeData[[#This Row],[Exit Date]],EmployeeData[[#This Row],[Join Date]]))</f>
        <v>910</v>
      </c>
      <c r="L392" cm="1">
        <f t="array" aca="1" ref="L392" ca="1">_xlfn.IFS(EmployeeData[[#This Row],[Status]]="Exited",DATEDIF(EmployeeData[[#This Row],[Join Date]], EmployeeData[[#This Row],[Exit Date]], "Y"),EmployeeData[[#This Row],[Status]]="Active",DATEDIF(EmployeeData[[#This Row],[Join Date]], TODAY(), "Y"))</f>
        <v>2</v>
      </c>
      <c r="Q392" t="str" cm="1">
        <f t="array" aca="1" ref="Q3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393" spans="1:17" hidden="1" x14ac:dyDescent="0.3">
      <c r="A393">
        <v>1392</v>
      </c>
      <c r="B393" t="s">
        <v>511</v>
      </c>
      <c r="C393" t="s">
        <v>20</v>
      </c>
      <c r="D393" t="s">
        <v>24</v>
      </c>
      <c r="E393">
        <v>32</v>
      </c>
      <c r="F393" t="str" cm="1">
        <f t="array" ref="F393">_xlfn.IFS(EmployeeData[[#This Row],[Age]]&lt;30,"20s",EmployeeData[[#This Row],[Age]]&lt;40,"30s",EmployeeData[[#This Row],[Age]]&lt;50,"40s",EmployeeData[[#This Row],[Age]]&lt;60,"50s",EmployeeData[[#This Row],[Age]]&gt;=60,"60s")</f>
        <v>30s</v>
      </c>
      <c r="G393" s="5">
        <v>44384</v>
      </c>
      <c r="I393" t="s">
        <v>17</v>
      </c>
      <c r="J393" t="s">
        <v>18</v>
      </c>
      <c r="K393" cm="1">
        <f t="array" aca="1" ref="K393" ca="1">_xlfn.IFS(EmployeeData[[#This Row],[Status]]="Active",_xlfn.DAYS(TODAY(),EmployeeData[[#This Row],[Join Date]]),EmployeeData[[#This Row],[Status]]="Exited",_xlfn.DAYS(EmployeeData[[#This Row],[Exit Date]],EmployeeData[[#This Row],[Join Date]]))</f>
        <v>1813</v>
      </c>
      <c r="L393" cm="1">
        <f t="array" aca="1" ref="L393" ca="1">_xlfn.IFS(EmployeeData[[#This Row],[Status]]="Exited",DATEDIF(EmployeeData[[#This Row],[Join Date]], EmployeeData[[#This Row],[Exit Date]], "Y"),EmployeeData[[#This Row],[Status]]="Active",DATEDIF(EmployeeData[[#This Row],[Join Date]], TODAY(), "Y"))</f>
        <v>4</v>
      </c>
      <c r="Q393" t="str" cm="1">
        <f t="array" aca="1" ref="Q3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17 days</v>
      </c>
    </row>
    <row r="394" spans="1:17" hidden="1" x14ac:dyDescent="0.3">
      <c r="A394">
        <v>1393</v>
      </c>
      <c r="B394" t="s">
        <v>683</v>
      </c>
      <c r="C394" t="s">
        <v>23</v>
      </c>
      <c r="D394" t="s">
        <v>16</v>
      </c>
      <c r="E394">
        <v>26</v>
      </c>
      <c r="F394" t="str" cm="1">
        <f t="array" ref="F394">_xlfn.IFS(EmployeeData[[#This Row],[Age]]&lt;30,"20s",EmployeeData[[#This Row],[Age]]&lt;40,"30s",EmployeeData[[#This Row],[Age]]&lt;50,"40s",EmployeeData[[#This Row],[Age]]&lt;60,"50s",EmployeeData[[#This Row],[Age]]&gt;=60,"60s")</f>
        <v>20s</v>
      </c>
      <c r="G394" s="5">
        <v>43631</v>
      </c>
      <c r="I394" t="s">
        <v>17</v>
      </c>
      <c r="J394" t="s">
        <v>18</v>
      </c>
      <c r="K394" cm="1">
        <f t="array" aca="1" ref="K394" ca="1">_xlfn.IFS(EmployeeData[[#This Row],[Status]]="Active",_xlfn.DAYS(TODAY(),EmployeeData[[#This Row],[Join Date]]),EmployeeData[[#This Row],[Status]]="Exited",_xlfn.DAYS(EmployeeData[[#This Row],[Exit Date]],EmployeeData[[#This Row],[Join Date]]))</f>
        <v>2566</v>
      </c>
      <c r="L394" cm="1">
        <f t="array" aca="1" ref="L394" ca="1">_xlfn.IFS(EmployeeData[[#This Row],[Status]]="Exited",DATEDIF(EmployeeData[[#This Row],[Join Date]], EmployeeData[[#This Row],[Exit Date]], "Y"),EmployeeData[[#This Row],[Status]]="Active",DATEDIF(EmployeeData[[#This Row],[Join Date]], TODAY(), "Y"))</f>
        <v>7</v>
      </c>
      <c r="Q394" t="str" cm="1">
        <f t="array" aca="1" ref="Q3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9 days</v>
      </c>
    </row>
    <row r="395" spans="1:17" hidden="1" x14ac:dyDescent="0.3">
      <c r="A395">
        <v>1394</v>
      </c>
      <c r="B395" t="s">
        <v>627</v>
      </c>
      <c r="C395" t="s">
        <v>10</v>
      </c>
      <c r="D395" t="s">
        <v>16</v>
      </c>
      <c r="E395">
        <v>33</v>
      </c>
      <c r="F395" t="str" cm="1">
        <f t="array" ref="F395">_xlfn.IFS(EmployeeData[[#This Row],[Age]]&lt;30,"20s",EmployeeData[[#This Row],[Age]]&lt;40,"30s",EmployeeData[[#This Row],[Age]]&lt;50,"40s",EmployeeData[[#This Row],[Age]]&lt;60,"50s",EmployeeData[[#This Row],[Age]]&gt;=60,"60s")</f>
        <v>30s</v>
      </c>
      <c r="G395" s="5">
        <v>44629</v>
      </c>
      <c r="I395" t="s">
        <v>17</v>
      </c>
      <c r="J395" t="s">
        <v>18</v>
      </c>
      <c r="K395" cm="1">
        <f t="array" aca="1" ref="K395" ca="1">_xlfn.IFS(EmployeeData[[#This Row],[Status]]="Active",_xlfn.DAYS(TODAY(),EmployeeData[[#This Row],[Join Date]]),EmployeeData[[#This Row],[Status]]="Exited",_xlfn.DAYS(EmployeeData[[#This Row],[Exit Date]],EmployeeData[[#This Row],[Join Date]]))</f>
        <v>1568</v>
      </c>
      <c r="L395" cm="1">
        <f t="array" aca="1" ref="L395" ca="1">_xlfn.IFS(EmployeeData[[#This Row],[Status]]="Exited",DATEDIF(EmployeeData[[#This Row],[Join Date]], EmployeeData[[#This Row],[Exit Date]], "Y"),EmployeeData[[#This Row],[Status]]="Active",DATEDIF(EmployeeData[[#This Row],[Join Date]], TODAY(), "Y"))</f>
        <v>4</v>
      </c>
      <c r="Q395" t="str" cm="1">
        <f t="array" aca="1" ref="Q3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15 days</v>
      </c>
    </row>
    <row r="396" spans="1:17" hidden="1" x14ac:dyDescent="0.3">
      <c r="A396">
        <v>1395</v>
      </c>
      <c r="B396" t="s">
        <v>758</v>
      </c>
      <c r="C396" t="s">
        <v>23</v>
      </c>
      <c r="D396" t="s">
        <v>16</v>
      </c>
      <c r="E396">
        <v>43</v>
      </c>
      <c r="F396" t="str" cm="1">
        <f t="array" ref="F396">_xlfn.IFS(EmployeeData[[#This Row],[Age]]&lt;30,"20s",EmployeeData[[#This Row],[Age]]&lt;40,"30s",EmployeeData[[#This Row],[Age]]&lt;50,"40s",EmployeeData[[#This Row],[Age]]&lt;60,"50s",EmployeeData[[#This Row],[Age]]&gt;=60,"60s")</f>
        <v>40s</v>
      </c>
      <c r="G396" s="5">
        <v>44379</v>
      </c>
      <c r="H396" s="5">
        <v>45254</v>
      </c>
      <c r="I396" t="s">
        <v>65</v>
      </c>
      <c r="J396" t="s">
        <v>13</v>
      </c>
      <c r="K396" cm="1">
        <f t="array" aca="1" ref="K396" ca="1">_xlfn.IFS(EmployeeData[[#This Row],[Status]]="Active",_xlfn.DAYS(TODAY(),EmployeeData[[#This Row],[Join Date]]),EmployeeData[[#This Row],[Status]]="Exited",_xlfn.DAYS(EmployeeData[[#This Row],[Exit Date]],EmployeeData[[#This Row],[Join Date]]))</f>
        <v>875</v>
      </c>
      <c r="L396" cm="1">
        <f t="array" aca="1" ref="L396" ca="1">_xlfn.IFS(EmployeeData[[#This Row],[Status]]="Exited",DATEDIF(EmployeeData[[#This Row],[Join Date]], EmployeeData[[#This Row],[Exit Date]], "Y"),EmployeeData[[#This Row],[Status]]="Active",DATEDIF(EmployeeData[[#This Row],[Join Date]], TODAY(), "Y"))</f>
        <v>2</v>
      </c>
      <c r="Q396" t="str" cm="1">
        <f t="array" aca="1" ref="Q3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397" spans="1:17" hidden="1" x14ac:dyDescent="0.3">
      <c r="A397">
        <v>1396</v>
      </c>
      <c r="B397" t="s">
        <v>917</v>
      </c>
      <c r="C397" t="s">
        <v>10</v>
      </c>
      <c r="D397" t="s">
        <v>16</v>
      </c>
      <c r="E397">
        <v>54</v>
      </c>
      <c r="F397" t="str" cm="1">
        <f t="array" ref="F397">_xlfn.IFS(EmployeeData[[#This Row],[Age]]&lt;30,"20s",EmployeeData[[#This Row],[Age]]&lt;40,"30s",EmployeeData[[#This Row],[Age]]&lt;50,"40s",EmployeeData[[#This Row],[Age]]&lt;60,"50s",EmployeeData[[#This Row],[Age]]&gt;=60,"60s")</f>
        <v>50s</v>
      </c>
      <c r="G397" s="5">
        <v>45543</v>
      </c>
      <c r="I397" t="s">
        <v>17</v>
      </c>
      <c r="J397" t="s">
        <v>18</v>
      </c>
      <c r="K397" cm="1">
        <f t="array" aca="1" ref="K397" ca="1">_xlfn.IFS(EmployeeData[[#This Row],[Status]]="Active",_xlfn.DAYS(TODAY(),EmployeeData[[#This Row],[Join Date]]),EmployeeData[[#This Row],[Status]]="Exited",_xlfn.DAYS(EmployeeData[[#This Row],[Exit Date]],EmployeeData[[#This Row],[Join Date]]))</f>
        <v>654</v>
      </c>
      <c r="L397" cm="1">
        <f t="array" aca="1" ref="L397" ca="1">_xlfn.IFS(EmployeeData[[#This Row],[Status]]="Exited",DATEDIF(EmployeeData[[#This Row],[Join Date]], EmployeeData[[#This Row],[Exit Date]], "Y"),EmployeeData[[#This Row],[Status]]="Active",DATEDIF(EmployeeData[[#This Row],[Join Date]], TODAY(), "Y"))</f>
        <v>1</v>
      </c>
      <c r="Q397" t="str" cm="1">
        <f t="array" aca="1" ref="Q3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16 days</v>
      </c>
    </row>
    <row r="398" spans="1:17" hidden="1" x14ac:dyDescent="0.3">
      <c r="A398">
        <v>1397</v>
      </c>
      <c r="B398" t="s">
        <v>407</v>
      </c>
      <c r="C398" t="s">
        <v>10</v>
      </c>
      <c r="D398" t="s">
        <v>11</v>
      </c>
      <c r="E398">
        <v>43</v>
      </c>
      <c r="F398" t="str" cm="1">
        <f t="array" ref="F398">_xlfn.IFS(EmployeeData[[#This Row],[Age]]&lt;30,"20s",EmployeeData[[#This Row],[Age]]&lt;40,"30s",EmployeeData[[#This Row],[Age]]&lt;50,"40s",EmployeeData[[#This Row],[Age]]&lt;60,"50s",EmployeeData[[#This Row],[Age]]&gt;=60,"60s")</f>
        <v>40s</v>
      </c>
      <c r="G398" s="5">
        <v>43872</v>
      </c>
      <c r="H398" s="5">
        <v>45614</v>
      </c>
      <c r="I398" t="s">
        <v>31</v>
      </c>
      <c r="J398" t="s">
        <v>13</v>
      </c>
      <c r="K398" cm="1">
        <f t="array" aca="1" ref="K398" ca="1">_xlfn.IFS(EmployeeData[[#This Row],[Status]]="Active",_xlfn.DAYS(TODAY(),EmployeeData[[#This Row],[Join Date]]),EmployeeData[[#This Row],[Status]]="Exited",_xlfn.DAYS(EmployeeData[[#This Row],[Exit Date]],EmployeeData[[#This Row],[Join Date]]))</f>
        <v>1742</v>
      </c>
      <c r="L398" cm="1">
        <f t="array" aca="1" ref="L398" ca="1">_xlfn.IFS(EmployeeData[[#This Row],[Status]]="Exited",DATEDIF(EmployeeData[[#This Row],[Join Date]], EmployeeData[[#This Row],[Exit Date]], "Y"),EmployeeData[[#This Row],[Status]]="Active",DATEDIF(EmployeeData[[#This Row],[Join Date]], TODAY(), "Y"))</f>
        <v>4</v>
      </c>
      <c r="Q398" t="str" cm="1">
        <f t="array" aca="1" ref="Q3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399" spans="1:17" hidden="1" x14ac:dyDescent="0.3">
      <c r="A399">
        <v>1398</v>
      </c>
      <c r="B399" t="s">
        <v>263</v>
      </c>
      <c r="C399" t="s">
        <v>15</v>
      </c>
      <c r="D399" t="s">
        <v>16</v>
      </c>
      <c r="E399">
        <v>53</v>
      </c>
      <c r="F399" t="str" cm="1">
        <f t="array" ref="F399">_xlfn.IFS(EmployeeData[[#This Row],[Age]]&lt;30,"20s",EmployeeData[[#This Row],[Age]]&lt;40,"30s",EmployeeData[[#This Row],[Age]]&lt;50,"40s",EmployeeData[[#This Row],[Age]]&lt;60,"50s",EmployeeData[[#This Row],[Age]]&gt;=60,"60s")</f>
        <v>50s</v>
      </c>
      <c r="G399" s="5">
        <v>43793</v>
      </c>
      <c r="H399" s="5">
        <v>44036</v>
      </c>
      <c r="I399" t="s">
        <v>12</v>
      </c>
      <c r="J399" t="s">
        <v>13</v>
      </c>
      <c r="K399" cm="1">
        <f t="array" aca="1" ref="K399" ca="1">_xlfn.IFS(EmployeeData[[#This Row],[Status]]="Active",_xlfn.DAYS(TODAY(),EmployeeData[[#This Row],[Join Date]]),EmployeeData[[#This Row],[Status]]="Exited",_xlfn.DAYS(EmployeeData[[#This Row],[Exit Date]],EmployeeData[[#This Row],[Join Date]]))</f>
        <v>243</v>
      </c>
      <c r="L399" cm="1">
        <f t="array" aca="1" ref="L399" ca="1">_xlfn.IFS(EmployeeData[[#This Row],[Status]]="Exited",DATEDIF(EmployeeData[[#This Row],[Join Date]], EmployeeData[[#This Row],[Exit Date]], "Y"),EmployeeData[[#This Row],[Status]]="Active",DATEDIF(EmployeeData[[#This Row],[Join Date]], TODAY(), "Y"))</f>
        <v>0</v>
      </c>
      <c r="Q399" t="str" cm="1">
        <f t="array" aca="1" ref="Q3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0 days</v>
      </c>
    </row>
    <row r="400" spans="1:17" hidden="1" x14ac:dyDescent="0.3">
      <c r="A400">
        <v>1399</v>
      </c>
      <c r="B400" t="s">
        <v>690</v>
      </c>
      <c r="C400" t="s">
        <v>23</v>
      </c>
      <c r="D400" t="s">
        <v>16</v>
      </c>
      <c r="E400">
        <v>27</v>
      </c>
      <c r="F400" t="str" cm="1">
        <f t="array" ref="F400">_xlfn.IFS(EmployeeData[[#This Row],[Age]]&lt;30,"20s",EmployeeData[[#This Row],[Age]]&lt;40,"30s",EmployeeData[[#This Row],[Age]]&lt;50,"40s",EmployeeData[[#This Row],[Age]]&lt;60,"50s",EmployeeData[[#This Row],[Age]]&gt;=60,"60s")</f>
        <v>20s</v>
      </c>
      <c r="G400" s="5">
        <v>45778</v>
      </c>
      <c r="I400" t="s">
        <v>17</v>
      </c>
      <c r="J400" t="s">
        <v>18</v>
      </c>
      <c r="K400" cm="1">
        <f t="array" aca="1" ref="K400" ca="1">_xlfn.IFS(EmployeeData[[#This Row],[Status]]="Active",_xlfn.DAYS(TODAY(),EmployeeData[[#This Row],[Join Date]]),EmployeeData[[#This Row],[Status]]="Exited",_xlfn.DAYS(EmployeeData[[#This Row],[Exit Date]],EmployeeData[[#This Row],[Join Date]]))</f>
        <v>419</v>
      </c>
      <c r="L400" cm="1">
        <f t="array" aca="1" ref="L400" ca="1">_xlfn.IFS(EmployeeData[[#This Row],[Status]]="Exited",DATEDIF(EmployeeData[[#This Row],[Join Date]], EmployeeData[[#This Row],[Exit Date]], "Y"),EmployeeData[[#This Row],[Status]]="Active",DATEDIF(EmployeeData[[#This Row],[Join Date]], TODAY(), "Y"))</f>
        <v>1</v>
      </c>
      <c r="Q400" t="str" cm="1">
        <f t="array" aca="1" ref="Q4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23 days</v>
      </c>
    </row>
    <row r="401" spans="1:17" hidden="1" x14ac:dyDescent="0.3">
      <c r="A401">
        <v>1400</v>
      </c>
      <c r="B401" t="s">
        <v>435</v>
      </c>
      <c r="C401" t="s">
        <v>10</v>
      </c>
      <c r="D401" t="s">
        <v>24</v>
      </c>
      <c r="E401">
        <v>51</v>
      </c>
      <c r="F401" t="str" cm="1">
        <f t="array" ref="F401">_xlfn.IFS(EmployeeData[[#This Row],[Age]]&lt;30,"20s",EmployeeData[[#This Row],[Age]]&lt;40,"30s",EmployeeData[[#This Row],[Age]]&lt;50,"40s",EmployeeData[[#This Row],[Age]]&lt;60,"50s",EmployeeData[[#This Row],[Age]]&gt;=60,"60s")</f>
        <v>50s</v>
      </c>
      <c r="G401" s="5">
        <v>45975</v>
      </c>
      <c r="H401" s="5">
        <v>46153</v>
      </c>
      <c r="I401" t="s">
        <v>34</v>
      </c>
      <c r="J401" t="s">
        <v>13</v>
      </c>
      <c r="K401" cm="1">
        <f t="array" aca="1" ref="K401" ca="1">_xlfn.IFS(EmployeeData[[#This Row],[Status]]="Active",_xlfn.DAYS(TODAY(),EmployeeData[[#This Row],[Join Date]]),EmployeeData[[#This Row],[Status]]="Exited",_xlfn.DAYS(EmployeeData[[#This Row],[Exit Date]],EmployeeData[[#This Row],[Join Date]]))</f>
        <v>178</v>
      </c>
      <c r="L401" cm="1">
        <f t="array" aca="1" ref="L401" ca="1">_xlfn.IFS(EmployeeData[[#This Row],[Status]]="Exited",DATEDIF(EmployeeData[[#This Row],[Join Date]], EmployeeData[[#This Row],[Exit Date]], "Y"),EmployeeData[[#This Row],[Status]]="Active",DATEDIF(EmployeeData[[#This Row],[Join Date]], TODAY(), "Y"))</f>
        <v>0</v>
      </c>
      <c r="Q401" t="str" cm="1">
        <f t="array" aca="1" ref="Q4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27 days</v>
      </c>
    </row>
    <row r="402" spans="1:17" hidden="1" x14ac:dyDescent="0.3">
      <c r="A402">
        <v>1401</v>
      </c>
      <c r="B402" t="s">
        <v>840</v>
      </c>
      <c r="C402" t="s">
        <v>20</v>
      </c>
      <c r="D402" t="s">
        <v>16</v>
      </c>
      <c r="E402">
        <v>29</v>
      </c>
      <c r="F402" t="str" cm="1">
        <f t="array" ref="F402">_xlfn.IFS(EmployeeData[[#This Row],[Age]]&lt;30,"20s",EmployeeData[[#This Row],[Age]]&lt;40,"30s",EmployeeData[[#This Row],[Age]]&lt;50,"40s",EmployeeData[[#This Row],[Age]]&lt;60,"50s",EmployeeData[[#This Row],[Age]]&gt;=60,"60s")</f>
        <v>20s</v>
      </c>
      <c r="G402" s="5">
        <v>44816</v>
      </c>
      <c r="I402" t="s">
        <v>17</v>
      </c>
      <c r="J402" t="s">
        <v>18</v>
      </c>
      <c r="K402" cm="1">
        <f t="array" aca="1" ref="K402" ca="1">_xlfn.IFS(EmployeeData[[#This Row],[Status]]="Active",_xlfn.DAYS(TODAY(),EmployeeData[[#This Row],[Join Date]]),EmployeeData[[#This Row],[Status]]="Exited",_xlfn.DAYS(EmployeeData[[#This Row],[Exit Date]],EmployeeData[[#This Row],[Join Date]]))</f>
        <v>1381</v>
      </c>
      <c r="L402" cm="1">
        <f t="array" aca="1" ref="L402" ca="1">_xlfn.IFS(EmployeeData[[#This Row],[Status]]="Exited",DATEDIF(EmployeeData[[#This Row],[Join Date]], EmployeeData[[#This Row],[Exit Date]], "Y"),EmployeeData[[#This Row],[Status]]="Active",DATEDIF(EmployeeData[[#This Row],[Join Date]], TODAY(), "Y"))</f>
        <v>3</v>
      </c>
      <c r="Q402" t="str" cm="1">
        <f t="array" aca="1" ref="Q4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12 days</v>
      </c>
    </row>
    <row r="403" spans="1:17" hidden="1" x14ac:dyDescent="0.3">
      <c r="A403">
        <v>1402</v>
      </c>
      <c r="B403" t="s">
        <v>169</v>
      </c>
      <c r="C403" t="s">
        <v>15</v>
      </c>
      <c r="D403" t="s">
        <v>16</v>
      </c>
      <c r="E403">
        <v>27</v>
      </c>
      <c r="F403" t="str" cm="1">
        <f t="array" ref="F403">_xlfn.IFS(EmployeeData[[#This Row],[Age]]&lt;30,"20s",EmployeeData[[#This Row],[Age]]&lt;40,"30s",EmployeeData[[#This Row],[Age]]&lt;50,"40s",EmployeeData[[#This Row],[Age]]&lt;60,"50s",EmployeeData[[#This Row],[Age]]&gt;=60,"60s")</f>
        <v>20s</v>
      </c>
      <c r="G403" s="5">
        <v>45139</v>
      </c>
      <c r="H403" s="5">
        <v>45433</v>
      </c>
      <c r="I403" t="s">
        <v>34</v>
      </c>
      <c r="J403" t="s">
        <v>13</v>
      </c>
      <c r="K403" cm="1">
        <f t="array" aca="1" ref="K403" ca="1">_xlfn.IFS(EmployeeData[[#This Row],[Status]]="Active",_xlfn.DAYS(TODAY(),EmployeeData[[#This Row],[Join Date]]),EmployeeData[[#This Row],[Status]]="Exited",_xlfn.DAYS(EmployeeData[[#This Row],[Exit Date]],EmployeeData[[#This Row],[Join Date]]))</f>
        <v>294</v>
      </c>
      <c r="L403" cm="1">
        <f t="array" aca="1" ref="L403" ca="1">_xlfn.IFS(EmployeeData[[#This Row],[Status]]="Exited",DATEDIF(EmployeeData[[#This Row],[Join Date]], EmployeeData[[#This Row],[Exit Date]], "Y"),EmployeeData[[#This Row],[Status]]="Active",DATEDIF(EmployeeData[[#This Row],[Join Date]], TODAY(), "Y"))</f>
        <v>0</v>
      </c>
      <c r="Q403" t="str" cm="1">
        <f t="array" aca="1" ref="Q4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04" spans="1:17" hidden="1" x14ac:dyDescent="0.3">
      <c r="A404">
        <v>1403</v>
      </c>
      <c r="B404" t="s">
        <v>726</v>
      </c>
      <c r="C404" t="s">
        <v>10</v>
      </c>
      <c r="D404" t="s">
        <v>16</v>
      </c>
      <c r="E404">
        <v>52</v>
      </c>
      <c r="F404" t="str" cm="1">
        <f t="array" ref="F404">_xlfn.IFS(EmployeeData[[#This Row],[Age]]&lt;30,"20s",EmployeeData[[#This Row],[Age]]&lt;40,"30s",EmployeeData[[#This Row],[Age]]&lt;50,"40s",EmployeeData[[#This Row],[Age]]&lt;60,"50s",EmployeeData[[#This Row],[Age]]&gt;=60,"60s")</f>
        <v>50s</v>
      </c>
      <c r="G404" s="5">
        <v>43951</v>
      </c>
      <c r="I404" t="s">
        <v>17</v>
      </c>
      <c r="J404" t="s">
        <v>18</v>
      </c>
      <c r="K404" cm="1">
        <f t="array" aca="1" ref="K404" ca="1">_xlfn.IFS(EmployeeData[[#This Row],[Status]]="Active",_xlfn.DAYS(TODAY(),EmployeeData[[#This Row],[Join Date]]),EmployeeData[[#This Row],[Status]]="Exited",_xlfn.DAYS(EmployeeData[[#This Row],[Exit Date]],EmployeeData[[#This Row],[Join Date]]))</f>
        <v>2246</v>
      </c>
      <c r="L404" cm="1">
        <f t="array" aca="1" ref="L404" ca="1">_xlfn.IFS(EmployeeData[[#This Row],[Status]]="Exited",DATEDIF(EmployeeData[[#This Row],[Join Date]], EmployeeData[[#This Row],[Exit Date]], "Y"),EmployeeData[[#This Row],[Status]]="Active",DATEDIF(EmployeeData[[#This Row],[Join Date]], TODAY(), "Y"))</f>
        <v>6</v>
      </c>
      <c r="Q404" t="str" cm="1">
        <f t="array" aca="1" ref="Q4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25 days</v>
      </c>
    </row>
    <row r="405" spans="1:17" hidden="1" x14ac:dyDescent="0.3">
      <c r="A405">
        <v>1404</v>
      </c>
      <c r="B405" t="s">
        <v>97</v>
      </c>
      <c r="C405" t="s">
        <v>20</v>
      </c>
      <c r="D405" t="s">
        <v>11</v>
      </c>
      <c r="E405">
        <v>57</v>
      </c>
      <c r="F405" t="str" cm="1">
        <f t="array" ref="F405">_xlfn.IFS(EmployeeData[[#This Row],[Age]]&lt;30,"20s",EmployeeData[[#This Row],[Age]]&lt;40,"30s",EmployeeData[[#This Row],[Age]]&lt;50,"40s",EmployeeData[[#This Row],[Age]]&lt;60,"50s",EmployeeData[[#This Row],[Age]]&gt;=60,"60s")</f>
        <v>50s</v>
      </c>
      <c r="G405" s="5">
        <v>45841</v>
      </c>
      <c r="I405" t="s">
        <v>17</v>
      </c>
      <c r="J405" t="s">
        <v>18</v>
      </c>
      <c r="K405" cm="1">
        <f t="array" aca="1" ref="K405" ca="1">_xlfn.IFS(EmployeeData[[#This Row],[Status]]="Active",_xlfn.DAYS(TODAY(),EmployeeData[[#This Row],[Join Date]]),EmployeeData[[#This Row],[Status]]="Exited",_xlfn.DAYS(EmployeeData[[#This Row],[Exit Date]],EmployeeData[[#This Row],[Join Date]]))</f>
        <v>356</v>
      </c>
      <c r="L405" cm="1">
        <f t="array" aca="1" ref="L405" ca="1">_xlfn.IFS(EmployeeData[[#This Row],[Status]]="Exited",DATEDIF(EmployeeData[[#This Row],[Join Date]], EmployeeData[[#This Row],[Exit Date]], "Y"),EmployeeData[[#This Row],[Status]]="Active",DATEDIF(EmployeeData[[#This Row],[Join Date]], TODAY(), "Y"))</f>
        <v>0</v>
      </c>
      <c r="Q405" t="str" cm="1">
        <f t="array" aca="1" ref="Q4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21 days</v>
      </c>
    </row>
    <row r="406" spans="1:17" hidden="1" x14ac:dyDescent="0.3">
      <c r="A406">
        <v>1405</v>
      </c>
      <c r="B406" t="s">
        <v>887</v>
      </c>
      <c r="C406" t="s">
        <v>46</v>
      </c>
      <c r="D406" t="s">
        <v>24</v>
      </c>
      <c r="E406">
        <v>50</v>
      </c>
      <c r="F406" t="str" cm="1">
        <f t="array" ref="F406">_xlfn.IFS(EmployeeData[[#This Row],[Age]]&lt;30,"20s",EmployeeData[[#This Row],[Age]]&lt;40,"30s",EmployeeData[[#This Row],[Age]]&lt;50,"40s",EmployeeData[[#This Row],[Age]]&lt;60,"50s",EmployeeData[[#This Row],[Age]]&gt;=60,"60s")</f>
        <v>50s</v>
      </c>
      <c r="G406" s="5">
        <v>44313</v>
      </c>
      <c r="H406" s="5">
        <v>44505</v>
      </c>
      <c r="I406" t="s">
        <v>31</v>
      </c>
      <c r="J406" t="s">
        <v>13</v>
      </c>
      <c r="K406" cm="1">
        <f t="array" aca="1" ref="K406" ca="1">_xlfn.IFS(EmployeeData[[#This Row],[Status]]="Active",_xlfn.DAYS(TODAY(),EmployeeData[[#This Row],[Join Date]]),EmployeeData[[#This Row],[Status]]="Exited",_xlfn.DAYS(EmployeeData[[#This Row],[Exit Date]],EmployeeData[[#This Row],[Join Date]]))</f>
        <v>192</v>
      </c>
      <c r="L406" cm="1">
        <f t="array" aca="1" ref="L406" ca="1">_xlfn.IFS(EmployeeData[[#This Row],[Status]]="Exited",DATEDIF(EmployeeData[[#This Row],[Join Date]], EmployeeData[[#This Row],[Exit Date]], "Y"),EmployeeData[[#This Row],[Status]]="Active",DATEDIF(EmployeeData[[#This Row],[Join Date]], TODAY(), "Y"))</f>
        <v>0</v>
      </c>
      <c r="Q406" t="str" cm="1">
        <f t="array" aca="1" ref="Q4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407" spans="1:17" hidden="1" x14ac:dyDescent="0.3">
      <c r="A407">
        <v>1406</v>
      </c>
      <c r="B407" t="s">
        <v>44</v>
      </c>
      <c r="C407" t="s">
        <v>10</v>
      </c>
      <c r="D407" t="s">
        <v>24</v>
      </c>
      <c r="E407">
        <v>48</v>
      </c>
      <c r="F407" t="str" cm="1">
        <f t="array" ref="F407">_xlfn.IFS(EmployeeData[[#This Row],[Age]]&lt;30,"20s",EmployeeData[[#This Row],[Age]]&lt;40,"30s",EmployeeData[[#This Row],[Age]]&lt;50,"40s",EmployeeData[[#This Row],[Age]]&lt;60,"50s",EmployeeData[[#This Row],[Age]]&gt;=60,"60s")</f>
        <v>40s</v>
      </c>
      <c r="G407" s="5">
        <v>43575</v>
      </c>
      <c r="H407" s="5">
        <v>43852</v>
      </c>
      <c r="I407" t="s">
        <v>31</v>
      </c>
      <c r="J407" t="s">
        <v>13</v>
      </c>
      <c r="K407" cm="1">
        <f t="array" aca="1" ref="K407" ca="1">_xlfn.IFS(EmployeeData[[#This Row],[Status]]="Active",_xlfn.DAYS(TODAY(),EmployeeData[[#This Row],[Join Date]]),EmployeeData[[#This Row],[Status]]="Exited",_xlfn.DAYS(EmployeeData[[#This Row],[Exit Date]],EmployeeData[[#This Row],[Join Date]]))</f>
        <v>277</v>
      </c>
      <c r="L407" cm="1">
        <f t="array" aca="1" ref="L407" ca="1">_xlfn.IFS(EmployeeData[[#This Row],[Status]]="Exited",DATEDIF(EmployeeData[[#This Row],[Join Date]], EmployeeData[[#This Row],[Exit Date]], "Y"),EmployeeData[[#This Row],[Status]]="Active",DATEDIF(EmployeeData[[#This Row],[Join Date]], TODAY(), "Y"))</f>
        <v>0</v>
      </c>
      <c r="Q407" t="str" cm="1">
        <f t="array" aca="1" ref="Q4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408" spans="1:17" hidden="1" x14ac:dyDescent="0.3">
      <c r="A408">
        <v>1407</v>
      </c>
      <c r="B408" t="s">
        <v>864</v>
      </c>
      <c r="C408" t="s">
        <v>10</v>
      </c>
      <c r="D408" t="s">
        <v>11</v>
      </c>
      <c r="E408">
        <v>38</v>
      </c>
      <c r="F408" t="str" cm="1">
        <f t="array" ref="F408">_xlfn.IFS(EmployeeData[[#This Row],[Age]]&lt;30,"20s",EmployeeData[[#This Row],[Age]]&lt;40,"30s",EmployeeData[[#This Row],[Age]]&lt;50,"40s",EmployeeData[[#This Row],[Age]]&lt;60,"50s",EmployeeData[[#This Row],[Age]]&gt;=60,"60s")</f>
        <v>30s</v>
      </c>
      <c r="G408" s="5">
        <v>43481</v>
      </c>
      <c r="H408" s="5">
        <v>44974</v>
      </c>
      <c r="I408" t="s">
        <v>31</v>
      </c>
      <c r="J408" t="s">
        <v>13</v>
      </c>
      <c r="K408" cm="1">
        <f t="array" aca="1" ref="K408" ca="1">_xlfn.IFS(EmployeeData[[#This Row],[Status]]="Active",_xlfn.DAYS(TODAY(),EmployeeData[[#This Row],[Join Date]]),EmployeeData[[#This Row],[Status]]="Exited",_xlfn.DAYS(EmployeeData[[#This Row],[Exit Date]],EmployeeData[[#This Row],[Join Date]]))</f>
        <v>1493</v>
      </c>
      <c r="L408" cm="1">
        <f t="array" aca="1" ref="L408" ca="1">_xlfn.IFS(EmployeeData[[#This Row],[Status]]="Exited",DATEDIF(EmployeeData[[#This Row],[Join Date]], EmployeeData[[#This Row],[Exit Date]], "Y"),EmployeeData[[#This Row],[Status]]="Active",DATEDIF(EmployeeData[[#This Row],[Join Date]], TODAY(), "Y"))</f>
        <v>4</v>
      </c>
      <c r="Q408" t="str" cm="1">
        <f t="array" aca="1" ref="Q4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409" spans="1:17" hidden="1" x14ac:dyDescent="0.3">
      <c r="A409">
        <v>1408</v>
      </c>
      <c r="B409" t="s">
        <v>112</v>
      </c>
      <c r="C409" t="s">
        <v>10</v>
      </c>
      <c r="D409" t="s">
        <v>24</v>
      </c>
      <c r="E409">
        <v>51</v>
      </c>
      <c r="F409" t="str" cm="1">
        <f t="array" ref="F409">_xlfn.IFS(EmployeeData[[#This Row],[Age]]&lt;30,"20s",EmployeeData[[#This Row],[Age]]&lt;40,"30s",EmployeeData[[#This Row],[Age]]&lt;50,"40s",EmployeeData[[#This Row],[Age]]&lt;60,"50s",EmployeeData[[#This Row],[Age]]&gt;=60,"60s")</f>
        <v>50s</v>
      </c>
      <c r="G409" s="5">
        <v>44828</v>
      </c>
      <c r="I409" t="s">
        <v>17</v>
      </c>
      <c r="J409" t="s">
        <v>18</v>
      </c>
      <c r="K409" cm="1">
        <f t="array" aca="1" ref="K409" ca="1">_xlfn.IFS(EmployeeData[[#This Row],[Status]]="Active",_xlfn.DAYS(TODAY(),EmployeeData[[#This Row],[Join Date]]),EmployeeData[[#This Row],[Status]]="Exited",_xlfn.DAYS(EmployeeData[[#This Row],[Exit Date]],EmployeeData[[#This Row],[Join Date]]))</f>
        <v>1369</v>
      </c>
      <c r="L409" cm="1">
        <f t="array" aca="1" ref="L409" ca="1">_xlfn.IFS(EmployeeData[[#This Row],[Status]]="Exited",DATEDIF(EmployeeData[[#This Row],[Join Date]], EmployeeData[[#This Row],[Exit Date]], "Y"),EmployeeData[[#This Row],[Status]]="Active",DATEDIF(EmployeeData[[#This Row],[Join Date]], TODAY(), "Y"))</f>
        <v>3</v>
      </c>
      <c r="Q409" t="str" cm="1">
        <f t="array" aca="1" ref="Q4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0 days</v>
      </c>
    </row>
    <row r="410" spans="1:17" hidden="1" x14ac:dyDescent="0.3">
      <c r="A410">
        <v>1409</v>
      </c>
      <c r="B410" t="s">
        <v>878</v>
      </c>
      <c r="C410" t="s">
        <v>46</v>
      </c>
      <c r="D410" t="s">
        <v>11</v>
      </c>
      <c r="E410">
        <v>27</v>
      </c>
      <c r="F410" t="str" cm="1">
        <f t="array" ref="F410">_xlfn.IFS(EmployeeData[[#This Row],[Age]]&lt;30,"20s",EmployeeData[[#This Row],[Age]]&lt;40,"30s",EmployeeData[[#This Row],[Age]]&lt;50,"40s",EmployeeData[[#This Row],[Age]]&lt;60,"50s",EmployeeData[[#This Row],[Age]]&gt;=60,"60s")</f>
        <v>20s</v>
      </c>
      <c r="G410" s="5">
        <v>44805</v>
      </c>
      <c r="I410" t="s">
        <v>17</v>
      </c>
      <c r="J410" t="s">
        <v>18</v>
      </c>
      <c r="K410" cm="1">
        <f t="array" aca="1" ref="K410" ca="1">_xlfn.IFS(EmployeeData[[#This Row],[Status]]="Active",_xlfn.DAYS(TODAY(),EmployeeData[[#This Row],[Join Date]]),EmployeeData[[#This Row],[Status]]="Exited",_xlfn.DAYS(EmployeeData[[#This Row],[Exit Date]],EmployeeData[[#This Row],[Join Date]]))</f>
        <v>1392</v>
      </c>
      <c r="L410" cm="1">
        <f t="array" aca="1" ref="L410" ca="1">_xlfn.IFS(EmployeeData[[#This Row],[Status]]="Exited",DATEDIF(EmployeeData[[#This Row],[Join Date]], EmployeeData[[#This Row],[Exit Date]], "Y"),EmployeeData[[#This Row],[Status]]="Active",DATEDIF(EmployeeData[[#This Row],[Join Date]], TODAY(), "Y"))</f>
        <v>3</v>
      </c>
      <c r="Q410" t="str" cm="1">
        <f t="array" aca="1" ref="Q4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23 days</v>
      </c>
    </row>
    <row r="411" spans="1:17" hidden="1" x14ac:dyDescent="0.3">
      <c r="A411">
        <v>1410</v>
      </c>
      <c r="B411" t="s">
        <v>839</v>
      </c>
      <c r="C411" t="s">
        <v>15</v>
      </c>
      <c r="D411" t="s">
        <v>24</v>
      </c>
      <c r="E411">
        <v>43</v>
      </c>
      <c r="F411" t="str" cm="1">
        <f t="array" ref="F411">_xlfn.IFS(EmployeeData[[#This Row],[Age]]&lt;30,"20s",EmployeeData[[#This Row],[Age]]&lt;40,"30s",EmployeeData[[#This Row],[Age]]&lt;50,"40s",EmployeeData[[#This Row],[Age]]&lt;60,"50s",EmployeeData[[#This Row],[Age]]&gt;=60,"60s")</f>
        <v>40s</v>
      </c>
      <c r="G411" s="5">
        <v>45605</v>
      </c>
      <c r="H411" s="5">
        <v>46045</v>
      </c>
      <c r="I411" t="s">
        <v>52</v>
      </c>
      <c r="J411" t="s">
        <v>13</v>
      </c>
      <c r="K411" cm="1">
        <f t="array" aca="1" ref="K411" ca="1">_xlfn.IFS(EmployeeData[[#This Row],[Status]]="Active",_xlfn.DAYS(TODAY(),EmployeeData[[#This Row],[Join Date]]),EmployeeData[[#This Row],[Status]]="Exited",_xlfn.DAYS(EmployeeData[[#This Row],[Exit Date]],EmployeeData[[#This Row],[Join Date]]))</f>
        <v>440</v>
      </c>
      <c r="L411" cm="1">
        <f t="array" aca="1" ref="L411" ca="1">_xlfn.IFS(EmployeeData[[#This Row],[Status]]="Exited",DATEDIF(EmployeeData[[#This Row],[Join Date]], EmployeeData[[#This Row],[Exit Date]], "Y"),EmployeeData[[#This Row],[Status]]="Active",DATEDIF(EmployeeData[[#This Row],[Join Date]], TODAY(), "Y"))</f>
        <v>1</v>
      </c>
      <c r="Q411" t="str" cm="1">
        <f t="array" aca="1" ref="Q4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412" spans="1:17" x14ac:dyDescent="0.3">
      <c r="A412">
        <v>1411</v>
      </c>
      <c r="B412" t="s">
        <v>739</v>
      </c>
      <c r="C412" t="s">
        <v>15</v>
      </c>
      <c r="D412" t="s">
        <v>24</v>
      </c>
      <c r="E412">
        <v>23</v>
      </c>
      <c r="F412" t="str" cm="1">
        <f t="array" ref="F412">_xlfn.IFS(EmployeeData[[#This Row],[Age]]&lt;30,"20s",EmployeeData[[#This Row],[Age]]&lt;40,"30s",EmployeeData[[#This Row],[Age]]&lt;50,"40s",EmployeeData[[#This Row],[Age]]&lt;60,"50s",EmployeeData[[#This Row],[Age]]&gt;=60,"60s")</f>
        <v>20s</v>
      </c>
      <c r="G412" s="5">
        <v>43360</v>
      </c>
      <c r="H412" s="5">
        <v>44737</v>
      </c>
      <c r="I412" t="s">
        <v>31</v>
      </c>
      <c r="J412" t="s">
        <v>13</v>
      </c>
      <c r="K412" cm="1">
        <f t="array" aca="1" ref="K412" ca="1">_xlfn.IFS(EmployeeData[[#This Row],[Status]]="Active",_xlfn.DAYS(TODAY(),EmployeeData[[#This Row],[Join Date]]),EmployeeData[[#This Row],[Status]]="Exited",_xlfn.DAYS(EmployeeData[[#This Row],[Exit Date]],EmployeeData[[#This Row],[Join Date]]))</f>
        <v>1377</v>
      </c>
      <c r="L412" cm="1">
        <f t="array" aca="1" ref="L412" ca="1">_xlfn.IFS(EmployeeData[[#This Row],[Status]]="Exited",DATEDIF(EmployeeData[[#This Row],[Join Date]], EmployeeData[[#This Row],[Exit Date]], "Y"),EmployeeData[[#This Row],[Status]]="Active",DATEDIF(EmployeeData[[#This Row],[Join Date]], TODAY(), "Y"))</f>
        <v>3</v>
      </c>
      <c r="Q412" t="str" cm="1">
        <f t="array" aca="1" ref="Q4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13" spans="1:17" hidden="1" x14ac:dyDescent="0.3">
      <c r="A413">
        <v>1412</v>
      </c>
      <c r="B413" t="s">
        <v>571</v>
      </c>
      <c r="C413" t="s">
        <v>46</v>
      </c>
      <c r="D413" t="s">
        <v>24</v>
      </c>
      <c r="E413">
        <v>42</v>
      </c>
      <c r="F413" t="str" cm="1">
        <f t="array" ref="F413">_xlfn.IFS(EmployeeData[[#This Row],[Age]]&lt;30,"20s",EmployeeData[[#This Row],[Age]]&lt;40,"30s",EmployeeData[[#This Row],[Age]]&lt;50,"40s",EmployeeData[[#This Row],[Age]]&lt;60,"50s",EmployeeData[[#This Row],[Age]]&gt;=60,"60s")</f>
        <v>40s</v>
      </c>
      <c r="G413" s="5">
        <v>45227</v>
      </c>
      <c r="I413" t="s">
        <v>17</v>
      </c>
      <c r="J413" t="s">
        <v>18</v>
      </c>
      <c r="K413" cm="1">
        <f t="array" aca="1" ref="K413" ca="1">_xlfn.IFS(EmployeeData[[#This Row],[Status]]="Active",_xlfn.DAYS(TODAY(),EmployeeData[[#This Row],[Join Date]]),EmployeeData[[#This Row],[Status]]="Exited",_xlfn.DAYS(EmployeeData[[#This Row],[Exit Date]],EmployeeData[[#This Row],[Join Date]]))</f>
        <v>970</v>
      </c>
      <c r="L413" cm="1">
        <f t="array" aca="1" ref="L413" ca="1">_xlfn.IFS(EmployeeData[[#This Row],[Status]]="Exited",DATEDIF(EmployeeData[[#This Row],[Join Date]], EmployeeData[[#This Row],[Exit Date]], "Y"),EmployeeData[[#This Row],[Status]]="Active",DATEDIF(EmployeeData[[#This Row],[Join Date]], TODAY(), "Y"))</f>
        <v>2</v>
      </c>
      <c r="Q413" t="str" cm="1">
        <f t="array" aca="1" ref="Q4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27 days</v>
      </c>
    </row>
    <row r="414" spans="1:17" hidden="1" x14ac:dyDescent="0.3">
      <c r="A414">
        <v>1413</v>
      </c>
      <c r="B414" t="s">
        <v>937</v>
      </c>
      <c r="C414" t="s">
        <v>10</v>
      </c>
      <c r="D414" t="s">
        <v>24</v>
      </c>
      <c r="E414">
        <v>45</v>
      </c>
      <c r="F414" t="str" cm="1">
        <f t="array" ref="F414">_xlfn.IFS(EmployeeData[[#This Row],[Age]]&lt;30,"20s",EmployeeData[[#This Row],[Age]]&lt;40,"30s",EmployeeData[[#This Row],[Age]]&lt;50,"40s",EmployeeData[[#This Row],[Age]]&lt;60,"50s",EmployeeData[[#This Row],[Age]]&gt;=60,"60s")</f>
        <v>40s</v>
      </c>
      <c r="G414" s="5">
        <v>43709</v>
      </c>
      <c r="I414" t="s">
        <v>17</v>
      </c>
      <c r="J414" t="s">
        <v>18</v>
      </c>
      <c r="K414" cm="1">
        <f t="array" aca="1" ref="K414" ca="1">_xlfn.IFS(EmployeeData[[#This Row],[Status]]="Active",_xlfn.DAYS(TODAY(),EmployeeData[[#This Row],[Join Date]]),EmployeeData[[#This Row],[Status]]="Exited",_xlfn.DAYS(EmployeeData[[#This Row],[Exit Date]],EmployeeData[[#This Row],[Join Date]]))</f>
        <v>2488</v>
      </c>
      <c r="L414" cm="1">
        <f t="array" aca="1" ref="L414" ca="1">_xlfn.IFS(EmployeeData[[#This Row],[Status]]="Exited",DATEDIF(EmployeeData[[#This Row],[Join Date]], EmployeeData[[#This Row],[Exit Date]], "Y"),EmployeeData[[#This Row],[Status]]="Active",DATEDIF(EmployeeData[[#This Row],[Join Date]], TODAY(), "Y"))</f>
        <v>6</v>
      </c>
      <c r="Q414" t="str" cm="1">
        <f t="array" aca="1" ref="Q4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415" spans="1:17" hidden="1" x14ac:dyDescent="0.3">
      <c r="A415">
        <v>1414</v>
      </c>
      <c r="B415" t="s">
        <v>972</v>
      </c>
      <c r="C415" t="s">
        <v>23</v>
      </c>
      <c r="D415" t="s">
        <v>24</v>
      </c>
      <c r="E415">
        <v>60</v>
      </c>
      <c r="F415" t="str" cm="1">
        <f t="array" ref="F415">_xlfn.IFS(EmployeeData[[#This Row],[Age]]&lt;30,"20s",EmployeeData[[#This Row],[Age]]&lt;40,"30s",EmployeeData[[#This Row],[Age]]&lt;50,"40s",EmployeeData[[#This Row],[Age]]&lt;60,"50s",EmployeeData[[#This Row],[Age]]&gt;=60,"60s")</f>
        <v>60s</v>
      </c>
      <c r="G415" s="5">
        <v>43778</v>
      </c>
      <c r="H415" s="5">
        <v>45881</v>
      </c>
      <c r="I415" t="s">
        <v>26</v>
      </c>
      <c r="J415" t="s">
        <v>13</v>
      </c>
      <c r="K415" cm="1">
        <f t="array" aca="1" ref="K415" ca="1">_xlfn.IFS(EmployeeData[[#This Row],[Status]]="Active",_xlfn.DAYS(TODAY(),EmployeeData[[#This Row],[Join Date]]),EmployeeData[[#This Row],[Status]]="Exited",_xlfn.DAYS(EmployeeData[[#This Row],[Exit Date]],EmployeeData[[#This Row],[Join Date]]))</f>
        <v>2103</v>
      </c>
      <c r="L415" cm="1">
        <f t="array" aca="1" ref="L415" ca="1">_xlfn.IFS(EmployeeData[[#This Row],[Status]]="Exited",DATEDIF(EmployeeData[[#This Row],[Join Date]], EmployeeData[[#This Row],[Exit Date]], "Y"),EmployeeData[[#This Row],[Status]]="Active",DATEDIF(EmployeeData[[#This Row],[Join Date]], TODAY(), "Y"))</f>
        <v>5</v>
      </c>
      <c r="Q415" t="str" cm="1">
        <f t="array" aca="1" ref="Q4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416" spans="1:17" hidden="1" x14ac:dyDescent="0.3">
      <c r="A416">
        <v>1415</v>
      </c>
      <c r="B416" t="s">
        <v>569</v>
      </c>
      <c r="C416" t="s">
        <v>10</v>
      </c>
      <c r="D416" t="s">
        <v>16</v>
      </c>
      <c r="E416">
        <v>50</v>
      </c>
      <c r="F416" t="str" cm="1">
        <f t="array" ref="F416">_xlfn.IFS(EmployeeData[[#This Row],[Age]]&lt;30,"20s",EmployeeData[[#This Row],[Age]]&lt;40,"30s",EmployeeData[[#This Row],[Age]]&lt;50,"40s",EmployeeData[[#This Row],[Age]]&lt;60,"50s",EmployeeData[[#This Row],[Age]]&gt;=60,"60s")</f>
        <v>50s</v>
      </c>
      <c r="G416" s="5">
        <v>44920</v>
      </c>
      <c r="I416" t="s">
        <v>17</v>
      </c>
      <c r="J416" t="s">
        <v>18</v>
      </c>
      <c r="K416" cm="1">
        <f t="array" aca="1" ref="K416" ca="1">_xlfn.IFS(EmployeeData[[#This Row],[Status]]="Active",_xlfn.DAYS(TODAY(),EmployeeData[[#This Row],[Join Date]]),EmployeeData[[#This Row],[Status]]="Exited",_xlfn.DAYS(EmployeeData[[#This Row],[Exit Date]],EmployeeData[[#This Row],[Join Date]]))</f>
        <v>1277</v>
      </c>
      <c r="L416" cm="1">
        <f t="array" aca="1" ref="L416" ca="1">_xlfn.IFS(EmployeeData[[#This Row],[Status]]="Exited",DATEDIF(EmployeeData[[#This Row],[Join Date]], EmployeeData[[#This Row],[Exit Date]], "Y"),EmployeeData[[#This Row],[Status]]="Active",DATEDIF(EmployeeData[[#This Row],[Join Date]], TODAY(), "Y"))</f>
        <v>3</v>
      </c>
      <c r="Q416" t="str" cm="1">
        <f t="array" aca="1" ref="Q4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30 days</v>
      </c>
    </row>
    <row r="417" spans="1:17" hidden="1" x14ac:dyDescent="0.3">
      <c r="A417">
        <v>1416</v>
      </c>
      <c r="B417" t="s">
        <v>457</v>
      </c>
      <c r="C417" t="s">
        <v>10</v>
      </c>
      <c r="D417" t="s">
        <v>16</v>
      </c>
      <c r="E417">
        <v>52</v>
      </c>
      <c r="F417" t="str" cm="1">
        <f t="array" ref="F417">_xlfn.IFS(EmployeeData[[#This Row],[Age]]&lt;30,"20s",EmployeeData[[#This Row],[Age]]&lt;40,"30s",EmployeeData[[#This Row],[Age]]&lt;50,"40s",EmployeeData[[#This Row],[Age]]&lt;60,"50s",EmployeeData[[#This Row],[Age]]&gt;=60,"60s")</f>
        <v>50s</v>
      </c>
      <c r="G417" s="5">
        <v>45777</v>
      </c>
      <c r="H417" s="5">
        <v>46073</v>
      </c>
      <c r="I417" t="s">
        <v>12</v>
      </c>
      <c r="J417" t="s">
        <v>13</v>
      </c>
      <c r="K417" cm="1">
        <f t="array" aca="1" ref="K417" ca="1">_xlfn.IFS(EmployeeData[[#This Row],[Status]]="Active",_xlfn.DAYS(TODAY(),EmployeeData[[#This Row],[Join Date]]),EmployeeData[[#This Row],[Status]]="Exited",_xlfn.DAYS(EmployeeData[[#This Row],[Exit Date]],EmployeeData[[#This Row],[Join Date]]))</f>
        <v>296</v>
      </c>
      <c r="L417" cm="1">
        <f t="array" aca="1" ref="L417" ca="1">_xlfn.IFS(EmployeeData[[#This Row],[Status]]="Exited",DATEDIF(EmployeeData[[#This Row],[Join Date]], EmployeeData[[#This Row],[Exit Date]], "Y"),EmployeeData[[#This Row],[Status]]="Active",DATEDIF(EmployeeData[[#This Row],[Join Date]], TODAY(), "Y"))</f>
        <v>0</v>
      </c>
      <c r="Q417" t="str" cm="1">
        <f t="array" aca="1" ref="Q4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21 days</v>
      </c>
    </row>
    <row r="418" spans="1:17" hidden="1" x14ac:dyDescent="0.3">
      <c r="A418">
        <v>1417</v>
      </c>
      <c r="B418" t="s">
        <v>493</v>
      </c>
      <c r="C418" t="s">
        <v>33</v>
      </c>
      <c r="D418" t="s">
        <v>11</v>
      </c>
      <c r="E418">
        <v>40</v>
      </c>
      <c r="F418" t="str" cm="1">
        <f t="array" ref="F418">_xlfn.IFS(EmployeeData[[#This Row],[Age]]&lt;30,"20s",EmployeeData[[#This Row],[Age]]&lt;40,"30s",EmployeeData[[#This Row],[Age]]&lt;50,"40s",EmployeeData[[#This Row],[Age]]&lt;60,"50s",EmployeeData[[#This Row],[Age]]&gt;=60,"60s")</f>
        <v>40s</v>
      </c>
      <c r="G418" s="5">
        <v>45183</v>
      </c>
      <c r="I418" t="s">
        <v>17</v>
      </c>
      <c r="J418" t="s">
        <v>18</v>
      </c>
      <c r="K418" cm="1">
        <f t="array" aca="1" ref="K418" ca="1">_xlfn.IFS(EmployeeData[[#This Row],[Status]]="Active",_xlfn.DAYS(TODAY(),EmployeeData[[#This Row],[Join Date]]),EmployeeData[[#This Row],[Status]]="Exited",_xlfn.DAYS(EmployeeData[[#This Row],[Exit Date]],EmployeeData[[#This Row],[Join Date]]))</f>
        <v>1014</v>
      </c>
      <c r="L418" cm="1">
        <f t="array" aca="1" ref="L418" ca="1">_xlfn.IFS(EmployeeData[[#This Row],[Status]]="Exited",DATEDIF(EmployeeData[[#This Row],[Join Date]], EmployeeData[[#This Row],[Exit Date]], "Y"),EmployeeData[[#This Row],[Status]]="Active",DATEDIF(EmployeeData[[#This Row],[Join Date]], TODAY(), "Y"))</f>
        <v>2</v>
      </c>
      <c r="Q418" t="str" cm="1">
        <f t="array" aca="1" ref="Q4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10 days</v>
      </c>
    </row>
    <row r="419" spans="1:17" hidden="1" x14ac:dyDescent="0.3">
      <c r="A419">
        <v>1418</v>
      </c>
      <c r="B419" t="s">
        <v>146</v>
      </c>
      <c r="C419" t="s">
        <v>33</v>
      </c>
      <c r="D419" t="s">
        <v>11</v>
      </c>
      <c r="E419">
        <v>42</v>
      </c>
      <c r="F419" t="str" cm="1">
        <f t="array" ref="F419">_xlfn.IFS(EmployeeData[[#This Row],[Age]]&lt;30,"20s",EmployeeData[[#This Row],[Age]]&lt;40,"30s",EmployeeData[[#This Row],[Age]]&lt;50,"40s",EmployeeData[[#This Row],[Age]]&lt;60,"50s",EmployeeData[[#This Row],[Age]]&gt;=60,"60s")</f>
        <v>40s</v>
      </c>
      <c r="G419" s="5">
        <v>45395</v>
      </c>
      <c r="I419" t="s">
        <v>17</v>
      </c>
      <c r="J419" t="s">
        <v>18</v>
      </c>
      <c r="K419" cm="1">
        <f t="array" aca="1" ref="K419" ca="1">_xlfn.IFS(EmployeeData[[#This Row],[Status]]="Active",_xlfn.DAYS(TODAY(),EmployeeData[[#This Row],[Join Date]]),EmployeeData[[#This Row],[Status]]="Exited",_xlfn.DAYS(EmployeeData[[#This Row],[Exit Date]],EmployeeData[[#This Row],[Join Date]]))</f>
        <v>802</v>
      </c>
      <c r="L419" cm="1">
        <f t="array" aca="1" ref="L419" ca="1">_xlfn.IFS(EmployeeData[[#This Row],[Status]]="Exited",DATEDIF(EmployeeData[[#This Row],[Join Date]], EmployeeData[[#This Row],[Exit Date]], "Y"),EmployeeData[[#This Row],[Status]]="Active",DATEDIF(EmployeeData[[#This Row],[Join Date]], TODAY(), "Y"))</f>
        <v>2</v>
      </c>
      <c r="Q419" t="str" cm="1">
        <f t="array" aca="1" ref="Q4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11 days</v>
      </c>
    </row>
    <row r="420" spans="1:17" hidden="1" x14ac:dyDescent="0.3">
      <c r="A420">
        <v>1419</v>
      </c>
      <c r="B420" t="s">
        <v>527</v>
      </c>
      <c r="C420" t="s">
        <v>10</v>
      </c>
      <c r="D420" t="s">
        <v>24</v>
      </c>
      <c r="E420">
        <v>27</v>
      </c>
      <c r="F420" t="str" cm="1">
        <f t="array" ref="F420">_xlfn.IFS(EmployeeData[[#This Row],[Age]]&lt;30,"20s",EmployeeData[[#This Row],[Age]]&lt;40,"30s",EmployeeData[[#This Row],[Age]]&lt;50,"40s",EmployeeData[[#This Row],[Age]]&lt;60,"50s",EmployeeData[[#This Row],[Age]]&gt;=60,"60s")</f>
        <v>20s</v>
      </c>
      <c r="G420" s="5">
        <v>45799</v>
      </c>
      <c r="H420" s="5">
        <v>46063</v>
      </c>
      <c r="I420" t="s">
        <v>12</v>
      </c>
      <c r="J420" t="s">
        <v>13</v>
      </c>
      <c r="K420" cm="1">
        <f t="array" aca="1" ref="K420" ca="1">_xlfn.IFS(EmployeeData[[#This Row],[Status]]="Active",_xlfn.DAYS(TODAY(),EmployeeData[[#This Row],[Join Date]]),EmployeeData[[#This Row],[Status]]="Exited",_xlfn.DAYS(EmployeeData[[#This Row],[Exit Date]],EmployeeData[[#This Row],[Join Date]]))</f>
        <v>264</v>
      </c>
      <c r="L420" cm="1">
        <f t="array" aca="1" ref="L420" ca="1">_xlfn.IFS(EmployeeData[[#This Row],[Status]]="Exited",DATEDIF(EmployeeData[[#This Row],[Join Date]], EmployeeData[[#This Row],[Exit Date]], "Y"),EmployeeData[[#This Row],[Status]]="Active",DATEDIF(EmployeeData[[#This Row],[Join Date]], TODAY(), "Y"))</f>
        <v>0</v>
      </c>
      <c r="Q420" t="str" cm="1">
        <f t="array" aca="1" ref="Q4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19 days</v>
      </c>
    </row>
    <row r="421" spans="1:17" hidden="1" x14ac:dyDescent="0.3">
      <c r="A421">
        <v>1420</v>
      </c>
      <c r="B421" t="s">
        <v>716</v>
      </c>
      <c r="C421" t="s">
        <v>15</v>
      </c>
      <c r="D421" t="s">
        <v>16</v>
      </c>
      <c r="E421">
        <v>29</v>
      </c>
      <c r="F421" t="str" cm="1">
        <f t="array" ref="F421">_xlfn.IFS(EmployeeData[[#This Row],[Age]]&lt;30,"20s",EmployeeData[[#This Row],[Age]]&lt;40,"30s",EmployeeData[[#This Row],[Age]]&lt;50,"40s",EmployeeData[[#This Row],[Age]]&lt;60,"50s",EmployeeData[[#This Row],[Age]]&gt;=60,"60s")</f>
        <v>20s</v>
      </c>
      <c r="G421" s="5">
        <v>44777</v>
      </c>
      <c r="H421" s="5">
        <v>46118</v>
      </c>
      <c r="I421" t="s">
        <v>31</v>
      </c>
      <c r="J421" t="s">
        <v>13</v>
      </c>
      <c r="K421" cm="1">
        <f t="array" aca="1" ref="K421" ca="1">_xlfn.IFS(EmployeeData[[#This Row],[Status]]="Active",_xlfn.DAYS(TODAY(),EmployeeData[[#This Row],[Join Date]]),EmployeeData[[#This Row],[Status]]="Exited",_xlfn.DAYS(EmployeeData[[#This Row],[Exit Date]],EmployeeData[[#This Row],[Join Date]]))</f>
        <v>1341</v>
      </c>
      <c r="L421" cm="1">
        <f t="array" aca="1" ref="L421" ca="1">_xlfn.IFS(EmployeeData[[#This Row],[Status]]="Exited",DATEDIF(EmployeeData[[#This Row],[Join Date]], EmployeeData[[#This Row],[Exit Date]], "Y"),EmployeeData[[#This Row],[Status]]="Active",DATEDIF(EmployeeData[[#This Row],[Join Date]], TODAY(), "Y"))</f>
        <v>3</v>
      </c>
      <c r="Q421" t="str" cm="1">
        <f t="array" aca="1" ref="Q4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422" spans="1:17" x14ac:dyDescent="0.3">
      <c r="A422">
        <v>1421</v>
      </c>
      <c r="B422" t="s">
        <v>308</v>
      </c>
      <c r="C422" t="s">
        <v>20</v>
      </c>
      <c r="D422" t="s">
        <v>16</v>
      </c>
      <c r="E422">
        <v>47</v>
      </c>
      <c r="F422" t="str" cm="1">
        <f t="array" ref="F422">_xlfn.IFS(EmployeeData[[#This Row],[Age]]&lt;30,"20s",EmployeeData[[#This Row],[Age]]&lt;40,"30s",EmployeeData[[#This Row],[Age]]&lt;50,"40s",EmployeeData[[#This Row],[Age]]&lt;60,"50s",EmployeeData[[#This Row],[Age]]&gt;=60,"60s")</f>
        <v>40s</v>
      </c>
      <c r="G422" s="5">
        <v>43291</v>
      </c>
      <c r="I422" t="s">
        <v>17</v>
      </c>
      <c r="J422" t="s">
        <v>18</v>
      </c>
      <c r="K422" cm="1">
        <f t="array" aca="1" ref="K422" ca="1">_xlfn.IFS(EmployeeData[[#This Row],[Status]]="Active",_xlfn.DAYS(TODAY(),EmployeeData[[#This Row],[Join Date]]),EmployeeData[[#This Row],[Status]]="Exited",_xlfn.DAYS(EmployeeData[[#This Row],[Exit Date]],EmployeeData[[#This Row],[Join Date]]))</f>
        <v>2906</v>
      </c>
      <c r="L422" cm="1">
        <f t="array" aca="1" ref="L422" ca="1">_xlfn.IFS(EmployeeData[[#This Row],[Status]]="Exited",DATEDIF(EmployeeData[[#This Row],[Join Date]], EmployeeData[[#This Row],[Exit Date]], "Y"),EmployeeData[[#This Row],[Status]]="Active",DATEDIF(EmployeeData[[#This Row],[Join Date]], TODAY(), "Y"))</f>
        <v>7</v>
      </c>
      <c r="Q422" t="str" cm="1">
        <f t="array" aca="1" ref="Q4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14 days</v>
      </c>
    </row>
    <row r="423" spans="1:17" hidden="1" x14ac:dyDescent="0.3">
      <c r="A423">
        <v>1422</v>
      </c>
      <c r="B423" t="s">
        <v>464</v>
      </c>
      <c r="C423" t="s">
        <v>46</v>
      </c>
      <c r="D423" t="s">
        <v>16</v>
      </c>
      <c r="E423">
        <v>24</v>
      </c>
      <c r="F423" t="str" cm="1">
        <f t="array" ref="F423">_xlfn.IFS(EmployeeData[[#This Row],[Age]]&lt;30,"20s",EmployeeData[[#This Row],[Age]]&lt;40,"30s",EmployeeData[[#This Row],[Age]]&lt;50,"40s",EmployeeData[[#This Row],[Age]]&lt;60,"50s",EmployeeData[[#This Row],[Age]]&gt;=60,"60s")</f>
        <v>20s</v>
      </c>
      <c r="G423" s="5">
        <v>45367</v>
      </c>
      <c r="I423" t="s">
        <v>17</v>
      </c>
      <c r="J423" t="s">
        <v>18</v>
      </c>
      <c r="K423" cm="1">
        <f t="array" aca="1" ref="K423" ca="1">_xlfn.IFS(EmployeeData[[#This Row],[Status]]="Active",_xlfn.DAYS(TODAY(),EmployeeData[[#This Row],[Join Date]]),EmployeeData[[#This Row],[Status]]="Exited",_xlfn.DAYS(EmployeeData[[#This Row],[Exit Date]],EmployeeData[[#This Row],[Join Date]]))</f>
        <v>830</v>
      </c>
      <c r="L423" cm="1">
        <f t="array" aca="1" ref="L423" ca="1">_xlfn.IFS(EmployeeData[[#This Row],[Status]]="Exited",DATEDIF(EmployeeData[[#This Row],[Join Date]], EmployeeData[[#This Row],[Exit Date]], "Y"),EmployeeData[[#This Row],[Status]]="Active",DATEDIF(EmployeeData[[#This Row],[Join Date]], TODAY(), "Y"))</f>
        <v>2</v>
      </c>
      <c r="Q423" t="str" cm="1">
        <f t="array" aca="1" ref="Q4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8 days</v>
      </c>
    </row>
    <row r="424" spans="1:17" hidden="1" x14ac:dyDescent="0.3">
      <c r="A424">
        <v>1423</v>
      </c>
      <c r="B424" t="s">
        <v>1060</v>
      </c>
      <c r="C424" t="s">
        <v>46</v>
      </c>
      <c r="D424" t="s">
        <v>11</v>
      </c>
      <c r="E424">
        <v>32</v>
      </c>
      <c r="F424" t="str" cm="1">
        <f t="array" ref="F424">_xlfn.IFS(EmployeeData[[#This Row],[Age]]&lt;30,"20s",EmployeeData[[#This Row],[Age]]&lt;40,"30s",EmployeeData[[#This Row],[Age]]&lt;50,"40s",EmployeeData[[#This Row],[Age]]&lt;60,"50s",EmployeeData[[#This Row],[Age]]&gt;=60,"60s")</f>
        <v>30s</v>
      </c>
      <c r="G424" s="5">
        <v>43626</v>
      </c>
      <c r="H424" s="5">
        <v>45034</v>
      </c>
      <c r="I424" t="s">
        <v>65</v>
      </c>
      <c r="J424" t="s">
        <v>13</v>
      </c>
      <c r="K424" cm="1">
        <f t="array" aca="1" ref="K424" ca="1">_xlfn.IFS(EmployeeData[[#This Row],[Status]]="Active",_xlfn.DAYS(TODAY(),EmployeeData[[#This Row],[Join Date]]),EmployeeData[[#This Row],[Status]]="Exited",_xlfn.DAYS(EmployeeData[[#This Row],[Exit Date]],EmployeeData[[#This Row],[Join Date]]))</f>
        <v>1408</v>
      </c>
      <c r="L424" cm="1">
        <f t="array" aca="1" ref="L424" ca="1">_xlfn.IFS(EmployeeData[[#This Row],[Status]]="Exited",DATEDIF(EmployeeData[[#This Row],[Join Date]], EmployeeData[[#This Row],[Exit Date]], "Y"),EmployeeData[[#This Row],[Status]]="Active",DATEDIF(EmployeeData[[#This Row],[Join Date]], TODAY(), "Y"))</f>
        <v>3</v>
      </c>
      <c r="Q424" t="str" cm="1">
        <f t="array" aca="1" ref="Q4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8 days</v>
      </c>
    </row>
    <row r="425" spans="1:17" hidden="1" x14ac:dyDescent="0.3">
      <c r="A425">
        <v>1424</v>
      </c>
      <c r="B425" t="s">
        <v>559</v>
      </c>
      <c r="C425" t="s">
        <v>46</v>
      </c>
      <c r="D425" t="s">
        <v>11</v>
      </c>
      <c r="E425">
        <v>38</v>
      </c>
      <c r="F425" t="str" cm="1">
        <f t="array" ref="F425">_xlfn.IFS(EmployeeData[[#This Row],[Age]]&lt;30,"20s",EmployeeData[[#This Row],[Age]]&lt;40,"30s",EmployeeData[[#This Row],[Age]]&lt;50,"40s",EmployeeData[[#This Row],[Age]]&lt;60,"50s",EmployeeData[[#This Row],[Age]]&gt;=60,"60s")</f>
        <v>30s</v>
      </c>
      <c r="G425" s="5">
        <v>44730</v>
      </c>
      <c r="I425" t="s">
        <v>17</v>
      </c>
      <c r="J425" t="s">
        <v>18</v>
      </c>
      <c r="K425" cm="1">
        <f t="array" aca="1" ref="K425" ca="1">_xlfn.IFS(EmployeeData[[#This Row],[Status]]="Active",_xlfn.DAYS(TODAY(),EmployeeData[[#This Row],[Join Date]]),EmployeeData[[#This Row],[Status]]="Exited",_xlfn.DAYS(EmployeeData[[#This Row],[Exit Date]],EmployeeData[[#This Row],[Join Date]]))</f>
        <v>1467</v>
      </c>
      <c r="L425" cm="1">
        <f t="array" aca="1" ref="L425" ca="1">_xlfn.IFS(EmployeeData[[#This Row],[Status]]="Exited",DATEDIF(EmployeeData[[#This Row],[Join Date]], EmployeeData[[#This Row],[Exit Date]], "Y"),EmployeeData[[#This Row],[Status]]="Active",DATEDIF(EmployeeData[[#This Row],[Join Date]], TODAY(), "Y"))</f>
        <v>4</v>
      </c>
      <c r="Q425" t="str" cm="1">
        <f t="array" aca="1" ref="Q4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6 days</v>
      </c>
    </row>
    <row r="426" spans="1:17" hidden="1" x14ac:dyDescent="0.3">
      <c r="A426">
        <v>1425</v>
      </c>
      <c r="B426" t="s">
        <v>909</v>
      </c>
      <c r="C426" t="s">
        <v>15</v>
      </c>
      <c r="D426" t="s">
        <v>24</v>
      </c>
      <c r="E426">
        <v>53</v>
      </c>
      <c r="F426" t="str" cm="1">
        <f t="array" ref="F426">_xlfn.IFS(EmployeeData[[#This Row],[Age]]&lt;30,"20s",EmployeeData[[#This Row],[Age]]&lt;40,"30s",EmployeeData[[#This Row],[Age]]&lt;50,"40s",EmployeeData[[#This Row],[Age]]&lt;60,"50s",EmployeeData[[#This Row],[Age]]&gt;=60,"60s")</f>
        <v>50s</v>
      </c>
      <c r="G426" s="5">
        <v>44325</v>
      </c>
      <c r="I426" t="s">
        <v>17</v>
      </c>
      <c r="J426" t="s">
        <v>18</v>
      </c>
      <c r="K426" cm="1">
        <f t="array" aca="1" ref="K426" ca="1">_xlfn.IFS(EmployeeData[[#This Row],[Status]]="Active",_xlfn.DAYS(TODAY(),EmployeeData[[#This Row],[Join Date]]),EmployeeData[[#This Row],[Status]]="Exited",_xlfn.DAYS(EmployeeData[[#This Row],[Exit Date]],EmployeeData[[#This Row],[Join Date]]))</f>
        <v>1872</v>
      </c>
      <c r="L426" cm="1">
        <f t="array" aca="1" ref="L426" ca="1">_xlfn.IFS(EmployeeData[[#This Row],[Status]]="Exited",DATEDIF(EmployeeData[[#This Row],[Join Date]], EmployeeData[[#This Row],[Exit Date]], "Y"),EmployeeData[[#This Row],[Status]]="Active",DATEDIF(EmployeeData[[#This Row],[Join Date]], TODAY(), "Y"))</f>
        <v>5</v>
      </c>
      <c r="Q426" t="str" cm="1">
        <f t="array" aca="1" ref="Q4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427" spans="1:17" hidden="1" x14ac:dyDescent="0.3">
      <c r="A427">
        <v>1426</v>
      </c>
      <c r="B427" t="s">
        <v>248</v>
      </c>
      <c r="C427" t="s">
        <v>46</v>
      </c>
      <c r="D427" t="s">
        <v>24</v>
      </c>
      <c r="E427">
        <v>33</v>
      </c>
      <c r="F427" t="str" cm="1">
        <f t="array" ref="F427">_xlfn.IFS(EmployeeData[[#This Row],[Age]]&lt;30,"20s",EmployeeData[[#This Row],[Age]]&lt;40,"30s",EmployeeData[[#This Row],[Age]]&lt;50,"40s",EmployeeData[[#This Row],[Age]]&lt;60,"50s",EmployeeData[[#This Row],[Age]]&gt;=60,"60s")</f>
        <v>30s</v>
      </c>
      <c r="G427" s="5">
        <v>43959</v>
      </c>
      <c r="I427" t="s">
        <v>17</v>
      </c>
      <c r="J427" t="s">
        <v>18</v>
      </c>
      <c r="K427" cm="1">
        <f t="array" aca="1" ref="K427" ca="1">_xlfn.IFS(EmployeeData[[#This Row],[Status]]="Active",_xlfn.DAYS(TODAY(),EmployeeData[[#This Row],[Join Date]]),EmployeeData[[#This Row],[Status]]="Exited",_xlfn.DAYS(EmployeeData[[#This Row],[Exit Date]],EmployeeData[[#This Row],[Join Date]]))</f>
        <v>2238</v>
      </c>
      <c r="L427" cm="1">
        <f t="array" aca="1" ref="L427" ca="1">_xlfn.IFS(EmployeeData[[#This Row],[Status]]="Exited",DATEDIF(EmployeeData[[#This Row],[Join Date]], EmployeeData[[#This Row],[Exit Date]], "Y"),EmployeeData[[#This Row],[Status]]="Active",DATEDIF(EmployeeData[[#This Row],[Join Date]], TODAY(), "Y"))</f>
        <v>6</v>
      </c>
      <c r="Q427" t="str" cm="1">
        <f t="array" aca="1" ref="Q4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16 days</v>
      </c>
    </row>
    <row r="428" spans="1:17" hidden="1" x14ac:dyDescent="0.3">
      <c r="A428">
        <v>1427</v>
      </c>
      <c r="B428" t="s">
        <v>918</v>
      </c>
      <c r="C428" t="s">
        <v>46</v>
      </c>
      <c r="D428" t="s">
        <v>24</v>
      </c>
      <c r="E428">
        <v>32</v>
      </c>
      <c r="F428" t="str" cm="1">
        <f t="array" ref="F428">_xlfn.IFS(EmployeeData[[#This Row],[Age]]&lt;30,"20s",EmployeeData[[#This Row],[Age]]&lt;40,"30s",EmployeeData[[#This Row],[Age]]&lt;50,"40s",EmployeeData[[#This Row],[Age]]&lt;60,"50s",EmployeeData[[#This Row],[Age]]&gt;=60,"60s")</f>
        <v>30s</v>
      </c>
      <c r="G428" s="5">
        <v>45164</v>
      </c>
      <c r="I428" t="s">
        <v>17</v>
      </c>
      <c r="J428" t="s">
        <v>18</v>
      </c>
      <c r="K428" cm="1">
        <f t="array" aca="1" ref="K428" ca="1">_xlfn.IFS(EmployeeData[[#This Row],[Status]]="Active",_xlfn.DAYS(TODAY(),EmployeeData[[#This Row],[Join Date]]),EmployeeData[[#This Row],[Status]]="Exited",_xlfn.DAYS(EmployeeData[[#This Row],[Exit Date]],EmployeeData[[#This Row],[Join Date]]))</f>
        <v>1033</v>
      </c>
      <c r="L428" cm="1">
        <f t="array" aca="1" ref="L428" ca="1">_xlfn.IFS(EmployeeData[[#This Row],[Status]]="Exited",DATEDIF(EmployeeData[[#This Row],[Join Date]], EmployeeData[[#This Row],[Exit Date]], "Y"),EmployeeData[[#This Row],[Status]]="Active",DATEDIF(EmployeeData[[#This Row],[Join Date]], TODAY(), "Y"))</f>
        <v>2</v>
      </c>
      <c r="Q428" t="str" cm="1">
        <f t="array" aca="1" ref="Q4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29 days</v>
      </c>
    </row>
    <row r="429" spans="1:17" hidden="1" x14ac:dyDescent="0.3">
      <c r="A429">
        <v>1428</v>
      </c>
      <c r="B429" t="s">
        <v>551</v>
      </c>
      <c r="C429" t="s">
        <v>23</v>
      </c>
      <c r="D429" t="s">
        <v>24</v>
      </c>
      <c r="E429">
        <v>47</v>
      </c>
      <c r="F429" t="str" cm="1">
        <f t="array" ref="F429">_xlfn.IFS(EmployeeData[[#This Row],[Age]]&lt;30,"20s",EmployeeData[[#This Row],[Age]]&lt;40,"30s",EmployeeData[[#This Row],[Age]]&lt;50,"40s",EmployeeData[[#This Row],[Age]]&lt;60,"50s",EmployeeData[[#This Row],[Age]]&gt;=60,"60s")</f>
        <v>40s</v>
      </c>
      <c r="G429" s="5">
        <v>45862</v>
      </c>
      <c r="I429" t="s">
        <v>17</v>
      </c>
      <c r="J429" t="s">
        <v>18</v>
      </c>
      <c r="K429" cm="1">
        <f t="array" aca="1" ref="K429" ca="1">_xlfn.IFS(EmployeeData[[#This Row],[Status]]="Active",_xlfn.DAYS(TODAY(),EmployeeData[[#This Row],[Join Date]]),EmployeeData[[#This Row],[Status]]="Exited",_xlfn.DAYS(EmployeeData[[#This Row],[Exit Date]],EmployeeData[[#This Row],[Join Date]]))</f>
        <v>335</v>
      </c>
      <c r="L429" cm="1">
        <f t="array" aca="1" ref="L429" ca="1">_xlfn.IFS(EmployeeData[[#This Row],[Status]]="Exited",DATEDIF(EmployeeData[[#This Row],[Join Date]], EmployeeData[[#This Row],[Exit Date]], "Y"),EmployeeData[[#This Row],[Status]]="Active",DATEDIF(EmployeeData[[#This Row],[Join Date]], TODAY(), "Y"))</f>
        <v>0</v>
      </c>
      <c r="Q429" t="str" cm="1">
        <f t="array" aca="1" ref="Q4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0 days</v>
      </c>
    </row>
    <row r="430" spans="1:17" x14ac:dyDescent="0.3">
      <c r="A430">
        <v>1429</v>
      </c>
      <c r="B430" t="s">
        <v>491</v>
      </c>
      <c r="C430" t="s">
        <v>10</v>
      </c>
      <c r="D430" t="s">
        <v>16</v>
      </c>
      <c r="E430">
        <v>27</v>
      </c>
      <c r="F430" t="str" cm="1">
        <f t="array" ref="F430">_xlfn.IFS(EmployeeData[[#This Row],[Age]]&lt;30,"20s",EmployeeData[[#This Row],[Age]]&lt;40,"30s",EmployeeData[[#This Row],[Age]]&lt;50,"40s",EmployeeData[[#This Row],[Age]]&lt;60,"50s",EmployeeData[[#This Row],[Age]]&gt;=60,"60s")</f>
        <v>20s</v>
      </c>
      <c r="G430" s="5">
        <v>43204</v>
      </c>
      <c r="I430" t="s">
        <v>17</v>
      </c>
      <c r="J430" t="s">
        <v>18</v>
      </c>
      <c r="K430" cm="1">
        <f t="array" aca="1" ref="K430" ca="1">_xlfn.IFS(EmployeeData[[#This Row],[Status]]="Active",_xlfn.DAYS(TODAY(),EmployeeData[[#This Row],[Join Date]]),EmployeeData[[#This Row],[Status]]="Exited",_xlfn.DAYS(EmployeeData[[#This Row],[Exit Date]],EmployeeData[[#This Row],[Join Date]]))</f>
        <v>2993</v>
      </c>
      <c r="L430" cm="1">
        <f t="array" aca="1" ref="L430" ca="1">_xlfn.IFS(EmployeeData[[#This Row],[Status]]="Exited",DATEDIF(EmployeeData[[#This Row],[Join Date]], EmployeeData[[#This Row],[Exit Date]], "Y"),EmployeeData[[#This Row],[Status]]="Active",DATEDIF(EmployeeData[[#This Row],[Join Date]], TODAY(), "Y"))</f>
        <v>8</v>
      </c>
      <c r="Q430" t="str" cm="1">
        <f t="array" aca="1" ref="Q4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10 days</v>
      </c>
    </row>
    <row r="431" spans="1:17" hidden="1" x14ac:dyDescent="0.3">
      <c r="A431">
        <v>1430</v>
      </c>
      <c r="B431" t="s">
        <v>700</v>
      </c>
      <c r="C431" t="s">
        <v>20</v>
      </c>
      <c r="D431" t="s">
        <v>16</v>
      </c>
      <c r="E431">
        <v>39</v>
      </c>
      <c r="F431" t="str" cm="1">
        <f t="array" ref="F431">_xlfn.IFS(EmployeeData[[#This Row],[Age]]&lt;30,"20s",EmployeeData[[#This Row],[Age]]&lt;40,"30s",EmployeeData[[#This Row],[Age]]&lt;50,"40s",EmployeeData[[#This Row],[Age]]&lt;60,"50s",EmployeeData[[#This Row],[Age]]&gt;=60,"60s")</f>
        <v>30s</v>
      </c>
      <c r="G431" s="5">
        <v>45900</v>
      </c>
      <c r="H431" s="5">
        <v>46005</v>
      </c>
      <c r="I431" t="s">
        <v>34</v>
      </c>
      <c r="J431" t="s">
        <v>13</v>
      </c>
      <c r="K431" cm="1">
        <f t="array" aca="1" ref="K431" ca="1">_xlfn.IFS(EmployeeData[[#This Row],[Status]]="Active",_xlfn.DAYS(TODAY(),EmployeeData[[#This Row],[Join Date]]),EmployeeData[[#This Row],[Status]]="Exited",_xlfn.DAYS(EmployeeData[[#This Row],[Exit Date]],EmployeeData[[#This Row],[Join Date]]))</f>
        <v>105</v>
      </c>
      <c r="L431" cm="1">
        <f t="array" aca="1" ref="L431" ca="1">_xlfn.IFS(EmployeeData[[#This Row],[Status]]="Exited",DATEDIF(EmployeeData[[#This Row],[Join Date]], EmployeeData[[#This Row],[Exit Date]], "Y"),EmployeeData[[#This Row],[Status]]="Active",DATEDIF(EmployeeData[[#This Row],[Join Date]], TODAY(), "Y"))</f>
        <v>0</v>
      </c>
      <c r="Q431" t="str" cm="1">
        <f t="array" aca="1" ref="Q4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13 days</v>
      </c>
    </row>
    <row r="432" spans="1:17" hidden="1" x14ac:dyDescent="0.3">
      <c r="A432">
        <v>1431</v>
      </c>
      <c r="B432" t="s">
        <v>919</v>
      </c>
      <c r="C432" t="s">
        <v>15</v>
      </c>
      <c r="D432" t="s">
        <v>11</v>
      </c>
      <c r="E432">
        <v>27</v>
      </c>
      <c r="F432" t="str" cm="1">
        <f t="array" ref="F432">_xlfn.IFS(EmployeeData[[#This Row],[Age]]&lt;30,"20s",EmployeeData[[#This Row],[Age]]&lt;40,"30s",EmployeeData[[#This Row],[Age]]&lt;50,"40s",EmployeeData[[#This Row],[Age]]&lt;60,"50s",EmployeeData[[#This Row],[Age]]&gt;=60,"60s")</f>
        <v>20s</v>
      </c>
      <c r="G432" s="5">
        <v>45624</v>
      </c>
      <c r="I432" t="s">
        <v>17</v>
      </c>
      <c r="J432" t="s">
        <v>18</v>
      </c>
      <c r="K432" cm="1">
        <f t="array" aca="1" ref="K432" ca="1">_xlfn.IFS(EmployeeData[[#This Row],[Status]]="Active",_xlfn.DAYS(TODAY(),EmployeeData[[#This Row],[Join Date]]),EmployeeData[[#This Row],[Status]]="Exited",_xlfn.DAYS(EmployeeData[[#This Row],[Exit Date]],EmployeeData[[#This Row],[Join Date]]))</f>
        <v>573</v>
      </c>
      <c r="L432" cm="1">
        <f t="array" aca="1" ref="L432" ca="1">_xlfn.IFS(EmployeeData[[#This Row],[Status]]="Exited",DATEDIF(EmployeeData[[#This Row],[Join Date]], EmployeeData[[#This Row],[Exit Date]], "Y"),EmployeeData[[#This Row],[Status]]="Active",DATEDIF(EmployeeData[[#This Row],[Join Date]], TODAY(), "Y"))</f>
        <v>1</v>
      </c>
      <c r="Q432" t="str" cm="1">
        <f t="array" aca="1" ref="Q4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433" spans="1:17" hidden="1" x14ac:dyDescent="0.3">
      <c r="A433">
        <v>1432</v>
      </c>
      <c r="B433" t="s">
        <v>963</v>
      </c>
      <c r="C433" t="s">
        <v>23</v>
      </c>
      <c r="D433" t="s">
        <v>16</v>
      </c>
      <c r="E433">
        <v>39</v>
      </c>
      <c r="F433" t="str" cm="1">
        <f t="array" ref="F433">_xlfn.IFS(EmployeeData[[#This Row],[Age]]&lt;30,"20s",EmployeeData[[#This Row],[Age]]&lt;40,"30s",EmployeeData[[#This Row],[Age]]&lt;50,"40s",EmployeeData[[#This Row],[Age]]&lt;60,"50s",EmployeeData[[#This Row],[Age]]&gt;=60,"60s")</f>
        <v>30s</v>
      </c>
      <c r="G433" s="5">
        <v>45939</v>
      </c>
      <c r="I433" t="s">
        <v>17</v>
      </c>
      <c r="J433" t="s">
        <v>18</v>
      </c>
      <c r="K433" cm="1">
        <f t="array" aca="1" ref="K433" ca="1">_xlfn.IFS(EmployeeData[[#This Row],[Status]]="Active",_xlfn.DAYS(TODAY(),EmployeeData[[#This Row],[Join Date]]),EmployeeData[[#This Row],[Status]]="Exited",_xlfn.DAYS(EmployeeData[[#This Row],[Exit Date]],EmployeeData[[#This Row],[Join Date]]))</f>
        <v>258</v>
      </c>
      <c r="L433" cm="1">
        <f t="array" aca="1" ref="L433" ca="1">_xlfn.IFS(EmployeeData[[#This Row],[Status]]="Exited",DATEDIF(EmployeeData[[#This Row],[Join Date]], EmployeeData[[#This Row],[Exit Date]], "Y"),EmployeeData[[#This Row],[Status]]="Active",DATEDIF(EmployeeData[[#This Row],[Join Date]], TODAY(), "Y"))</f>
        <v>0</v>
      </c>
      <c r="Q433" t="str" cm="1">
        <f t="array" aca="1" ref="Q4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15 days</v>
      </c>
    </row>
    <row r="434" spans="1:17" hidden="1" x14ac:dyDescent="0.3">
      <c r="A434">
        <v>1433</v>
      </c>
      <c r="B434" t="s">
        <v>962</v>
      </c>
      <c r="C434" t="s">
        <v>46</v>
      </c>
      <c r="D434" t="s">
        <v>16</v>
      </c>
      <c r="E434">
        <v>37</v>
      </c>
      <c r="F434" t="str" cm="1">
        <f t="array" ref="F434">_xlfn.IFS(EmployeeData[[#This Row],[Age]]&lt;30,"20s",EmployeeData[[#This Row],[Age]]&lt;40,"30s",EmployeeData[[#This Row],[Age]]&lt;50,"40s",EmployeeData[[#This Row],[Age]]&lt;60,"50s",EmployeeData[[#This Row],[Age]]&gt;=60,"60s")</f>
        <v>30s</v>
      </c>
      <c r="G434" s="5">
        <v>43932</v>
      </c>
      <c r="I434" t="s">
        <v>17</v>
      </c>
      <c r="J434" t="s">
        <v>18</v>
      </c>
      <c r="K434" cm="1">
        <f t="array" aca="1" ref="K434" ca="1">_xlfn.IFS(EmployeeData[[#This Row],[Status]]="Active",_xlfn.DAYS(TODAY(),EmployeeData[[#This Row],[Join Date]]),EmployeeData[[#This Row],[Status]]="Exited",_xlfn.DAYS(EmployeeData[[#This Row],[Exit Date]],EmployeeData[[#This Row],[Join Date]]))</f>
        <v>2265</v>
      </c>
      <c r="L434" cm="1">
        <f t="array" aca="1" ref="L434" ca="1">_xlfn.IFS(EmployeeData[[#This Row],[Status]]="Exited",DATEDIF(EmployeeData[[#This Row],[Join Date]], EmployeeData[[#This Row],[Exit Date]], "Y"),EmployeeData[[#This Row],[Status]]="Active",DATEDIF(EmployeeData[[#This Row],[Join Date]], TODAY(), "Y"))</f>
        <v>6</v>
      </c>
      <c r="Q434" t="str" cm="1">
        <f t="array" aca="1" ref="Q4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13 days</v>
      </c>
    </row>
    <row r="435" spans="1:17" hidden="1" x14ac:dyDescent="0.3">
      <c r="A435">
        <v>1434</v>
      </c>
      <c r="B435" t="s">
        <v>588</v>
      </c>
      <c r="C435" t="s">
        <v>20</v>
      </c>
      <c r="D435" t="s">
        <v>24</v>
      </c>
      <c r="E435">
        <v>58</v>
      </c>
      <c r="F435" t="str" cm="1">
        <f t="array" ref="F435">_xlfn.IFS(EmployeeData[[#This Row],[Age]]&lt;30,"20s",EmployeeData[[#This Row],[Age]]&lt;40,"30s",EmployeeData[[#This Row],[Age]]&lt;50,"40s",EmployeeData[[#This Row],[Age]]&lt;60,"50s",EmployeeData[[#This Row],[Age]]&gt;=60,"60s")</f>
        <v>50s</v>
      </c>
      <c r="G435" s="5">
        <v>45339</v>
      </c>
      <c r="I435" t="s">
        <v>17</v>
      </c>
      <c r="J435" t="s">
        <v>18</v>
      </c>
      <c r="K435" cm="1">
        <f t="array" aca="1" ref="K435" ca="1">_xlfn.IFS(EmployeeData[[#This Row],[Status]]="Active",_xlfn.DAYS(TODAY(),EmployeeData[[#This Row],[Join Date]]),EmployeeData[[#This Row],[Status]]="Exited",_xlfn.DAYS(EmployeeData[[#This Row],[Exit Date]],EmployeeData[[#This Row],[Join Date]]))</f>
        <v>858</v>
      </c>
      <c r="L435" cm="1">
        <f t="array" aca="1" ref="L435" ca="1">_xlfn.IFS(EmployeeData[[#This Row],[Status]]="Exited",DATEDIF(EmployeeData[[#This Row],[Join Date]], EmployeeData[[#This Row],[Exit Date]], "Y"),EmployeeData[[#This Row],[Status]]="Active",DATEDIF(EmployeeData[[#This Row],[Join Date]], TODAY(), "Y"))</f>
        <v>2</v>
      </c>
      <c r="Q435" t="str" cm="1">
        <f t="array" aca="1" ref="Q4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7 days</v>
      </c>
    </row>
    <row r="436" spans="1:17" hidden="1" x14ac:dyDescent="0.3">
      <c r="A436">
        <v>1435</v>
      </c>
      <c r="B436" t="s">
        <v>415</v>
      </c>
      <c r="C436" t="s">
        <v>10</v>
      </c>
      <c r="D436" t="s">
        <v>16</v>
      </c>
      <c r="E436">
        <v>25</v>
      </c>
      <c r="F436" t="str" cm="1">
        <f t="array" ref="F436">_xlfn.IFS(EmployeeData[[#This Row],[Age]]&lt;30,"20s",EmployeeData[[#This Row],[Age]]&lt;40,"30s",EmployeeData[[#This Row],[Age]]&lt;50,"40s",EmployeeData[[#This Row],[Age]]&lt;60,"50s",EmployeeData[[#This Row],[Age]]&gt;=60,"60s")</f>
        <v>20s</v>
      </c>
      <c r="G436" s="5">
        <v>43866</v>
      </c>
      <c r="I436" t="s">
        <v>17</v>
      </c>
      <c r="J436" t="s">
        <v>18</v>
      </c>
      <c r="K436" cm="1">
        <f t="array" aca="1" ref="K436" ca="1">_xlfn.IFS(EmployeeData[[#This Row],[Status]]="Active",_xlfn.DAYS(TODAY(),EmployeeData[[#This Row],[Join Date]]),EmployeeData[[#This Row],[Status]]="Exited",_xlfn.DAYS(EmployeeData[[#This Row],[Exit Date]],EmployeeData[[#This Row],[Join Date]]))</f>
        <v>2331</v>
      </c>
      <c r="L436" cm="1">
        <f t="array" aca="1" ref="L436" ca="1">_xlfn.IFS(EmployeeData[[#This Row],[Status]]="Exited",DATEDIF(EmployeeData[[#This Row],[Join Date]], EmployeeData[[#This Row],[Exit Date]], "Y"),EmployeeData[[#This Row],[Status]]="Active",DATEDIF(EmployeeData[[#This Row],[Join Date]], TODAY(), "Y"))</f>
        <v>6</v>
      </c>
      <c r="Q436" t="str" cm="1">
        <f t="array" aca="1" ref="Q4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19 days</v>
      </c>
    </row>
    <row r="437" spans="1:17" hidden="1" x14ac:dyDescent="0.3">
      <c r="A437">
        <v>1436</v>
      </c>
      <c r="B437" t="s">
        <v>574</v>
      </c>
      <c r="C437" t="s">
        <v>10</v>
      </c>
      <c r="D437" t="s">
        <v>16</v>
      </c>
      <c r="E437">
        <v>31</v>
      </c>
      <c r="F437" t="str" cm="1">
        <f t="array" ref="F437">_xlfn.IFS(EmployeeData[[#This Row],[Age]]&lt;30,"20s",EmployeeData[[#This Row],[Age]]&lt;40,"30s",EmployeeData[[#This Row],[Age]]&lt;50,"40s",EmployeeData[[#This Row],[Age]]&lt;60,"50s",EmployeeData[[#This Row],[Age]]&gt;=60,"60s")</f>
        <v>30s</v>
      </c>
      <c r="G437" s="5">
        <v>45493</v>
      </c>
      <c r="I437" t="s">
        <v>17</v>
      </c>
      <c r="J437" t="s">
        <v>18</v>
      </c>
      <c r="K437" cm="1">
        <f t="array" aca="1" ref="K437" ca="1">_xlfn.IFS(EmployeeData[[#This Row],[Status]]="Active",_xlfn.DAYS(TODAY(),EmployeeData[[#This Row],[Join Date]]),EmployeeData[[#This Row],[Status]]="Exited",_xlfn.DAYS(EmployeeData[[#This Row],[Exit Date]],EmployeeData[[#This Row],[Join Date]]))</f>
        <v>704</v>
      </c>
      <c r="L437" cm="1">
        <f t="array" aca="1" ref="L437" ca="1">_xlfn.IFS(EmployeeData[[#This Row],[Status]]="Exited",DATEDIF(EmployeeData[[#This Row],[Join Date]], EmployeeData[[#This Row],[Exit Date]], "Y"),EmployeeData[[#This Row],[Status]]="Active",DATEDIF(EmployeeData[[#This Row],[Join Date]], TODAY(), "Y"))</f>
        <v>1</v>
      </c>
      <c r="Q437" t="str" cm="1">
        <f t="array" aca="1" ref="Q4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438" spans="1:17" hidden="1" x14ac:dyDescent="0.3">
      <c r="A438">
        <v>1437</v>
      </c>
      <c r="B438" t="s">
        <v>212</v>
      </c>
      <c r="C438" t="s">
        <v>15</v>
      </c>
      <c r="D438" t="s">
        <v>11</v>
      </c>
      <c r="E438">
        <v>24</v>
      </c>
      <c r="F438" t="str" cm="1">
        <f t="array" ref="F438">_xlfn.IFS(EmployeeData[[#This Row],[Age]]&lt;30,"20s",EmployeeData[[#This Row],[Age]]&lt;40,"30s",EmployeeData[[#This Row],[Age]]&lt;50,"40s",EmployeeData[[#This Row],[Age]]&lt;60,"50s",EmployeeData[[#This Row],[Age]]&gt;=60,"60s")</f>
        <v>20s</v>
      </c>
      <c r="G438" s="5">
        <v>45662</v>
      </c>
      <c r="I438" t="s">
        <v>17</v>
      </c>
      <c r="J438" t="s">
        <v>18</v>
      </c>
      <c r="K438" cm="1">
        <f t="array" aca="1" ref="K438" ca="1">_xlfn.IFS(EmployeeData[[#This Row],[Status]]="Active",_xlfn.DAYS(TODAY(),EmployeeData[[#This Row],[Join Date]]),EmployeeData[[#This Row],[Status]]="Exited",_xlfn.DAYS(EmployeeData[[#This Row],[Exit Date]],EmployeeData[[#This Row],[Join Date]]))</f>
        <v>535</v>
      </c>
      <c r="L438" cm="1">
        <f t="array" aca="1" ref="L438" ca="1">_xlfn.IFS(EmployeeData[[#This Row],[Status]]="Exited",DATEDIF(EmployeeData[[#This Row],[Join Date]], EmployeeData[[#This Row],[Exit Date]], "Y"),EmployeeData[[#This Row],[Status]]="Active",DATEDIF(EmployeeData[[#This Row],[Join Date]], TODAY(), "Y"))</f>
        <v>1</v>
      </c>
      <c r="Q438" t="str" cm="1">
        <f t="array" aca="1" ref="Q4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19 days</v>
      </c>
    </row>
    <row r="439" spans="1:17" hidden="1" x14ac:dyDescent="0.3">
      <c r="A439">
        <v>1438</v>
      </c>
      <c r="B439" t="s">
        <v>303</v>
      </c>
      <c r="C439" t="s">
        <v>23</v>
      </c>
      <c r="D439" t="s">
        <v>16</v>
      </c>
      <c r="E439">
        <v>41</v>
      </c>
      <c r="F439" t="str" cm="1">
        <f t="array" ref="F439">_xlfn.IFS(EmployeeData[[#This Row],[Age]]&lt;30,"20s",EmployeeData[[#This Row],[Age]]&lt;40,"30s",EmployeeData[[#This Row],[Age]]&lt;50,"40s",EmployeeData[[#This Row],[Age]]&lt;60,"50s",EmployeeData[[#This Row],[Age]]&gt;=60,"60s")</f>
        <v>40s</v>
      </c>
      <c r="G439" s="5">
        <v>45253</v>
      </c>
      <c r="H439" s="5">
        <v>45531</v>
      </c>
      <c r="I439" t="s">
        <v>65</v>
      </c>
      <c r="J439" t="s">
        <v>13</v>
      </c>
      <c r="K439" cm="1">
        <f t="array" aca="1" ref="K439" ca="1">_xlfn.IFS(EmployeeData[[#This Row],[Status]]="Active",_xlfn.DAYS(TODAY(),EmployeeData[[#This Row],[Join Date]]),EmployeeData[[#This Row],[Status]]="Exited",_xlfn.DAYS(EmployeeData[[#This Row],[Exit Date]],EmployeeData[[#This Row],[Join Date]]))</f>
        <v>278</v>
      </c>
      <c r="L439" cm="1">
        <f t="array" aca="1" ref="L439" ca="1">_xlfn.IFS(EmployeeData[[#This Row],[Status]]="Exited",DATEDIF(EmployeeData[[#This Row],[Join Date]], EmployeeData[[#This Row],[Exit Date]], "Y"),EmployeeData[[#This Row],[Status]]="Active",DATEDIF(EmployeeData[[#This Row],[Join Date]], TODAY(), "Y"))</f>
        <v>0</v>
      </c>
      <c r="Q439" t="str" cm="1">
        <f t="array" aca="1" ref="Q4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440" spans="1:17" hidden="1" x14ac:dyDescent="0.3">
      <c r="A440">
        <v>1439</v>
      </c>
      <c r="B440" t="s">
        <v>519</v>
      </c>
      <c r="C440" t="s">
        <v>15</v>
      </c>
      <c r="D440" t="s">
        <v>16</v>
      </c>
      <c r="E440">
        <v>65</v>
      </c>
      <c r="F440" t="str" cm="1">
        <f t="array" ref="F440">_xlfn.IFS(EmployeeData[[#This Row],[Age]]&lt;30,"20s",EmployeeData[[#This Row],[Age]]&lt;40,"30s",EmployeeData[[#This Row],[Age]]&lt;50,"40s",EmployeeData[[#This Row],[Age]]&lt;60,"50s",EmployeeData[[#This Row],[Age]]&gt;=60,"60s")</f>
        <v>60s</v>
      </c>
      <c r="G440" s="5">
        <v>45818</v>
      </c>
      <c r="H440" s="5">
        <v>46092</v>
      </c>
      <c r="I440" t="s">
        <v>26</v>
      </c>
      <c r="J440" t="s">
        <v>13</v>
      </c>
      <c r="K440" cm="1">
        <f t="array" aca="1" ref="K440" ca="1">_xlfn.IFS(EmployeeData[[#This Row],[Status]]="Active",_xlfn.DAYS(TODAY(),EmployeeData[[#This Row],[Join Date]]),EmployeeData[[#This Row],[Status]]="Exited",_xlfn.DAYS(EmployeeData[[#This Row],[Exit Date]],EmployeeData[[#This Row],[Join Date]]))</f>
        <v>274</v>
      </c>
      <c r="L440" cm="1">
        <f t="array" aca="1" ref="L440" ca="1">_xlfn.IFS(EmployeeData[[#This Row],[Status]]="Exited",DATEDIF(EmployeeData[[#This Row],[Join Date]], EmployeeData[[#This Row],[Exit Date]], "Y"),EmployeeData[[#This Row],[Status]]="Active",DATEDIF(EmployeeData[[#This Row],[Join Date]], TODAY(), "Y"))</f>
        <v>0</v>
      </c>
      <c r="Q440" t="str" cm="1">
        <f t="array" aca="1" ref="Q4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441" spans="1:17" x14ac:dyDescent="0.3">
      <c r="A441">
        <v>1440</v>
      </c>
      <c r="B441" t="s">
        <v>688</v>
      </c>
      <c r="C441" t="s">
        <v>10</v>
      </c>
      <c r="D441" t="s">
        <v>11</v>
      </c>
      <c r="E441">
        <v>36</v>
      </c>
      <c r="F441" t="str" cm="1">
        <f t="array" ref="F441">_xlfn.IFS(EmployeeData[[#This Row],[Age]]&lt;30,"20s",EmployeeData[[#This Row],[Age]]&lt;40,"30s",EmployeeData[[#This Row],[Age]]&lt;50,"40s",EmployeeData[[#This Row],[Age]]&lt;60,"50s",EmployeeData[[#This Row],[Age]]&gt;=60,"60s")</f>
        <v>30s</v>
      </c>
      <c r="G441" s="5">
        <v>43264</v>
      </c>
      <c r="I441" t="s">
        <v>17</v>
      </c>
      <c r="J441" t="s">
        <v>18</v>
      </c>
      <c r="K441" cm="1">
        <f t="array" aca="1" ref="K441" ca="1">_xlfn.IFS(EmployeeData[[#This Row],[Status]]="Active",_xlfn.DAYS(TODAY(),EmployeeData[[#This Row],[Join Date]]),EmployeeData[[#This Row],[Status]]="Exited",_xlfn.DAYS(EmployeeData[[#This Row],[Exit Date]],EmployeeData[[#This Row],[Join Date]]))</f>
        <v>2933</v>
      </c>
      <c r="L441" cm="1">
        <f t="array" aca="1" ref="L441" ca="1">_xlfn.IFS(EmployeeData[[#This Row],[Status]]="Exited",DATEDIF(EmployeeData[[#This Row],[Join Date]], EmployeeData[[#This Row],[Exit Date]], "Y"),EmployeeData[[#This Row],[Status]]="Active",DATEDIF(EmployeeData[[#This Row],[Join Date]], TODAY(), "Y"))</f>
        <v>8</v>
      </c>
      <c r="Q441" t="str" cm="1">
        <f t="array" aca="1" ref="Q4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11 days</v>
      </c>
    </row>
    <row r="442" spans="1:17" hidden="1" x14ac:dyDescent="0.3">
      <c r="A442">
        <v>1441</v>
      </c>
      <c r="B442" t="s">
        <v>615</v>
      </c>
      <c r="C442" t="s">
        <v>46</v>
      </c>
      <c r="D442" t="s">
        <v>24</v>
      </c>
      <c r="E442">
        <v>55</v>
      </c>
      <c r="F442" t="str" cm="1">
        <f t="array" ref="F442">_xlfn.IFS(EmployeeData[[#This Row],[Age]]&lt;30,"20s",EmployeeData[[#This Row],[Age]]&lt;40,"30s",EmployeeData[[#This Row],[Age]]&lt;50,"40s",EmployeeData[[#This Row],[Age]]&lt;60,"50s",EmployeeData[[#This Row],[Age]]&gt;=60,"60s")</f>
        <v>50s</v>
      </c>
      <c r="G442" s="5">
        <v>44259</v>
      </c>
      <c r="H442" s="5">
        <v>45407</v>
      </c>
      <c r="I442" t="s">
        <v>52</v>
      </c>
      <c r="J442" t="s">
        <v>13</v>
      </c>
      <c r="K442" cm="1">
        <f t="array" aca="1" ref="K442" ca="1">_xlfn.IFS(EmployeeData[[#This Row],[Status]]="Active",_xlfn.DAYS(TODAY(),EmployeeData[[#This Row],[Join Date]]),EmployeeData[[#This Row],[Status]]="Exited",_xlfn.DAYS(EmployeeData[[#This Row],[Exit Date]],EmployeeData[[#This Row],[Join Date]]))</f>
        <v>1148</v>
      </c>
      <c r="L442" cm="1">
        <f t="array" aca="1" ref="L442" ca="1">_xlfn.IFS(EmployeeData[[#This Row],[Status]]="Exited",DATEDIF(EmployeeData[[#This Row],[Join Date]], EmployeeData[[#This Row],[Exit Date]], "Y"),EmployeeData[[#This Row],[Status]]="Active",DATEDIF(EmployeeData[[#This Row],[Join Date]], TODAY(), "Y"))</f>
        <v>3</v>
      </c>
      <c r="Q442" t="str" cm="1">
        <f t="array" aca="1" ref="Q4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443" spans="1:17" hidden="1" x14ac:dyDescent="0.3">
      <c r="A443">
        <v>1442</v>
      </c>
      <c r="B443" t="s">
        <v>159</v>
      </c>
      <c r="C443" t="s">
        <v>10</v>
      </c>
      <c r="D443" t="s">
        <v>16</v>
      </c>
      <c r="E443">
        <v>33</v>
      </c>
      <c r="F443" t="str" cm="1">
        <f t="array" ref="F443">_xlfn.IFS(EmployeeData[[#This Row],[Age]]&lt;30,"20s",EmployeeData[[#This Row],[Age]]&lt;40,"30s",EmployeeData[[#This Row],[Age]]&lt;50,"40s",EmployeeData[[#This Row],[Age]]&lt;60,"50s",EmployeeData[[#This Row],[Age]]&gt;=60,"60s")</f>
        <v>30s</v>
      </c>
      <c r="G443" s="5">
        <v>44413</v>
      </c>
      <c r="I443" t="s">
        <v>17</v>
      </c>
      <c r="J443" t="s">
        <v>18</v>
      </c>
      <c r="K443" cm="1">
        <f t="array" aca="1" ref="K443" ca="1">_xlfn.IFS(EmployeeData[[#This Row],[Status]]="Active",_xlfn.DAYS(TODAY(),EmployeeData[[#This Row],[Join Date]]),EmployeeData[[#This Row],[Status]]="Exited",_xlfn.DAYS(EmployeeData[[#This Row],[Exit Date]],EmployeeData[[#This Row],[Join Date]]))</f>
        <v>1784</v>
      </c>
      <c r="L443" cm="1">
        <f t="array" aca="1" ref="L443" ca="1">_xlfn.IFS(EmployeeData[[#This Row],[Status]]="Exited",DATEDIF(EmployeeData[[#This Row],[Join Date]], EmployeeData[[#This Row],[Exit Date]], "Y"),EmployeeData[[#This Row],[Status]]="Active",DATEDIF(EmployeeData[[#This Row],[Join Date]], TODAY(), "Y"))</f>
        <v>4</v>
      </c>
      <c r="Q443" t="str" cm="1">
        <f t="array" aca="1" ref="Q4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444" spans="1:17" hidden="1" x14ac:dyDescent="0.3">
      <c r="A444">
        <v>1443</v>
      </c>
      <c r="B444" t="s">
        <v>736</v>
      </c>
      <c r="C444" t="s">
        <v>20</v>
      </c>
      <c r="D444" t="s">
        <v>24</v>
      </c>
      <c r="E444">
        <v>25</v>
      </c>
      <c r="F444" t="str" cm="1">
        <f t="array" ref="F444">_xlfn.IFS(EmployeeData[[#This Row],[Age]]&lt;30,"20s",EmployeeData[[#This Row],[Age]]&lt;40,"30s",EmployeeData[[#This Row],[Age]]&lt;50,"40s",EmployeeData[[#This Row],[Age]]&lt;60,"50s",EmployeeData[[#This Row],[Age]]&gt;=60,"60s")</f>
        <v>20s</v>
      </c>
      <c r="G444" s="5">
        <v>43964</v>
      </c>
      <c r="I444" t="s">
        <v>17</v>
      </c>
      <c r="J444" t="s">
        <v>18</v>
      </c>
      <c r="K444" cm="1">
        <f t="array" aca="1" ref="K444" ca="1">_xlfn.IFS(EmployeeData[[#This Row],[Status]]="Active",_xlfn.DAYS(TODAY(),EmployeeData[[#This Row],[Join Date]]),EmployeeData[[#This Row],[Status]]="Exited",_xlfn.DAYS(EmployeeData[[#This Row],[Exit Date]],EmployeeData[[#This Row],[Join Date]]))</f>
        <v>2233</v>
      </c>
      <c r="L444" cm="1">
        <f t="array" aca="1" ref="L444" ca="1">_xlfn.IFS(EmployeeData[[#This Row],[Status]]="Exited",DATEDIF(EmployeeData[[#This Row],[Join Date]], EmployeeData[[#This Row],[Exit Date]], "Y"),EmployeeData[[#This Row],[Status]]="Active",DATEDIF(EmployeeData[[#This Row],[Join Date]], TODAY(), "Y"))</f>
        <v>6</v>
      </c>
      <c r="Q444" t="str" cm="1">
        <f t="array" aca="1" ref="Q4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445" spans="1:17" hidden="1" x14ac:dyDescent="0.3">
      <c r="A445">
        <v>1444</v>
      </c>
      <c r="B445" t="s">
        <v>900</v>
      </c>
      <c r="C445" t="s">
        <v>15</v>
      </c>
      <c r="D445" t="s">
        <v>11</v>
      </c>
      <c r="E445">
        <v>48</v>
      </c>
      <c r="F445" t="str" cm="1">
        <f t="array" ref="F445">_xlfn.IFS(EmployeeData[[#This Row],[Age]]&lt;30,"20s",EmployeeData[[#This Row],[Age]]&lt;40,"30s",EmployeeData[[#This Row],[Age]]&lt;50,"40s",EmployeeData[[#This Row],[Age]]&lt;60,"50s",EmployeeData[[#This Row],[Age]]&gt;=60,"60s")</f>
        <v>40s</v>
      </c>
      <c r="G445" s="5">
        <v>45749</v>
      </c>
      <c r="I445" t="s">
        <v>17</v>
      </c>
      <c r="J445" t="s">
        <v>18</v>
      </c>
      <c r="K445" cm="1">
        <f t="array" aca="1" ref="K445" ca="1">_xlfn.IFS(EmployeeData[[#This Row],[Status]]="Active",_xlfn.DAYS(TODAY(),EmployeeData[[#This Row],[Join Date]]),EmployeeData[[#This Row],[Status]]="Exited",_xlfn.DAYS(EmployeeData[[#This Row],[Exit Date]],EmployeeData[[#This Row],[Join Date]]))</f>
        <v>448</v>
      </c>
      <c r="L445" cm="1">
        <f t="array" aca="1" ref="L445" ca="1">_xlfn.IFS(EmployeeData[[#This Row],[Status]]="Exited",DATEDIF(EmployeeData[[#This Row],[Join Date]], EmployeeData[[#This Row],[Exit Date]], "Y"),EmployeeData[[#This Row],[Status]]="Active",DATEDIF(EmployeeData[[#This Row],[Join Date]], TODAY(), "Y"))</f>
        <v>1</v>
      </c>
      <c r="Q445" t="str" cm="1">
        <f t="array" aca="1" ref="Q4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22 days</v>
      </c>
    </row>
    <row r="446" spans="1:17" x14ac:dyDescent="0.3">
      <c r="A446">
        <v>1445</v>
      </c>
      <c r="B446" t="s">
        <v>998</v>
      </c>
      <c r="C446" t="s">
        <v>15</v>
      </c>
      <c r="D446" t="s">
        <v>11</v>
      </c>
      <c r="E446">
        <v>23</v>
      </c>
      <c r="F446" t="str" cm="1">
        <f t="array" ref="F446">_xlfn.IFS(EmployeeData[[#This Row],[Age]]&lt;30,"20s",EmployeeData[[#This Row],[Age]]&lt;40,"30s",EmployeeData[[#This Row],[Age]]&lt;50,"40s",EmployeeData[[#This Row],[Age]]&lt;60,"50s",EmployeeData[[#This Row],[Age]]&gt;=60,"60s")</f>
        <v>20s</v>
      </c>
      <c r="G446" s="5">
        <v>43459</v>
      </c>
      <c r="H446" s="5">
        <v>44278</v>
      </c>
      <c r="I446" t="s">
        <v>52</v>
      </c>
      <c r="J446" t="s">
        <v>13</v>
      </c>
      <c r="K446" cm="1">
        <f t="array" aca="1" ref="K446" ca="1">_xlfn.IFS(EmployeeData[[#This Row],[Status]]="Active",_xlfn.DAYS(TODAY(),EmployeeData[[#This Row],[Join Date]]),EmployeeData[[#This Row],[Status]]="Exited",_xlfn.DAYS(EmployeeData[[#This Row],[Exit Date]],EmployeeData[[#This Row],[Join Date]]))</f>
        <v>819</v>
      </c>
      <c r="L446" cm="1">
        <f t="array" aca="1" ref="L446" ca="1">_xlfn.IFS(EmployeeData[[#This Row],[Status]]="Exited",DATEDIF(EmployeeData[[#This Row],[Join Date]], EmployeeData[[#This Row],[Exit Date]], "Y"),EmployeeData[[#This Row],[Status]]="Active",DATEDIF(EmployeeData[[#This Row],[Join Date]], TODAY(), "Y"))</f>
        <v>2</v>
      </c>
      <c r="Q446" t="str" cm="1">
        <f t="array" aca="1" ref="Q4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26 days</v>
      </c>
    </row>
    <row r="447" spans="1:17" hidden="1" x14ac:dyDescent="0.3">
      <c r="A447">
        <v>1446</v>
      </c>
      <c r="B447" t="s">
        <v>1061</v>
      </c>
      <c r="C447" t="s">
        <v>46</v>
      </c>
      <c r="D447" t="s">
        <v>24</v>
      </c>
      <c r="E447">
        <v>49</v>
      </c>
      <c r="F447" t="str" cm="1">
        <f t="array" ref="F447">_xlfn.IFS(EmployeeData[[#This Row],[Age]]&lt;30,"20s",EmployeeData[[#This Row],[Age]]&lt;40,"30s",EmployeeData[[#This Row],[Age]]&lt;50,"40s",EmployeeData[[#This Row],[Age]]&lt;60,"50s",EmployeeData[[#This Row],[Age]]&gt;=60,"60s")</f>
        <v>40s</v>
      </c>
      <c r="G447" s="5">
        <v>45682</v>
      </c>
      <c r="I447" t="s">
        <v>17</v>
      </c>
      <c r="J447" t="s">
        <v>18</v>
      </c>
      <c r="K447" cm="1">
        <f t="array" aca="1" ref="K447" ca="1">_xlfn.IFS(EmployeeData[[#This Row],[Status]]="Active",_xlfn.DAYS(TODAY(),EmployeeData[[#This Row],[Join Date]]),EmployeeData[[#This Row],[Status]]="Exited",_xlfn.DAYS(EmployeeData[[#This Row],[Exit Date]],EmployeeData[[#This Row],[Join Date]]))</f>
        <v>515</v>
      </c>
      <c r="L447" cm="1">
        <f t="array" aca="1" ref="L447" ca="1">_xlfn.IFS(EmployeeData[[#This Row],[Status]]="Exited",DATEDIF(EmployeeData[[#This Row],[Join Date]], EmployeeData[[#This Row],[Exit Date]], "Y"),EmployeeData[[#This Row],[Status]]="Active",DATEDIF(EmployeeData[[#This Row],[Join Date]], TODAY(), "Y"))</f>
        <v>1</v>
      </c>
      <c r="Q447" t="str" cm="1">
        <f t="array" aca="1" ref="Q4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30 days</v>
      </c>
    </row>
    <row r="448" spans="1:17" hidden="1" x14ac:dyDescent="0.3">
      <c r="A448">
        <v>1447</v>
      </c>
      <c r="B448" t="s">
        <v>1046</v>
      </c>
      <c r="C448" t="s">
        <v>23</v>
      </c>
      <c r="D448" t="s">
        <v>24</v>
      </c>
      <c r="E448">
        <v>25</v>
      </c>
      <c r="F448" t="str" cm="1">
        <f t="array" ref="F448">_xlfn.IFS(EmployeeData[[#This Row],[Age]]&lt;30,"20s",EmployeeData[[#This Row],[Age]]&lt;40,"30s",EmployeeData[[#This Row],[Age]]&lt;50,"40s",EmployeeData[[#This Row],[Age]]&lt;60,"50s",EmployeeData[[#This Row],[Age]]&gt;=60,"60s")</f>
        <v>20s</v>
      </c>
      <c r="G448" s="5">
        <v>45499</v>
      </c>
      <c r="H448" s="5">
        <v>45663</v>
      </c>
      <c r="I448" t="s">
        <v>12</v>
      </c>
      <c r="J448" t="s">
        <v>13</v>
      </c>
      <c r="K448" cm="1">
        <f t="array" aca="1" ref="K448" ca="1">_xlfn.IFS(EmployeeData[[#This Row],[Status]]="Active",_xlfn.DAYS(TODAY(),EmployeeData[[#This Row],[Join Date]]),EmployeeData[[#This Row],[Status]]="Exited",_xlfn.DAYS(EmployeeData[[#This Row],[Exit Date]],EmployeeData[[#This Row],[Join Date]]))</f>
        <v>164</v>
      </c>
      <c r="L448" cm="1">
        <f t="array" aca="1" ref="L448" ca="1">_xlfn.IFS(EmployeeData[[#This Row],[Status]]="Exited",DATEDIF(EmployeeData[[#This Row],[Join Date]], EmployeeData[[#This Row],[Exit Date]], "Y"),EmployeeData[[#This Row],[Status]]="Active",DATEDIF(EmployeeData[[#This Row],[Join Date]], TODAY(), "Y"))</f>
        <v>0</v>
      </c>
      <c r="Q448" t="str" cm="1">
        <f t="array" aca="1" ref="Q4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11 days</v>
      </c>
    </row>
    <row r="449" spans="1:17" hidden="1" x14ac:dyDescent="0.3">
      <c r="A449">
        <v>1448</v>
      </c>
      <c r="B449" t="s">
        <v>446</v>
      </c>
      <c r="C449" t="s">
        <v>23</v>
      </c>
      <c r="D449" t="s">
        <v>16</v>
      </c>
      <c r="E449">
        <v>49</v>
      </c>
      <c r="F449" t="str" cm="1">
        <f t="array" ref="F449">_xlfn.IFS(EmployeeData[[#This Row],[Age]]&lt;30,"20s",EmployeeData[[#This Row],[Age]]&lt;40,"30s",EmployeeData[[#This Row],[Age]]&lt;50,"40s",EmployeeData[[#This Row],[Age]]&lt;60,"50s",EmployeeData[[#This Row],[Age]]&gt;=60,"60s")</f>
        <v>40s</v>
      </c>
      <c r="G449" s="5">
        <v>44663</v>
      </c>
      <c r="I449" t="s">
        <v>17</v>
      </c>
      <c r="J449" t="s">
        <v>18</v>
      </c>
      <c r="K449" cm="1">
        <f t="array" aca="1" ref="K449" ca="1">_xlfn.IFS(EmployeeData[[#This Row],[Status]]="Active",_xlfn.DAYS(TODAY(),EmployeeData[[#This Row],[Join Date]]),EmployeeData[[#This Row],[Status]]="Exited",_xlfn.DAYS(EmployeeData[[#This Row],[Exit Date]],EmployeeData[[#This Row],[Join Date]]))</f>
        <v>1534</v>
      </c>
      <c r="L449" cm="1">
        <f t="array" aca="1" ref="L449" ca="1">_xlfn.IFS(EmployeeData[[#This Row],[Status]]="Exited",DATEDIF(EmployeeData[[#This Row],[Join Date]], EmployeeData[[#This Row],[Exit Date]], "Y"),EmployeeData[[#This Row],[Status]]="Active",DATEDIF(EmployeeData[[#This Row],[Join Date]], TODAY(), "Y"))</f>
        <v>4</v>
      </c>
      <c r="Q449" t="str" cm="1">
        <f t="array" aca="1" ref="Q4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12 days</v>
      </c>
    </row>
    <row r="450" spans="1:17" hidden="1" x14ac:dyDescent="0.3">
      <c r="A450">
        <v>1449</v>
      </c>
      <c r="B450" t="s">
        <v>826</v>
      </c>
      <c r="C450" t="s">
        <v>15</v>
      </c>
      <c r="D450" t="s">
        <v>24</v>
      </c>
      <c r="E450">
        <v>55</v>
      </c>
      <c r="F450" t="str" cm="1">
        <f t="array" ref="F450">_xlfn.IFS(EmployeeData[[#This Row],[Age]]&lt;30,"20s",EmployeeData[[#This Row],[Age]]&lt;40,"30s",EmployeeData[[#This Row],[Age]]&lt;50,"40s",EmployeeData[[#This Row],[Age]]&lt;60,"50s",EmployeeData[[#This Row],[Age]]&gt;=60,"60s")</f>
        <v>50s</v>
      </c>
      <c r="G450" s="5">
        <v>44309</v>
      </c>
      <c r="I450" t="s">
        <v>17</v>
      </c>
      <c r="J450" t="s">
        <v>18</v>
      </c>
      <c r="K450" cm="1">
        <f t="array" aca="1" ref="K450" ca="1">_xlfn.IFS(EmployeeData[[#This Row],[Status]]="Active",_xlfn.DAYS(TODAY(),EmployeeData[[#This Row],[Join Date]]),EmployeeData[[#This Row],[Status]]="Exited",_xlfn.DAYS(EmployeeData[[#This Row],[Exit Date]],EmployeeData[[#This Row],[Join Date]]))</f>
        <v>1888</v>
      </c>
      <c r="L450" cm="1">
        <f t="array" aca="1" ref="L450" ca="1">_xlfn.IFS(EmployeeData[[#This Row],[Status]]="Exited",DATEDIF(EmployeeData[[#This Row],[Join Date]], EmployeeData[[#This Row],[Exit Date]], "Y"),EmployeeData[[#This Row],[Status]]="Active",DATEDIF(EmployeeData[[#This Row],[Join Date]], TODAY(), "Y"))</f>
        <v>5</v>
      </c>
      <c r="Q450" t="str" cm="1">
        <f t="array" aca="1" ref="Q4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 days</v>
      </c>
    </row>
    <row r="451" spans="1:17" x14ac:dyDescent="0.3">
      <c r="A451">
        <v>1450</v>
      </c>
      <c r="B451" t="s">
        <v>1094</v>
      </c>
      <c r="C451" t="s">
        <v>46</v>
      </c>
      <c r="D451" t="s">
        <v>11</v>
      </c>
      <c r="E451">
        <v>44</v>
      </c>
      <c r="F451" t="str" cm="1">
        <f t="array" ref="F451">_xlfn.IFS(EmployeeData[[#This Row],[Age]]&lt;30,"20s",EmployeeData[[#This Row],[Age]]&lt;40,"30s",EmployeeData[[#This Row],[Age]]&lt;50,"40s",EmployeeData[[#This Row],[Age]]&lt;60,"50s",EmployeeData[[#This Row],[Age]]&gt;=60,"60s")</f>
        <v>40s</v>
      </c>
      <c r="G451" s="5">
        <v>43146</v>
      </c>
      <c r="I451" t="s">
        <v>17</v>
      </c>
      <c r="J451" t="s">
        <v>18</v>
      </c>
      <c r="K451" cm="1">
        <f t="array" aca="1" ref="K451" ca="1">_xlfn.IFS(EmployeeData[[#This Row],[Status]]="Active",_xlfn.DAYS(TODAY(),EmployeeData[[#This Row],[Join Date]]),EmployeeData[[#This Row],[Status]]="Exited",_xlfn.DAYS(EmployeeData[[#This Row],[Exit Date]],EmployeeData[[#This Row],[Join Date]]))</f>
        <v>3051</v>
      </c>
      <c r="L451" cm="1">
        <f t="array" aca="1" ref="L451" ca="1">_xlfn.IFS(EmployeeData[[#This Row],[Status]]="Exited",DATEDIF(EmployeeData[[#This Row],[Join Date]], EmployeeData[[#This Row],[Exit Date]], "Y"),EmployeeData[[#This Row],[Status]]="Active",DATEDIF(EmployeeData[[#This Row],[Join Date]], TODAY(), "Y"))</f>
        <v>8</v>
      </c>
      <c r="Q451" t="str" cm="1">
        <f t="array" aca="1" ref="Q4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9 days</v>
      </c>
    </row>
    <row r="452" spans="1:17" x14ac:dyDescent="0.3">
      <c r="A452">
        <v>1451</v>
      </c>
      <c r="B452" t="s">
        <v>214</v>
      </c>
      <c r="C452" t="s">
        <v>23</v>
      </c>
      <c r="D452" t="s">
        <v>24</v>
      </c>
      <c r="E452">
        <v>56</v>
      </c>
      <c r="F452" t="str" cm="1">
        <f t="array" ref="F452">_xlfn.IFS(EmployeeData[[#This Row],[Age]]&lt;30,"20s",EmployeeData[[#This Row],[Age]]&lt;40,"30s",EmployeeData[[#This Row],[Age]]&lt;50,"40s",EmployeeData[[#This Row],[Age]]&lt;60,"50s",EmployeeData[[#This Row],[Age]]&gt;=60,"60s")</f>
        <v>50s</v>
      </c>
      <c r="G452" s="5">
        <v>43449</v>
      </c>
      <c r="H452" s="5">
        <v>44947</v>
      </c>
      <c r="I452" t="s">
        <v>31</v>
      </c>
      <c r="J452" t="s">
        <v>13</v>
      </c>
      <c r="K452" cm="1">
        <f t="array" aca="1" ref="K452" ca="1">_xlfn.IFS(EmployeeData[[#This Row],[Status]]="Active",_xlfn.DAYS(TODAY(),EmployeeData[[#This Row],[Join Date]]),EmployeeData[[#This Row],[Status]]="Exited",_xlfn.DAYS(EmployeeData[[#This Row],[Exit Date]],EmployeeData[[#This Row],[Join Date]]))</f>
        <v>1498</v>
      </c>
      <c r="L452" cm="1">
        <f t="array" aca="1" ref="L452" ca="1">_xlfn.IFS(EmployeeData[[#This Row],[Status]]="Exited",DATEDIF(EmployeeData[[#This Row],[Join Date]], EmployeeData[[#This Row],[Exit Date]], "Y"),EmployeeData[[#This Row],[Status]]="Active",DATEDIF(EmployeeData[[#This Row],[Join Date]], TODAY(), "Y"))</f>
        <v>4</v>
      </c>
      <c r="Q452" t="str" cm="1">
        <f t="array" aca="1" ref="Q4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453" spans="1:17" hidden="1" x14ac:dyDescent="0.3">
      <c r="A453">
        <v>1452</v>
      </c>
      <c r="B453" t="s">
        <v>124</v>
      </c>
      <c r="C453" t="s">
        <v>23</v>
      </c>
      <c r="D453" t="s">
        <v>16</v>
      </c>
      <c r="E453">
        <v>28</v>
      </c>
      <c r="F453" t="str" cm="1">
        <f t="array" ref="F453">_xlfn.IFS(EmployeeData[[#This Row],[Age]]&lt;30,"20s",EmployeeData[[#This Row],[Age]]&lt;40,"30s",EmployeeData[[#This Row],[Age]]&lt;50,"40s",EmployeeData[[#This Row],[Age]]&lt;60,"50s",EmployeeData[[#This Row],[Age]]&gt;=60,"60s")</f>
        <v>20s</v>
      </c>
      <c r="G453" s="5">
        <v>43843</v>
      </c>
      <c r="I453" t="s">
        <v>17</v>
      </c>
      <c r="J453" t="s">
        <v>18</v>
      </c>
      <c r="K453" cm="1">
        <f t="array" aca="1" ref="K453" ca="1">_xlfn.IFS(EmployeeData[[#This Row],[Status]]="Active",_xlfn.DAYS(TODAY(),EmployeeData[[#This Row],[Join Date]]),EmployeeData[[#This Row],[Status]]="Exited",_xlfn.DAYS(EmployeeData[[#This Row],[Exit Date]],EmployeeData[[#This Row],[Join Date]]))</f>
        <v>2354</v>
      </c>
      <c r="L453" cm="1">
        <f t="array" aca="1" ref="L453" ca="1">_xlfn.IFS(EmployeeData[[#This Row],[Status]]="Exited",DATEDIF(EmployeeData[[#This Row],[Join Date]], EmployeeData[[#This Row],[Exit Date]], "Y"),EmployeeData[[#This Row],[Status]]="Active",DATEDIF(EmployeeData[[#This Row],[Join Date]], TODAY(), "Y"))</f>
        <v>6</v>
      </c>
      <c r="Q453" t="str" cm="1">
        <f t="array" aca="1" ref="Q4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11 days</v>
      </c>
    </row>
    <row r="454" spans="1:17" hidden="1" x14ac:dyDescent="0.3">
      <c r="A454">
        <v>1453</v>
      </c>
      <c r="B454" t="s">
        <v>575</v>
      </c>
      <c r="C454" t="s">
        <v>46</v>
      </c>
      <c r="D454" t="s">
        <v>11</v>
      </c>
      <c r="E454">
        <v>50</v>
      </c>
      <c r="F454" t="str" cm="1">
        <f t="array" ref="F454">_xlfn.IFS(EmployeeData[[#This Row],[Age]]&lt;30,"20s",EmployeeData[[#This Row],[Age]]&lt;40,"30s",EmployeeData[[#This Row],[Age]]&lt;50,"40s",EmployeeData[[#This Row],[Age]]&lt;60,"50s",EmployeeData[[#This Row],[Age]]&gt;=60,"60s")</f>
        <v>50s</v>
      </c>
      <c r="G454" s="5">
        <v>45741</v>
      </c>
      <c r="I454" t="s">
        <v>17</v>
      </c>
      <c r="J454" t="s">
        <v>18</v>
      </c>
      <c r="K454" cm="1">
        <f t="array" aca="1" ref="K454" ca="1">_xlfn.IFS(EmployeeData[[#This Row],[Status]]="Active",_xlfn.DAYS(TODAY(),EmployeeData[[#This Row],[Join Date]]),EmployeeData[[#This Row],[Status]]="Exited",_xlfn.DAYS(EmployeeData[[#This Row],[Exit Date]],EmployeeData[[#This Row],[Join Date]]))</f>
        <v>456</v>
      </c>
      <c r="L454" cm="1">
        <f t="array" aca="1" ref="L454" ca="1">_xlfn.IFS(EmployeeData[[#This Row],[Status]]="Exited",DATEDIF(EmployeeData[[#This Row],[Join Date]], EmployeeData[[#This Row],[Exit Date]], "Y"),EmployeeData[[#This Row],[Status]]="Active",DATEDIF(EmployeeData[[#This Row],[Join Date]], TODAY(), "Y"))</f>
        <v>1</v>
      </c>
      <c r="Q454" t="str" cm="1">
        <f t="array" aca="1" ref="Q4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30 days</v>
      </c>
    </row>
    <row r="455" spans="1:17" hidden="1" x14ac:dyDescent="0.3">
      <c r="A455">
        <v>1454</v>
      </c>
      <c r="B455" t="s">
        <v>353</v>
      </c>
      <c r="C455" t="s">
        <v>15</v>
      </c>
      <c r="D455" t="s">
        <v>24</v>
      </c>
      <c r="E455">
        <v>59</v>
      </c>
      <c r="F455" t="str" cm="1">
        <f t="array" ref="F455">_xlfn.IFS(EmployeeData[[#This Row],[Age]]&lt;30,"20s",EmployeeData[[#This Row],[Age]]&lt;40,"30s",EmployeeData[[#This Row],[Age]]&lt;50,"40s",EmployeeData[[#This Row],[Age]]&lt;60,"50s",EmployeeData[[#This Row],[Age]]&gt;=60,"60s")</f>
        <v>50s</v>
      </c>
      <c r="G455" s="5">
        <v>44563</v>
      </c>
      <c r="H455" s="5">
        <v>45995</v>
      </c>
      <c r="I455" t="s">
        <v>26</v>
      </c>
      <c r="J455" t="s">
        <v>13</v>
      </c>
      <c r="K455" cm="1">
        <f t="array" aca="1" ref="K455" ca="1">_xlfn.IFS(EmployeeData[[#This Row],[Status]]="Active",_xlfn.DAYS(TODAY(),EmployeeData[[#This Row],[Join Date]]),EmployeeData[[#This Row],[Status]]="Exited",_xlfn.DAYS(EmployeeData[[#This Row],[Exit Date]],EmployeeData[[#This Row],[Join Date]]))</f>
        <v>1432</v>
      </c>
      <c r="L455" cm="1">
        <f t="array" aca="1" ref="L455" ca="1">_xlfn.IFS(EmployeeData[[#This Row],[Status]]="Exited",DATEDIF(EmployeeData[[#This Row],[Join Date]], EmployeeData[[#This Row],[Exit Date]], "Y"),EmployeeData[[#This Row],[Status]]="Active",DATEDIF(EmployeeData[[#This Row],[Join Date]], TODAY(), "Y"))</f>
        <v>3</v>
      </c>
      <c r="Q455" t="str" cm="1">
        <f t="array" aca="1" ref="Q4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 days</v>
      </c>
    </row>
    <row r="456" spans="1:17" hidden="1" x14ac:dyDescent="0.3">
      <c r="A456">
        <v>1455</v>
      </c>
      <c r="B456" t="s">
        <v>903</v>
      </c>
      <c r="C456" t="s">
        <v>10</v>
      </c>
      <c r="D456" t="s">
        <v>24</v>
      </c>
      <c r="E456">
        <v>58</v>
      </c>
      <c r="F456" t="str" cm="1">
        <f t="array" ref="F456">_xlfn.IFS(EmployeeData[[#This Row],[Age]]&lt;30,"20s",EmployeeData[[#This Row],[Age]]&lt;40,"30s",EmployeeData[[#This Row],[Age]]&lt;50,"40s",EmployeeData[[#This Row],[Age]]&lt;60,"50s",EmployeeData[[#This Row],[Age]]&gt;=60,"60s")</f>
        <v>50s</v>
      </c>
      <c r="G456" s="5">
        <v>43725</v>
      </c>
      <c r="I456" t="s">
        <v>17</v>
      </c>
      <c r="J456" t="s">
        <v>18</v>
      </c>
      <c r="K456" cm="1">
        <f t="array" aca="1" ref="K456" ca="1">_xlfn.IFS(EmployeeData[[#This Row],[Status]]="Active",_xlfn.DAYS(TODAY(),EmployeeData[[#This Row],[Join Date]]),EmployeeData[[#This Row],[Status]]="Exited",_xlfn.DAYS(EmployeeData[[#This Row],[Exit Date]],EmployeeData[[#This Row],[Join Date]]))</f>
        <v>2472</v>
      </c>
      <c r="L456" cm="1">
        <f t="array" aca="1" ref="L456" ca="1">_xlfn.IFS(EmployeeData[[#This Row],[Status]]="Exited",DATEDIF(EmployeeData[[#This Row],[Join Date]], EmployeeData[[#This Row],[Exit Date]], "Y"),EmployeeData[[#This Row],[Status]]="Active",DATEDIF(EmployeeData[[#This Row],[Join Date]], TODAY(), "Y"))</f>
        <v>6</v>
      </c>
      <c r="Q456" t="str" cm="1">
        <f t="array" aca="1" ref="Q4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7 days</v>
      </c>
    </row>
    <row r="457" spans="1:17" hidden="1" x14ac:dyDescent="0.3">
      <c r="A457">
        <v>1456</v>
      </c>
      <c r="B457" t="s">
        <v>598</v>
      </c>
      <c r="C457" t="s">
        <v>15</v>
      </c>
      <c r="D457" t="s">
        <v>16</v>
      </c>
      <c r="E457">
        <v>35</v>
      </c>
      <c r="F457" t="str" cm="1">
        <f t="array" ref="F457">_xlfn.IFS(EmployeeData[[#This Row],[Age]]&lt;30,"20s",EmployeeData[[#This Row],[Age]]&lt;40,"30s",EmployeeData[[#This Row],[Age]]&lt;50,"40s",EmployeeData[[#This Row],[Age]]&lt;60,"50s",EmployeeData[[#This Row],[Age]]&gt;=60,"60s")</f>
        <v>30s</v>
      </c>
      <c r="G457" s="5">
        <v>45725</v>
      </c>
      <c r="I457" t="s">
        <v>17</v>
      </c>
      <c r="J457" t="s">
        <v>18</v>
      </c>
      <c r="K457" cm="1">
        <f t="array" aca="1" ref="K457" ca="1">_xlfn.IFS(EmployeeData[[#This Row],[Status]]="Active",_xlfn.DAYS(TODAY(),EmployeeData[[#This Row],[Join Date]]),EmployeeData[[#This Row],[Status]]="Exited",_xlfn.DAYS(EmployeeData[[#This Row],[Exit Date]],EmployeeData[[#This Row],[Join Date]]))</f>
        <v>472</v>
      </c>
      <c r="L457" cm="1">
        <f t="array" aca="1" ref="L457" ca="1">_xlfn.IFS(EmployeeData[[#This Row],[Status]]="Exited",DATEDIF(EmployeeData[[#This Row],[Join Date]], EmployeeData[[#This Row],[Exit Date]], "Y"),EmployeeData[[#This Row],[Status]]="Active",DATEDIF(EmployeeData[[#This Row],[Join Date]], TODAY(), "Y"))</f>
        <v>1</v>
      </c>
      <c r="Q457" t="str" cm="1">
        <f t="array" aca="1" ref="Q4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458" spans="1:17" hidden="1" x14ac:dyDescent="0.3">
      <c r="A458">
        <v>1457</v>
      </c>
      <c r="B458" t="s">
        <v>335</v>
      </c>
      <c r="C458" t="s">
        <v>10</v>
      </c>
      <c r="D458" t="s">
        <v>24</v>
      </c>
      <c r="E458">
        <v>49</v>
      </c>
      <c r="F458" t="str" cm="1">
        <f t="array" ref="F458">_xlfn.IFS(EmployeeData[[#This Row],[Age]]&lt;30,"20s",EmployeeData[[#This Row],[Age]]&lt;40,"30s",EmployeeData[[#This Row],[Age]]&lt;50,"40s",EmployeeData[[#This Row],[Age]]&lt;60,"50s",EmployeeData[[#This Row],[Age]]&gt;=60,"60s")</f>
        <v>40s</v>
      </c>
      <c r="G458" s="5">
        <v>44570</v>
      </c>
      <c r="I458" t="s">
        <v>17</v>
      </c>
      <c r="J458" t="s">
        <v>18</v>
      </c>
      <c r="K458" cm="1">
        <f t="array" aca="1" ref="K458" ca="1">_xlfn.IFS(EmployeeData[[#This Row],[Status]]="Active",_xlfn.DAYS(TODAY(),EmployeeData[[#This Row],[Join Date]]),EmployeeData[[#This Row],[Status]]="Exited",_xlfn.DAYS(EmployeeData[[#This Row],[Exit Date]],EmployeeData[[#This Row],[Join Date]]))</f>
        <v>1627</v>
      </c>
      <c r="L458" cm="1">
        <f t="array" aca="1" ref="L458" ca="1">_xlfn.IFS(EmployeeData[[#This Row],[Status]]="Exited",DATEDIF(EmployeeData[[#This Row],[Join Date]], EmployeeData[[#This Row],[Exit Date]], "Y"),EmployeeData[[#This Row],[Status]]="Active",DATEDIF(EmployeeData[[#This Row],[Join Date]], TODAY(), "Y"))</f>
        <v>4</v>
      </c>
      <c r="Q458" t="str" cm="1">
        <f t="array" aca="1" ref="Q4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459" spans="1:17" hidden="1" x14ac:dyDescent="0.3">
      <c r="A459">
        <v>1458</v>
      </c>
      <c r="B459" t="s">
        <v>51</v>
      </c>
      <c r="C459" t="s">
        <v>33</v>
      </c>
      <c r="D459" t="s">
        <v>11</v>
      </c>
      <c r="E459">
        <v>29</v>
      </c>
      <c r="F459" t="str" cm="1">
        <f t="array" ref="F459">_xlfn.IFS(EmployeeData[[#This Row],[Age]]&lt;30,"20s",EmployeeData[[#This Row],[Age]]&lt;40,"30s",EmployeeData[[#This Row],[Age]]&lt;50,"40s",EmployeeData[[#This Row],[Age]]&lt;60,"50s",EmployeeData[[#This Row],[Age]]&gt;=60,"60s")</f>
        <v>20s</v>
      </c>
      <c r="G459" s="5">
        <v>45307</v>
      </c>
      <c r="H459" s="5">
        <v>46148</v>
      </c>
      <c r="I459" t="s">
        <v>52</v>
      </c>
      <c r="J459" t="s">
        <v>13</v>
      </c>
      <c r="K459" cm="1">
        <f t="array" aca="1" ref="K459" ca="1">_xlfn.IFS(EmployeeData[[#This Row],[Status]]="Active",_xlfn.DAYS(TODAY(),EmployeeData[[#This Row],[Join Date]]),EmployeeData[[#This Row],[Status]]="Exited",_xlfn.DAYS(EmployeeData[[#This Row],[Exit Date]],EmployeeData[[#This Row],[Join Date]]))</f>
        <v>841</v>
      </c>
      <c r="L459" cm="1">
        <f t="array" aca="1" ref="L459" ca="1">_xlfn.IFS(EmployeeData[[#This Row],[Status]]="Exited",DATEDIF(EmployeeData[[#This Row],[Join Date]], EmployeeData[[#This Row],[Exit Date]], "Y"),EmployeeData[[#This Row],[Status]]="Active",DATEDIF(EmployeeData[[#This Row],[Join Date]], TODAY(), "Y"))</f>
        <v>2</v>
      </c>
      <c r="Q459" t="str" cm="1">
        <f t="array" aca="1" ref="Q4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460" spans="1:17" hidden="1" x14ac:dyDescent="0.3">
      <c r="A460">
        <v>1459</v>
      </c>
      <c r="B460" t="s">
        <v>977</v>
      </c>
      <c r="C460" t="s">
        <v>33</v>
      </c>
      <c r="D460" t="s">
        <v>24</v>
      </c>
      <c r="E460">
        <v>58</v>
      </c>
      <c r="F460" t="str" cm="1">
        <f t="array" ref="F460">_xlfn.IFS(EmployeeData[[#This Row],[Age]]&lt;30,"20s",EmployeeData[[#This Row],[Age]]&lt;40,"30s",EmployeeData[[#This Row],[Age]]&lt;50,"40s",EmployeeData[[#This Row],[Age]]&lt;60,"50s",EmployeeData[[#This Row],[Age]]&gt;=60,"60s")</f>
        <v>50s</v>
      </c>
      <c r="G460" s="5">
        <v>45472</v>
      </c>
      <c r="I460" t="s">
        <v>17</v>
      </c>
      <c r="J460" t="s">
        <v>18</v>
      </c>
      <c r="K460" cm="1">
        <f t="array" aca="1" ref="K460" ca="1">_xlfn.IFS(EmployeeData[[#This Row],[Status]]="Active",_xlfn.DAYS(TODAY(),EmployeeData[[#This Row],[Join Date]]),EmployeeData[[#This Row],[Status]]="Exited",_xlfn.DAYS(EmployeeData[[#This Row],[Exit Date]],EmployeeData[[#This Row],[Join Date]]))</f>
        <v>725</v>
      </c>
      <c r="L460" cm="1">
        <f t="array" aca="1" ref="L460" ca="1">_xlfn.IFS(EmployeeData[[#This Row],[Status]]="Exited",DATEDIF(EmployeeData[[#This Row],[Join Date]], EmployeeData[[#This Row],[Exit Date]], "Y"),EmployeeData[[#This Row],[Status]]="Active",DATEDIF(EmployeeData[[#This Row],[Join Date]], TODAY(), "Y"))</f>
        <v>1</v>
      </c>
      <c r="Q460" t="str" cm="1">
        <f t="array" aca="1" ref="Q4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26 days</v>
      </c>
    </row>
    <row r="461" spans="1:17" hidden="1" x14ac:dyDescent="0.3">
      <c r="A461">
        <v>1460</v>
      </c>
      <c r="B461" t="s">
        <v>604</v>
      </c>
      <c r="C461" t="s">
        <v>23</v>
      </c>
      <c r="D461" t="s">
        <v>24</v>
      </c>
      <c r="E461">
        <v>55</v>
      </c>
      <c r="F461" t="str" cm="1">
        <f t="array" ref="F461">_xlfn.IFS(EmployeeData[[#This Row],[Age]]&lt;30,"20s",EmployeeData[[#This Row],[Age]]&lt;40,"30s",EmployeeData[[#This Row],[Age]]&lt;50,"40s",EmployeeData[[#This Row],[Age]]&lt;60,"50s",EmployeeData[[#This Row],[Age]]&gt;=60,"60s")</f>
        <v>50s</v>
      </c>
      <c r="G461" s="5">
        <v>45034</v>
      </c>
      <c r="I461" t="s">
        <v>17</v>
      </c>
      <c r="J461" t="s">
        <v>18</v>
      </c>
      <c r="K461" cm="1">
        <f t="array" aca="1" ref="K461" ca="1">_xlfn.IFS(EmployeeData[[#This Row],[Status]]="Active",_xlfn.DAYS(TODAY(),EmployeeData[[#This Row],[Join Date]]),EmployeeData[[#This Row],[Status]]="Exited",_xlfn.DAYS(EmployeeData[[#This Row],[Exit Date]],EmployeeData[[#This Row],[Join Date]]))</f>
        <v>1163</v>
      </c>
      <c r="L461" cm="1">
        <f t="array" aca="1" ref="L461" ca="1">_xlfn.IFS(EmployeeData[[#This Row],[Status]]="Exited",DATEDIF(EmployeeData[[#This Row],[Join Date]], EmployeeData[[#This Row],[Exit Date]], "Y"),EmployeeData[[#This Row],[Status]]="Active",DATEDIF(EmployeeData[[#This Row],[Join Date]], TODAY(), "Y"))</f>
        <v>3</v>
      </c>
      <c r="Q461" t="str" cm="1">
        <f t="array" aca="1" ref="Q4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6 days</v>
      </c>
    </row>
    <row r="462" spans="1:17" hidden="1" x14ac:dyDescent="0.3">
      <c r="A462">
        <v>1461</v>
      </c>
      <c r="B462" t="s">
        <v>879</v>
      </c>
      <c r="C462" t="s">
        <v>15</v>
      </c>
      <c r="D462" t="s">
        <v>24</v>
      </c>
      <c r="E462">
        <v>26</v>
      </c>
      <c r="F462" t="str" cm="1">
        <f t="array" ref="F462">_xlfn.IFS(EmployeeData[[#This Row],[Age]]&lt;30,"20s",EmployeeData[[#This Row],[Age]]&lt;40,"30s",EmployeeData[[#This Row],[Age]]&lt;50,"40s",EmployeeData[[#This Row],[Age]]&lt;60,"50s",EmployeeData[[#This Row],[Age]]&gt;=60,"60s")</f>
        <v>20s</v>
      </c>
      <c r="G462" s="5">
        <v>44726</v>
      </c>
      <c r="H462" s="5">
        <v>44837</v>
      </c>
      <c r="I462" t="s">
        <v>28</v>
      </c>
      <c r="J462" t="s">
        <v>13</v>
      </c>
      <c r="K462" cm="1">
        <f t="array" aca="1" ref="K462" ca="1">_xlfn.IFS(EmployeeData[[#This Row],[Status]]="Active",_xlfn.DAYS(TODAY(),EmployeeData[[#This Row],[Join Date]]),EmployeeData[[#This Row],[Status]]="Exited",_xlfn.DAYS(EmployeeData[[#This Row],[Exit Date]],EmployeeData[[#This Row],[Join Date]]))</f>
        <v>111</v>
      </c>
      <c r="L462" cm="1">
        <f t="array" aca="1" ref="L462" ca="1">_xlfn.IFS(EmployeeData[[#This Row],[Status]]="Exited",DATEDIF(EmployeeData[[#This Row],[Join Date]], EmployeeData[[#This Row],[Exit Date]], "Y"),EmployeeData[[#This Row],[Status]]="Active",DATEDIF(EmployeeData[[#This Row],[Join Date]], TODAY(), "Y"))</f>
        <v>0</v>
      </c>
      <c r="Q462" t="str" cm="1">
        <f t="array" aca="1" ref="Q4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463" spans="1:17" hidden="1" x14ac:dyDescent="0.3">
      <c r="A463">
        <v>1462</v>
      </c>
      <c r="B463" t="s">
        <v>562</v>
      </c>
      <c r="C463" t="s">
        <v>15</v>
      </c>
      <c r="D463" t="s">
        <v>11</v>
      </c>
      <c r="E463">
        <v>30</v>
      </c>
      <c r="F463" t="str" cm="1">
        <f t="array" ref="F463">_xlfn.IFS(EmployeeData[[#This Row],[Age]]&lt;30,"20s",EmployeeData[[#This Row],[Age]]&lt;40,"30s",EmployeeData[[#This Row],[Age]]&lt;50,"40s",EmployeeData[[#This Row],[Age]]&lt;60,"50s",EmployeeData[[#This Row],[Age]]&gt;=60,"60s")</f>
        <v>30s</v>
      </c>
      <c r="G463" s="5">
        <v>45081</v>
      </c>
      <c r="I463" t="s">
        <v>17</v>
      </c>
      <c r="J463" t="s">
        <v>18</v>
      </c>
      <c r="K463" cm="1">
        <f t="array" aca="1" ref="K463" ca="1">_xlfn.IFS(EmployeeData[[#This Row],[Status]]="Active",_xlfn.DAYS(TODAY(),EmployeeData[[#This Row],[Join Date]]),EmployeeData[[#This Row],[Status]]="Exited",_xlfn.DAYS(EmployeeData[[#This Row],[Exit Date]],EmployeeData[[#This Row],[Join Date]]))</f>
        <v>1116</v>
      </c>
      <c r="L463" cm="1">
        <f t="array" aca="1" ref="L463" ca="1">_xlfn.IFS(EmployeeData[[#This Row],[Status]]="Exited",DATEDIF(EmployeeData[[#This Row],[Join Date]], EmployeeData[[#This Row],[Exit Date]], "Y"),EmployeeData[[#This Row],[Status]]="Active",DATEDIF(EmployeeData[[#This Row],[Join Date]], TODAY(), "Y"))</f>
        <v>3</v>
      </c>
      <c r="Q463" t="str" cm="1">
        <f t="array" aca="1" ref="Q4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20 days</v>
      </c>
    </row>
    <row r="464" spans="1:17" x14ac:dyDescent="0.3">
      <c r="A464">
        <v>1463</v>
      </c>
      <c r="B464" t="s">
        <v>385</v>
      </c>
      <c r="C464" t="s">
        <v>15</v>
      </c>
      <c r="D464" t="s">
        <v>16</v>
      </c>
      <c r="E464">
        <v>35</v>
      </c>
      <c r="F464" t="str" cm="1">
        <f t="array" ref="F464">_xlfn.IFS(EmployeeData[[#This Row],[Age]]&lt;30,"20s",EmployeeData[[#This Row],[Age]]&lt;40,"30s",EmployeeData[[#This Row],[Age]]&lt;50,"40s",EmployeeData[[#This Row],[Age]]&lt;60,"50s",EmployeeData[[#This Row],[Age]]&gt;=60,"60s")</f>
        <v>30s</v>
      </c>
      <c r="G464" s="5">
        <v>43276</v>
      </c>
      <c r="I464" t="s">
        <v>17</v>
      </c>
      <c r="J464" t="s">
        <v>18</v>
      </c>
      <c r="K464" cm="1">
        <f t="array" aca="1" ref="K464" ca="1">_xlfn.IFS(EmployeeData[[#This Row],[Status]]="Active",_xlfn.DAYS(TODAY(),EmployeeData[[#This Row],[Join Date]]),EmployeeData[[#This Row],[Status]]="Exited",_xlfn.DAYS(EmployeeData[[#This Row],[Exit Date]],EmployeeData[[#This Row],[Join Date]]))</f>
        <v>2921</v>
      </c>
      <c r="L464" cm="1">
        <f t="array" aca="1" ref="L464" ca="1">_xlfn.IFS(EmployeeData[[#This Row],[Status]]="Exited",DATEDIF(EmployeeData[[#This Row],[Join Date]], EmployeeData[[#This Row],[Exit Date]], "Y"),EmployeeData[[#This Row],[Status]]="Active",DATEDIF(EmployeeData[[#This Row],[Join Date]], TODAY(), "Y"))</f>
        <v>7</v>
      </c>
      <c r="Q464" t="str" cm="1">
        <f t="array" aca="1" ref="Q4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30 days</v>
      </c>
    </row>
    <row r="465" spans="1:17" hidden="1" x14ac:dyDescent="0.3">
      <c r="A465">
        <v>1464</v>
      </c>
      <c r="B465" t="s">
        <v>400</v>
      </c>
      <c r="C465" t="s">
        <v>33</v>
      </c>
      <c r="D465" t="s">
        <v>16</v>
      </c>
      <c r="E465">
        <v>41</v>
      </c>
      <c r="F465" t="str" cm="1">
        <f t="array" ref="F465">_xlfn.IFS(EmployeeData[[#This Row],[Age]]&lt;30,"20s",EmployeeData[[#This Row],[Age]]&lt;40,"30s",EmployeeData[[#This Row],[Age]]&lt;50,"40s",EmployeeData[[#This Row],[Age]]&lt;60,"50s",EmployeeData[[#This Row],[Age]]&gt;=60,"60s")</f>
        <v>40s</v>
      </c>
      <c r="G465" s="5">
        <v>43523</v>
      </c>
      <c r="I465" t="s">
        <v>17</v>
      </c>
      <c r="J465" t="s">
        <v>18</v>
      </c>
      <c r="K465" cm="1">
        <f t="array" aca="1" ref="K465" ca="1">_xlfn.IFS(EmployeeData[[#This Row],[Status]]="Active",_xlfn.DAYS(TODAY(),EmployeeData[[#This Row],[Join Date]]),EmployeeData[[#This Row],[Status]]="Exited",_xlfn.DAYS(EmployeeData[[#This Row],[Exit Date]],EmployeeData[[#This Row],[Join Date]]))</f>
        <v>2674</v>
      </c>
      <c r="L465" cm="1">
        <f t="array" aca="1" ref="L465" ca="1">_xlfn.IFS(EmployeeData[[#This Row],[Status]]="Exited",DATEDIF(EmployeeData[[#This Row],[Join Date]], EmployeeData[[#This Row],[Exit Date]], "Y"),EmployeeData[[#This Row],[Status]]="Active",DATEDIF(EmployeeData[[#This Row],[Join Date]], TODAY(), "Y"))</f>
        <v>7</v>
      </c>
      <c r="Q465" t="str" cm="1">
        <f t="array" aca="1" ref="Q4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28 days</v>
      </c>
    </row>
    <row r="466" spans="1:17" hidden="1" x14ac:dyDescent="0.3">
      <c r="A466">
        <v>1465</v>
      </c>
      <c r="B466" t="s">
        <v>510</v>
      </c>
      <c r="C466" t="s">
        <v>33</v>
      </c>
      <c r="D466" t="s">
        <v>16</v>
      </c>
      <c r="E466">
        <v>55</v>
      </c>
      <c r="F466" t="str" cm="1">
        <f t="array" ref="F466">_xlfn.IFS(EmployeeData[[#This Row],[Age]]&lt;30,"20s",EmployeeData[[#This Row],[Age]]&lt;40,"30s",EmployeeData[[#This Row],[Age]]&lt;50,"40s",EmployeeData[[#This Row],[Age]]&lt;60,"50s",EmployeeData[[#This Row],[Age]]&gt;=60,"60s")</f>
        <v>50s</v>
      </c>
      <c r="G466" s="5">
        <v>45436</v>
      </c>
      <c r="H466" s="5">
        <v>45913</v>
      </c>
      <c r="I466" t="s">
        <v>12</v>
      </c>
      <c r="J466" t="s">
        <v>13</v>
      </c>
      <c r="K466" cm="1">
        <f t="array" aca="1" ref="K466" ca="1">_xlfn.IFS(EmployeeData[[#This Row],[Status]]="Active",_xlfn.DAYS(TODAY(),EmployeeData[[#This Row],[Join Date]]),EmployeeData[[#This Row],[Status]]="Exited",_xlfn.DAYS(EmployeeData[[#This Row],[Exit Date]],EmployeeData[[#This Row],[Join Date]]))</f>
        <v>477</v>
      </c>
      <c r="L466" cm="1">
        <f t="array" aca="1" ref="L466" ca="1">_xlfn.IFS(EmployeeData[[#This Row],[Status]]="Exited",DATEDIF(EmployeeData[[#This Row],[Join Date]], EmployeeData[[#This Row],[Exit Date]], "Y"),EmployeeData[[#This Row],[Status]]="Active",DATEDIF(EmployeeData[[#This Row],[Join Date]], TODAY(), "Y"))</f>
        <v>1</v>
      </c>
      <c r="Q466" t="str" cm="1">
        <f t="array" aca="1" ref="Q4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467" spans="1:17" hidden="1" x14ac:dyDescent="0.3">
      <c r="A467">
        <v>1466</v>
      </c>
      <c r="B467" t="s">
        <v>523</v>
      </c>
      <c r="C467" t="s">
        <v>23</v>
      </c>
      <c r="D467" t="s">
        <v>24</v>
      </c>
      <c r="E467">
        <v>43</v>
      </c>
      <c r="F467" t="str" cm="1">
        <f t="array" ref="F467">_xlfn.IFS(EmployeeData[[#This Row],[Age]]&lt;30,"20s",EmployeeData[[#This Row],[Age]]&lt;40,"30s",EmployeeData[[#This Row],[Age]]&lt;50,"40s",EmployeeData[[#This Row],[Age]]&lt;60,"50s",EmployeeData[[#This Row],[Age]]&gt;=60,"60s")</f>
        <v>40s</v>
      </c>
      <c r="G467" s="5">
        <v>45095</v>
      </c>
      <c r="I467" t="s">
        <v>17</v>
      </c>
      <c r="J467" t="s">
        <v>18</v>
      </c>
      <c r="K467" cm="1">
        <f t="array" aca="1" ref="K467" ca="1">_xlfn.IFS(EmployeeData[[#This Row],[Status]]="Active",_xlfn.DAYS(TODAY(),EmployeeData[[#This Row],[Join Date]]),EmployeeData[[#This Row],[Status]]="Exited",_xlfn.DAYS(EmployeeData[[#This Row],[Exit Date]],EmployeeData[[#This Row],[Join Date]]))</f>
        <v>1102</v>
      </c>
      <c r="L467" cm="1">
        <f t="array" aca="1" ref="L467" ca="1">_xlfn.IFS(EmployeeData[[#This Row],[Status]]="Exited",DATEDIF(EmployeeData[[#This Row],[Join Date]], EmployeeData[[#This Row],[Exit Date]], "Y"),EmployeeData[[#This Row],[Status]]="Active",DATEDIF(EmployeeData[[#This Row],[Join Date]], TODAY(), "Y"))</f>
        <v>3</v>
      </c>
      <c r="Q467" t="str" cm="1">
        <f t="array" aca="1" ref="Q4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6 days</v>
      </c>
    </row>
    <row r="468" spans="1:17" hidden="1" x14ac:dyDescent="0.3">
      <c r="A468">
        <v>1467</v>
      </c>
      <c r="B468" t="s">
        <v>318</v>
      </c>
      <c r="C468" t="s">
        <v>10</v>
      </c>
      <c r="D468" t="s">
        <v>16</v>
      </c>
      <c r="E468">
        <v>53</v>
      </c>
      <c r="F468" t="str" cm="1">
        <f t="array" ref="F468">_xlfn.IFS(EmployeeData[[#This Row],[Age]]&lt;30,"20s",EmployeeData[[#This Row],[Age]]&lt;40,"30s",EmployeeData[[#This Row],[Age]]&lt;50,"40s",EmployeeData[[#This Row],[Age]]&lt;60,"50s",EmployeeData[[#This Row],[Age]]&gt;=60,"60s")</f>
        <v>50s</v>
      </c>
      <c r="G468" s="5">
        <v>45736</v>
      </c>
      <c r="H468" s="5">
        <v>45902</v>
      </c>
      <c r="I468" t="s">
        <v>31</v>
      </c>
      <c r="J468" t="s">
        <v>13</v>
      </c>
      <c r="K468" cm="1">
        <f t="array" aca="1" ref="K468" ca="1">_xlfn.IFS(EmployeeData[[#This Row],[Status]]="Active",_xlfn.DAYS(TODAY(),EmployeeData[[#This Row],[Join Date]]),EmployeeData[[#This Row],[Status]]="Exited",_xlfn.DAYS(EmployeeData[[#This Row],[Exit Date]],EmployeeData[[#This Row],[Join Date]]))</f>
        <v>166</v>
      </c>
      <c r="L468" cm="1">
        <f t="array" aca="1" ref="L468" ca="1">_xlfn.IFS(EmployeeData[[#This Row],[Status]]="Exited",DATEDIF(EmployeeData[[#This Row],[Join Date]], EmployeeData[[#This Row],[Exit Date]], "Y"),EmployeeData[[#This Row],[Status]]="Active",DATEDIF(EmployeeData[[#This Row],[Join Date]], TODAY(), "Y"))</f>
        <v>0</v>
      </c>
      <c r="Q468" t="str" cm="1">
        <f t="array" aca="1" ref="Q4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469" spans="1:17" hidden="1" x14ac:dyDescent="0.3">
      <c r="A469">
        <v>1468</v>
      </c>
      <c r="B469" t="s">
        <v>130</v>
      </c>
      <c r="C469" t="s">
        <v>15</v>
      </c>
      <c r="D469" t="s">
        <v>16</v>
      </c>
      <c r="E469">
        <v>42</v>
      </c>
      <c r="F469" t="str" cm="1">
        <f t="array" ref="F469">_xlfn.IFS(EmployeeData[[#This Row],[Age]]&lt;30,"20s",EmployeeData[[#This Row],[Age]]&lt;40,"30s",EmployeeData[[#This Row],[Age]]&lt;50,"40s",EmployeeData[[#This Row],[Age]]&lt;60,"50s",EmployeeData[[#This Row],[Age]]&gt;=60,"60s")</f>
        <v>40s</v>
      </c>
      <c r="G469" s="5">
        <v>43565</v>
      </c>
      <c r="I469" t="s">
        <v>17</v>
      </c>
      <c r="J469" t="s">
        <v>18</v>
      </c>
      <c r="K469" cm="1">
        <f t="array" aca="1" ref="K469" ca="1">_xlfn.IFS(EmployeeData[[#This Row],[Status]]="Active",_xlfn.DAYS(TODAY(),EmployeeData[[#This Row],[Join Date]]),EmployeeData[[#This Row],[Status]]="Exited",_xlfn.DAYS(EmployeeData[[#This Row],[Exit Date]],EmployeeData[[#This Row],[Join Date]]))</f>
        <v>2632</v>
      </c>
      <c r="L469" cm="1">
        <f t="array" aca="1" ref="L469" ca="1">_xlfn.IFS(EmployeeData[[#This Row],[Status]]="Exited",DATEDIF(EmployeeData[[#This Row],[Join Date]], EmployeeData[[#This Row],[Exit Date]], "Y"),EmployeeData[[#This Row],[Status]]="Active",DATEDIF(EmployeeData[[#This Row],[Join Date]], TODAY(), "Y"))</f>
        <v>7</v>
      </c>
      <c r="Q469" t="str" cm="1">
        <f t="array" aca="1" ref="Q4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14 days</v>
      </c>
    </row>
    <row r="470" spans="1:17" x14ac:dyDescent="0.3">
      <c r="A470">
        <v>1469</v>
      </c>
      <c r="B470" t="s">
        <v>155</v>
      </c>
      <c r="C470" t="s">
        <v>20</v>
      </c>
      <c r="D470" t="s">
        <v>24</v>
      </c>
      <c r="E470">
        <v>36</v>
      </c>
      <c r="F470" t="str" cm="1">
        <f t="array" ref="F470">_xlfn.IFS(EmployeeData[[#This Row],[Age]]&lt;30,"20s",EmployeeData[[#This Row],[Age]]&lt;40,"30s",EmployeeData[[#This Row],[Age]]&lt;50,"40s",EmployeeData[[#This Row],[Age]]&lt;60,"50s",EmployeeData[[#This Row],[Age]]&gt;=60,"60s")</f>
        <v>30s</v>
      </c>
      <c r="G470" s="5">
        <v>43277</v>
      </c>
      <c r="H470" s="5">
        <v>44026</v>
      </c>
      <c r="I470" t="s">
        <v>31</v>
      </c>
      <c r="J470" t="s">
        <v>13</v>
      </c>
      <c r="K470" cm="1">
        <f t="array" aca="1" ref="K470" ca="1">_xlfn.IFS(EmployeeData[[#This Row],[Status]]="Active",_xlfn.DAYS(TODAY(),EmployeeData[[#This Row],[Join Date]]),EmployeeData[[#This Row],[Status]]="Exited",_xlfn.DAYS(EmployeeData[[#This Row],[Exit Date]],EmployeeData[[#This Row],[Join Date]]))</f>
        <v>749</v>
      </c>
      <c r="L470" cm="1">
        <f t="array" aca="1" ref="L470" ca="1">_xlfn.IFS(EmployeeData[[#This Row],[Status]]="Exited",DATEDIF(EmployeeData[[#This Row],[Join Date]], EmployeeData[[#This Row],[Exit Date]], "Y"),EmployeeData[[#This Row],[Status]]="Active",DATEDIF(EmployeeData[[#This Row],[Join Date]], TODAY(), "Y"))</f>
        <v>2</v>
      </c>
      <c r="Q470" t="str" cm="1">
        <f t="array" aca="1" ref="Q4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471" spans="1:17" hidden="1" x14ac:dyDescent="0.3">
      <c r="A471">
        <v>1470</v>
      </c>
      <c r="B471" t="s">
        <v>329</v>
      </c>
      <c r="C471" t="s">
        <v>15</v>
      </c>
      <c r="D471" t="s">
        <v>16</v>
      </c>
      <c r="E471">
        <v>32</v>
      </c>
      <c r="F471" t="str" cm="1">
        <f t="array" ref="F471">_xlfn.IFS(EmployeeData[[#This Row],[Age]]&lt;30,"20s",EmployeeData[[#This Row],[Age]]&lt;40,"30s",EmployeeData[[#This Row],[Age]]&lt;50,"40s",EmployeeData[[#This Row],[Age]]&lt;60,"50s",EmployeeData[[#This Row],[Age]]&gt;=60,"60s")</f>
        <v>30s</v>
      </c>
      <c r="G471" s="5">
        <v>45217</v>
      </c>
      <c r="I471" t="s">
        <v>17</v>
      </c>
      <c r="J471" t="s">
        <v>18</v>
      </c>
      <c r="K471" cm="1">
        <f t="array" aca="1" ref="K471" ca="1">_xlfn.IFS(EmployeeData[[#This Row],[Status]]="Active",_xlfn.DAYS(TODAY(),EmployeeData[[#This Row],[Join Date]]),EmployeeData[[#This Row],[Status]]="Exited",_xlfn.DAYS(EmployeeData[[#This Row],[Exit Date]],EmployeeData[[#This Row],[Join Date]]))</f>
        <v>980</v>
      </c>
      <c r="L471" cm="1">
        <f t="array" aca="1" ref="L471" ca="1">_xlfn.IFS(EmployeeData[[#This Row],[Status]]="Exited",DATEDIF(EmployeeData[[#This Row],[Join Date]], EmployeeData[[#This Row],[Exit Date]], "Y"),EmployeeData[[#This Row],[Status]]="Active",DATEDIF(EmployeeData[[#This Row],[Join Date]], TODAY(), "Y"))</f>
        <v>2</v>
      </c>
      <c r="Q471" t="str" cm="1">
        <f t="array" aca="1" ref="Q4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6 days</v>
      </c>
    </row>
    <row r="472" spans="1:17" hidden="1" x14ac:dyDescent="0.3">
      <c r="A472">
        <v>1471</v>
      </c>
      <c r="B472" t="s">
        <v>783</v>
      </c>
      <c r="C472" t="s">
        <v>46</v>
      </c>
      <c r="D472" t="s">
        <v>16</v>
      </c>
      <c r="E472">
        <v>51</v>
      </c>
      <c r="F472" t="str" cm="1">
        <f t="array" ref="F472">_xlfn.IFS(EmployeeData[[#This Row],[Age]]&lt;30,"20s",EmployeeData[[#This Row],[Age]]&lt;40,"30s",EmployeeData[[#This Row],[Age]]&lt;50,"40s",EmployeeData[[#This Row],[Age]]&lt;60,"50s",EmployeeData[[#This Row],[Age]]&gt;=60,"60s")</f>
        <v>50s</v>
      </c>
      <c r="G472" s="5">
        <v>45073</v>
      </c>
      <c r="H472" s="5">
        <v>46013</v>
      </c>
      <c r="I472" t="s">
        <v>12</v>
      </c>
      <c r="J472" t="s">
        <v>13</v>
      </c>
      <c r="K472" cm="1">
        <f t="array" aca="1" ref="K472" ca="1">_xlfn.IFS(EmployeeData[[#This Row],[Status]]="Active",_xlfn.DAYS(TODAY(),EmployeeData[[#This Row],[Join Date]]),EmployeeData[[#This Row],[Status]]="Exited",_xlfn.DAYS(EmployeeData[[#This Row],[Exit Date]],EmployeeData[[#This Row],[Join Date]]))</f>
        <v>940</v>
      </c>
      <c r="L472" cm="1">
        <f t="array" aca="1" ref="L472" ca="1">_xlfn.IFS(EmployeeData[[#This Row],[Status]]="Exited",DATEDIF(EmployeeData[[#This Row],[Join Date]], EmployeeData[[#This Row],[Exit Date]], "Y"),EmployeeData[[#This Row],[Status]]="Active",DATEDIF(EmployeeData[[#This Row],[Join Date]], TODAY(), "Y"))</f>
        <v>2</v>
      </c>
      <c r="Q472" t="str" cm="1">
        <f t="array" aca="1" ref="Q4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473" spans="1:17" hidden="1" x14ac:dyDescent="0.3">
      <c r="A473">
        <v>1472</v>
      </c>
      <c r="B473" t="s">
        <v>689</v>
      </c>
      <c r="C473" t="s">
        <v>15</v>
      </c>
      <c r="D473" t="s">
        <v>24</v>
      </c>
      <c r="E473">
        <v>37</v>
      </c>
      <c r="F473" t="str" cm="1">
        <f t="array" ref="F473">_xlfn.IFS(EmployeeData[[#This Row],[Age]]&lt;30,"20s",EmployeeData[[#This Row],[Age]]&lt;40,"30s",EmployeeData[[#This Row],[Age]]&lt;50,"40s",EmployeeData[[#This Row],[Age]]&lt;60,"50s",EmployeeData[[#This Row],[Age]]&gt;=60,"60s")</f>
        <v>30s</v>
      </c>
      <c r="G473" s="5">
        <v>43787</v>
      </c>
      <c r="I473" t="s">
        <v>17</v>
      </c>
      <c r="J473" t="s">
        <v>18</v>
      </c>
      <c r="K473" cm="1">
        <f t="array" aca="1" ref="K473" ca="1">_xlfn.IFS(EmployeeData[[#This Row],[Status]]="Active",_xlfn.DAYS(TODAY(),EmployeeData[[#This Row],[Join Date]]),EmployeeData[[#This Row],[Status]]="Exited",_xlfn.DAYS(EmployeeData[[#This Row],[Exit Date]],EmployeeData[[#This Row],[Join Date]]))</f>
        <v>2410</v>
      </c>
      <c r="L473" cm="1">
        <f t="array" aca="1" ref="L473" ca="1">_xlfn.IFS(EmployeeData[[#This Row],[Status]]="Exited",DATEDIF(EmployeeData[[#This Row],[Join Date]], EmployeeData[[#This Row],[Exit Date]], "Y"),EmployeeData[[#This Row],[Status]]="Active",DATEDIF(EmployeeData[[#This Row],[Join Date]], TODAY(), "Y"))</f>
        <v>6</v>
      </c>
      <c r="Q473" t="str" cm="1">
        <f t="array" aca="1" ref="Q4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6 days</v>
      </c>
    </row>
    <row r="474" spans="1:17" x14ac:dyDescent="0.3">
      <c r="A474">
        <v>1473</v>
      </c>
      <c r="B474" t="s">
        <v>953</v>
      </c>
      <c r="C474" t="s">
        <v>15</v>
      </c>
      <c r="D474" t="s">
        <v>24</v>
      </c>
      <c r="E474">
        <v>27</v>
      </c>
      <c r="F474" t="str" cm="1">
        <f t="array" ref="F474">_xlfn.IFS(EmployeeData[[#This Row],[Age]]&lt;30,"20s",EmployeeData[[#This Row],[Age]]&lt;40,"30s",EmployeeData[[#This Row],[Age]]&lt;50,"40s",EmployeeData[[#This Row],[Age]]&lt;60,"50s",EmployeeData[[#This Row],[Age]]&gt;=60,"60s")</f>
        <v>20s</v>
      </c>
      <c r="G474" s="5">
        <v>43168</v>
      </c>
      <c r="H474" s="5">
        <v>45323</v>
      </c>
      <c r="I474" t="s">
        <v>34</v>
      </c>
      <c r="J474" t="s">
        <v>13</v>
      </c>
      <c r="K474" cm="1">
        <f t="array" aca="1" ref="K474" ca="1">_xlfn.IFS(EmployeeData[[#This Row],[Status]]="Active",_xlfn.DAYS(TODAY(),EmployeeData[[#This Row],[Join Date]]),EmployeeData[[#This Row],[Status]]="Exited",_xlfn.DAYS(EmployeeData[[#This Row],[Exit Date]],EmployeeData[[#This Row],[Join Date]]))</f>
        <v>2155</v>
      </c>
      <c r="L474" cm="1">
        <f t="array" aca="1" ref="L474" ca="1">_xlfn.IFS(EmployeeData[[#This Row],[Status]]="Exited",DATEDIF(EmployeeData[[#This Row],[Join Date]], EmployeeData[[#This Row],[Exit Date]], "Y"),EmployeeData[[#This Row],[Status]]="Active",DATEDIF(EmployeeData[[#This Row],[Join Date]], TODAY(), "Y"))</f>
        <v>5</v>
      </c>
      <c r="Q474" t="str" cm="1">
        <f t="array" aca="1" ref="Q4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23 days</v>
      </c>
    </row>
    <row r="475" spans="1:17" hidden="1" x14ac:dyDescent="0.3">
      <c r="A475">
        <v>1474</v>
      </c>
      <c r="B475" t="s">
        <v>387</v>
      </c>
      <c r="C475" t="s">
        <v>46</v>
      </c>
      <c r="D475" t="s">
        <v>24</v>
      </c>
      <c r="E475">
        <v>55</v>
      </c>
      <c r="F475" t="str" cm="1">
        <f t="array" ref="F475">_xlfn.IFS(EmployeeData[[#This Row],[Age]]&lt;30,"20s",EmployeeData[[#This Row],[Age]]&lt;40,"30s",EmployeeData[[#This Row],[Age]]&lt;50,"40s",EmployeeData[[#This Row],[Age]]&lt;60,"50s",EmployeeData[[#This Row],[Age]]&gt;=60,"60s")</f>
        <v>50s</v>
      </c>
      <c r="G475" s="5">
        <v>45162</v>
      </c>
      <c r="I475" t="s">
        <v>17</v>
      </c>
      <c r="J475" t="s">
        <v>18</v>
      </c>
      <c r="K475" cm="1">
        <f t="array" aca="1" ref="K475" ca="1">_xlfn.IFS(EmployeeData[[#This Row],[Status]]="Active",_xlfn.DAYS(TODAY(),EmployeeData[[#This Row],[Join Date]]),EmployeeData[[#This Row],[Status]]="Exited",_xlfn.DAYS(EmployeeData[[#This Row],[Exit Date]],EmployeeData[[#This Row],[Join Date]]))</f>
        <v>1035</v>
      </c>
      <c r="L475" cm="1">
        <f t="array" aca="1" ref="L475" ca="1">_xlfn.IFS(EmployeeData[[#This Row],[Status]]="Exited",DATEDIF(EmployeeData[[#This Row],[Join Date]], EmployeeData[[#This Row],[Exit Date]], "Y"),EmployeeData[[#This Row],[Status]]="Active",DATEDIF(EmployeeData[[#This Row],[Join Date]], TODAY(), "Y"))</f>
        <v>2</v>
      </c>
      <c r="Q475" t="str" cm="1">
        <f t="array" aca="1" ref="Q4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0 days</v>
      </c>
    </row>
    <row r="476" spans="1:17" hidden="1" x14ac:dyDescent="0.3">
      <c r="A476">
        <v>1475</v>
      </c>
      <c r="B476" t="s">
        <v>76</v>
      </c>
      <c r="C476" t="s">
        <v>46</v>
      </c>
      <c r="D476" t="s">
        <v>24</v>
      </c>
      <c r="E476">
        <v>21</v>
      </c>
      <c r="F476" t="str" cm="1">
        <f t="array" ref="F476">_xlfn.IFS(EmployeeData[[#This Row],[Age]]&lt;30,"20s",EmployeeData[[#This Row],[Age]]&lt;40,"30s",EmployeeData[[#This Row],[Age]]&lt;50,"40s",EmployeeData[[#This Row],[Age]]&lt;60,"50s",EmployeeData[[#This Row],[Age]]&gt;=60,"60s")</f>
        <v>20s</v>
      </c>
      <c r="G476" s="5">
        <v>45880</v>
      </c>
      <c r="I476" t="s">
        <v>17</v>
      </c>
      <c r="J476" t="s">
        <v>18</v>
      </c>
      <c r="K476" cm="1">
        <f t="array" aca="1" ref="K476" ca="1">_xlfn.IFS(EmployeeData[[#This Row],[Status]]="Active",_xlfn.DAYS(TODAY(),EmployeeData[[#This Row],[Join Date]]),EmployeeData[[#This Row],[Status]]="Exited",_xlfn.DAYS(EmployeeData[[#This Row],[Exit Date]],EmployeeData[[#This Row],[Join Date]]))</f>
        <v>317</v>
      </c>
      <c r="L476" cm="1">
        <f t="array" aca="1" ref="L476" ca="1">_xlfn.IFS(EmployeeData[[#This Row],[Status]]="Exited",DATEDIF(EmployeeData[[#This Row],[Join Date]], EmployeeData[[#This Row],[Exit Date]], "Y"),EmployeeData[[#This Row],[Status]]="Active",DATEDIF(EmployeeData[[#This Row],[Join Date]], TODAY(), "Y"))</f>
        <v>0</v>
      </c>
      <c r="Q476" t="str" cm="1">
        <f t="array" aca="1" ref="Q4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477" spans="1:17" hidden="1" x14ac:dyDescent="0.3">
      <c r="A477">
        <v>1476</v>
      </c>
      <c r="B477" t="s">
        <v>1025</v>
      </c>
      <c r="C477" t="s">
        <v>20</v>
      </c>
      <c r="D477" t="s">
        <v>24</v>
      </c>
      <c r="E477">
        <v>51</v>
      </c>
      <c r="F477" t="str" cm="1">
        <f t="array" ref="F477">_xlfn.IFS(EmployeeData[[#This Row],[Age]]&lt;30,"20s",EmployeeData[[#This Row],[Age]]&lt;40,"30s",EmployeeData[[#This Row],[Age]]&lt;50,"40s",EmployeeData[[#This Row],[Age]]&lt;60,"50s",EmployeeData[[#This Row],[Age]]&gt;=60,"60s")</f>
        <v>50s</v>
      </c>
      <c r="G477" s="5">
        <v>44662</v>
      </c>
      <c r="H477" s="5">
        <v>46178</v>
      </c>
      <c r="I477" t="s">
        <v>65</v>
      </c>
      <c r="J477" t="s">
        <v>13</v>
      </c>
      <c r="K477" cm="1">
        <f t="array" aca="1" ref="K477" ca="1">_xlfn.IFS(EmployeeData[[#This Row],[Status]]="Active",_xlfn.DAYS(TODAY(),EmployeeData[[#This Row],[Join Date]]),EmployeeData[[#This Row],[Status]]="Exited",_xlfn.DAYS(EmployeeData[[#This Row],[Exit Date]],EmployeeData[[#This Row],[Join Date]]))</f>
        <v>1516</v>
      </c>
      <c r="L477" cm="1">
        <f t="array" aca="1" ref="L477" ca="1">_xlfn.IFS(EmployeeData[[#This Row],[Status]]="Exited",DATEDIF(EmployeeData[[#This Row],[Join Date]], EmployeeData[[#This Row],[Exit Date]], "Y"),EmployeeData[[#This Row],[Status]]="Active",DATEDIF(EmployeeData[[#This Row],[Join Date]], TODAY(), "Y"))</f>
        <v>4</v>
      </c>
      <c r="Q477" t="str" cm="1">
        <f t="array" aca="1" ref="Q4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478" spans="1:17" hidden="1" x14ac:dyDescent="0.3">
      <c r="A478">
        <v>1477</v>
      </c>
      <c r="B478" t="s">
        <v>430</v>
      </c>
      <c r="C478" t="s">
        <v>46</v>
      </c>
      <c r="D478" t="s">
        <v>16</v>
      </c>
      <c r="E478">
        <v>55</v>
      </c>
      <c r="F478" t="str" cm="1">
        <f t="array" ref="F478">_xlfn.IFS(EmployeeData[[#This Row],[Age]]&lt;30,"20s",EmployeeData[[#This Row],[Age]]&lt;40,"30s",EmployeeData[[#This Row],[Age]]&lt;50,"40s",EmployeeData[[#This Row],[Age]]&lt;60,"50s",EmployeeData[[#This Row],[Age]]&gt;=60,"60s")</f>
        <v>50s</v>
      </c>
      <c r="G478" s="5">
        <v>44774</v>
      </c>
      <c r="H478" s="5">
        <v>44875</v>
      </c>
      <c r="I478" t="s">
        <v>34</v>
      </c>
      <c r="J478" t="s">
        <v>13</v>
      </c>
      <c r="K478" cm="1">
        <f t="array" aca="1" ref="K478" ca="1">_xlfn.IFS(EmployeeData[[#This Row],[Status]]="Active",_xlfn.DAYS(TODAY(),EmployeeData[[#This Row],[Join Date]]),EmployeeData[[#This Row],[Status]]="Exited",_xlfn.DAYS(EmployeeData[[#This Row],[Exit Date]],EmployeeData[[#This Row],[Join Date]]))</f>
        <v>101</v>
      </c>
      <c r="L478" cm="1">
        <f t="array" aca="1" ref="L478" ca="1">_xlfn.IFS(EmployeeData[[#This Row],[Status]]="Exited",DATEDIF(EmployeeData[[#This Row],[Join Date]], EmployeeData[[#This Row],[Exit Date]], "Y"),EmployeeData[[#This Row],[Status]]="Active",DATEDIF(EmployeeData[[#This Row],[Join Date]], TODAY(), "Y"))</f>
        <v>0</v>
      </c>
      <c r="Q478" t="str" cm="1">
        <f t="array" aca="1" ref="Q4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79" spans="1:17" hidden="1" x14ac:dyDescent="0.3">
      <c r="A479">
        <v>1478</v>
      </c>
      <c r="B479" t="s">
        <v>348</v>
      </c>
      <c r="C479" t="s">
        <v>10</v>
      </c>
      <c r="D479" t="s">
        <v>16</v>
      </c>
      <c r="E479">
        <v>41</v>
      </c>
      <c r="F479" t="str" cm="1">
        <f t="array" ref="F479">_xlfn.IFS(EmployeeData[[#This Row],[Age]]&lt;30,"20s",EmployeeData[[#This Row],[Age]]&lt;40,"30s",EmployeeData[[#This Row],[Age]]&lt;50,"40s",EmployeeData[[#This Row],[Age]]&lt;60,"50s",EmployeeData[[#This Row],[Age]]&gt;=60,"60s")</f>
        <v>40s</v>
      </c>
      <c r="G479" s="5">
        <v>44775</v>
      </c>
      <c r="H479" s="5">
        <v>45181</v>
      </c>
      <c r="I479" t="s">
        <v>12</v>
      </c>
      <c r="J479" t="s">
        <v>13</v>
      </c>
      <c r="K479" cm="1">
        <f t="array" aca="1" ref="K479" ca="1">_xlfn.IFS(EmployeeData[[#This Row],[Status]]="Active",_xlfn.DAYS(TODAY(),EmployeeData[[#This Row],[Join Date]]),EmployeeData[[#This Row],[Status]]="Exited",_xlfn.DAYS(EmployeeData[[#This Row],[Exit Date]],EmployeeData[[#This Row],[Join Date]]))</f>
        <v>406</v>
      </c>
      <c r="L479" cm="1">
        <f t="array" aca="1" ref="L479" ca="1">_xlfn.IFS(EmployeeData[[#This Row],[Status]]="Exited",DATEDIF(EmployeeData[[#This Row],[Join Date]], EmployeeData[[#This Row],[Exit Date]], "Y"),EmployeeData[[#This Row],[Status]]="Active",DATEDIF(EmployeeData[[#This Row],[Join Date]], TODAY(), "Y"))</f>
        <v>1</v>
      </c>
      <c r="Q479" t="str" cm="1">
        <f t="array" aca="1" ref="Q4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480" spans="1:17" hidden="1" x14ac:dyDescent="0.3">
      <c r="A480">
        <v>1479</v>
      </c>
      <c r="B480" t="s">
        <v>150</v>
      </c>
      <c r="C480" t="s">
        <v>10</v>
      </c>
      <c r="D480" t="s">
        <v>24</v>
      </c>
      <c r="E480">
        <v>38</v>
      </c>
      <c r="F480" t="str" cm="1">
        <f t="array" ref="F480">_xlfn.IFS(EmployeeData[[#This Row],[Age]]&lt;30,"20s",EmployeeData[[#This Row],[Age]]&lt;40,"30s",EmployeeData[[#This Row],[Age]]&lt;50,"40s",EmployeeData[[#This Row],[Age]]&lt;60,"50s",EmployeeData[[#This Row],[Age]]&gt;=60,"60s")</f>
        <v>30s</v>
      </c>
      <c r="G480" s="5">
        <v>45888</v>
      </c>
      <c r="I480" t="s">
        <v>17</v>
      </c>
      <c r="J480" t="s">
        <v>18</v>
      </c>
      <c r="K480" cm="1">
        <f t="array" aca="1" ref="K480" ca="1">_xlfn.IFS(EmployeeData[[#This Row],[Status]]="Active",_xlfn.DAYS(TODAY(),EmployeeData[[#This Row],[Join Date]]),EmployeeData[[#This Row],[Status]]="Exited",_xlfn.DAYS(EmployeeData[[#This Row],[Exit Date]],EmployeeData[[#This Row],[Join Date]]))</f>
        <v>309</v>
      </c>
      <c r="L480" cm="1">
        <f t="array" aca="1" ref="L480" ca="1">_xlfn.IFS(EmployeeData[[#This Row],[Status]]="Exited",DATEDIF(EmployeeData[[#This Row],[Join Date]], EmployeeData[[#This Row],[Exit Date]], "Y"),EmployeeData[[#This Row],[Status]]="Active",DATEDIF(EmployeeData[[#This Row],[Join Date]], TODAY(), "Y"))</f>
        <v>0</v>
      </c>
      <c r="Q480" t="str" cm="1">
        <f t="array" aca="1" ref="Q4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481" spans="1:17" hidden="1" x14ac:dyDescent="0.3">
      <c r="A481">
        <v>1480</v>
      </c>
      <c r="B481" t="s">
        <v>896</v>
      </c>
      <c r="C481" t="s">
        <v>15</v>
      </c>
      <c r="D481" t="s">
        <v>24</v>
      </c>
      <c r="E481">
        <v>51</v>
      </c>
      <c r="F481" t="str" cm="1">
        <f t="array" ref="F481">_xlfn.IFS(EmployeeData[[#This Row],[Age]]&lt;30,"20s",EmployeeData[[#This Row],[Age]]&lt;40,"30s",EmployeeData[[#This Row],[Age]]&lt;50,"40s",EmployeeData[[#This Row],[Age]]&lt;60,"50s",EmployeeData[[#This Row],[Age]]&gt;=60,"60s")</f>
        <v>50s</v>
      </c>
      <c r="G481" s="5">
        <v>44140</v>
      </c>
      <c r="I481" t="s">
        <v>17</v>
      </c>
      <c r="J481" t="s">
        <v>18</v>
      </c>
      <c r="K481" cm="1">
        <f t="array" aca="1" ref="K481" ca="1">_xlfn.IFS(EmployeeData[[#This Row],[Status]]="Active",_xlfn.DAYS(TODAY(),EmployeeData[[#This Row],[Join Date]]),EmployeeData[[#This Row],[Status]]="Exited",_xlfn.DAYS(EmployeeData[[#This Row],[Exit Date]],EmployeeData[[#This Row],[Join Date]]))</f>
        <v>2057</v>
      </c>
      <c r="L481" cm="1">
        <f t="array" aca="1" ref="L481" ca="1">_xlfn.IFS(EmployeeData[[#This Row],[Status]]="Exited",DATEDIF(EmployeeData[[#This Row],[Join Date]], EmployeeData[[#This Row],[Exit Date]], "Y"),EmployeeData[[#This Row],[Status]]="Active",DATEDIF(EmployeeData[[#This Row],[Join Date]], TODAY(), "Y"))</f>
        <v>5</v>
      </c>
      <c r="Q481" t="str" cm="1">
        <f t="array" aca="1" ref="Q4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19 days</v>
      </c>
    </row>
    <row r="482" spans="1:17" hidden="1" x14ac:dyDescent="0.3">
      <c r="A482">
        <v>1481</v>
      </c>
      <c r="B482" t="s">
        <v>447</v>
      </c>
      <c r="C482" t="s">
        <v>10</v>
      </c>
      <c r="D482" t="s">
        <v>16</v>
      </c>
      <c r="E482">
        <v>28</v>
      </c>
      <c r="F482" t="str" cm="1">
        <f t="array" ref="F482">_xlfn.IFS(EmployeeData[[#This Row],[Age]]&lt;30,"20s",EmployeeData[[#This Row],[Age]]&lt;40,"30s",EmployeeData[[#This Row],[Age]]&lt;50,"40s",EmployeeData[[#This Row],[Age]]&lt;60,"50s",EmployeeData[[#This Row],[Age]]&gt;=60,"60s")</f>
        <v>20s</v>
      </c>
      <c r="G482" s="5">
        <v>44042</v>
      </c>
      <c r="I482" t="s">
        <v>17</v>
      </c>
      <c r="J482" t="s">
        <v>18</v>
      </c>
      <c r="K482" cm="1">
        <f t="array" aca="1" ref="K482" ca="1">_xlfn.IFS(EmployeeData[[#This Row],[Status]]="Active",_xlfn.DAYS(TODAY(),EmployeeData[[#This Row],[Join Date]]),EmployeeData[[#This Row],[Status]]="Exited",_xlfn.DAYS(EmployeeData[[#This Row],[Exit Date]],EmployeeData[[#This Row],[Join Date]]))</f>
        <v>2155</v>
      </c>
      <c r="L482" cm="1">
        <f t="array" aca="1" ref="L482" ca="1">_xlfn.IFS(EmployeeData[[#This Row],[Status]]="Exited",DATEDIF(EmployeeData[[#This Row],[Join Date]], EmployeeData[[#This Row],[Exit Date]], "Y"),EmployeeData[[#This Row],[Status]]="Active",DATEDIF(EmployeeData[[#This Row],[Join Date]], TODAY(), "Y"))</f>
        <v>5</v>
      </c>
      <c r="Q482" t="str" cm="1">
        <f t="array" aca="1" ref="Q4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25 days</v>
      </c>
    </row>
    <row r="483" spans="1:17" hidden="1" x14ac:dyDescent="0.3">
      <c r="A483">
        <v>1482</v>
      </c>
      <c r="B483" t="s">
        <v>334</v>
      </c>
      <c r="C483" t="s">
        <v>33</v>
      </c>
      <c r="D483" t="s">
        <v>11</v>
      </c>
      <c r="E483">
        <v>24</v>
      </c>
      <c r="F483" t="str" cm="1">
        <f t="array" ref="F483">_xlfn.IFS(EmployeeData[[#This Row],[Age]]&lt;30,"20s",EmployeeData[[#This Row],[Age]]&lt;40,"30s",EmployeeData[[#This Row],[Age]]&lt;50,"40s",EmployeeData[[#This Row],[Age]]&lt;60,"50s",EmployeeData[[#This Row],[Age]]&gt;=60,"60s")</f>
        <v>20s</v>
      </c>
      <c r="G483" s="5">
        <v>43759</v>
      </c>
      <c r="I483" t="s">
        <v>17</v>
      </c>
      <c r="J483" t="s">
        <v>18</v>
      </c>
      <c r="K483" cm="1">
        <f t="array" aca="1" ref="K483" ca="1">_xlfn.IFS(EmployeeData[[#This Row],[Status]]="Active",_xlfn.DAYS(TODAY(),EmployeeData[[#This Row],[Join Date]]),EmployeeData[[#This Row],[Status]]="Exited",_xlfn.DAYS(EmployeeData[[#This Row],[Exit Date]],EmployeeData[[#This Row],[Join Date]]))</f>
        <v>2438</v>
      </c>
      <c r="L483" cm="1">
        <f t="array" aca="1" ref="L483" ca="1">_xlfn.IFS(EmployeeData[[#This Row],[Status]]="Exited",DATEDIF(EmployeeData[[#This Row],[Join Date]], EmployeeData[[#This Row],[Exit Date]], "Y"),EmployeeData[[#This Row],[Status]]="Active",DATEDIF(EmployeeData[[#This Row],[Join Date]], TODAY(), "Y"))</f>
        <v>6</v>
      </c>
      <c r="Q483" t="str" cm="1">
        <f t="array" aca="1" ref="Q4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3 days</v>
      </c>
    </row>
    <row r="484" spans="1:17" x14ac:dyDescent="0.3">
      <c r="A484">
        <v>1483</v>
      </c>
      <c r="B484" t="s">
        <v>725</v>
      </c>
      <c r="C484" t="s">
        <v>23</v>
      </c>
      <c r="D484" t="s">
        <v>24</v>
      </c>
      <c r="E484">
        <v>26</v>
      </c>
      <c r="F484" t="str" cm="1">
        <f t="array" ref="F484">_xlfn.IFS(EmployeeData[[#This Row],[Age]]&lt;30,"20s",EmployeeData[[#This Row],[Age]]&lt;40,"30s",EmployeeData[[#This Row],[Age]]&lt;50,"40s",EmployeeData[[#This Row],[Age]]&lt;60,"50s",EmployeeData[[#This Row],[Age]]&gt;=60,"60s")</f>
        <v>20s</v>
      </c>
      <c r="G484" s="5">
        <v>43363</v>
      </c>
      <c r="H484" s="5">
        <v>44971</v>
      </c>
      <c r="I484" t="s">
        <v>31</v>
      </c>
      <c r="J484" t="s">
        <v>13</v>
      </c>
      <c r="K484" cm="1">
        <f t="array" aca="1" ref="K484" ca="1">_xlfn.IFS(EmployeeData[[#This Row],[Status]]="Active",_xlfn.DAYS(TODAY(),EmployeeData[[#This Row],[Join Date]]),EmployeeData[[#This Row],[Status]]="Exited",_xlfn.DAYS(EmployeeData[[#This Row],[Exit Date]],EmployeeData[[#This Row],[Join Date]]))</f>
        <v>1608</v>
      </c>
      <c r="L484" cm="1">
        <f t="array" aca="1" ref="L484" ca="1">_xlfn.IFS(EmployeeData[[#This Row],[Status]]="Exited",DATEDIF(EmployeeData[[#This Row],[Join Date]], EmployeeData[[#This Row],[Exit Date]], "Y"),EmployeeData[[#This Row],[Status]]="Active",DATEDIF(EmployeeData[[#This Row],[Join Date]], TODAY(), "Y"))</f>
        <v>4</v>
      </c>
      <c r="Q484" t="str" cm="1">
        <f t="array" aca="1" ref="Q4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485" spans="1:17" hidden="1" x14ac:dyDescent="0.3">
      <c r="A485">
        <v>1484</v>
      </c>
      <c r="B485" t="s">
        <v>347</v>
      </c>
      <c r="C485" t="s">
        <v>23</v>
      </c>
      <c r="D485" t="s">
        <v>24</v>
      </c>
      <c r="E485">
        <v>24</v>
      </c>
      <c r="F485" t="str" cm="1">
        <f t="array" ref="F485">_xlfn.IFS(EmployeeData[[#This Row],[Age]]&lt;30,"20s",EmployeeData[[#This Row],[Age]]&lt;40,"30s",EmployeeData[[#This Row],[Age]]&lt;50,"40s",EmployeeData[[#This Row],[Age]]&lt;60,"50s",EmployeeData[[#This Row],[Age]]&gt;=60,"60s")</f>
        <v>20s</v>
      </c>
      <c r="G485" s="5">
        <v>43818</v>
      </c>
      <c r="I485" t="s">
        <v>17</v>
      </c>
      <c r="J485" t="s">
        <v>18</v>
      </c>
      <c r="K485" cm="1">
        <f t="array" aca="1" ref="K485" ca="1">_xlfn.IFS(EmployeeData[[#This Row],[Status]]="Active",_xlfn.DAYS(TODAY(),EmployeeData[[#This Row],[Join Date]]),EmployeeData[[#This Row],[Status]]="Exited",_xlfn.DAYS(EmployeeData[[#This Row],[Exit Date]],EmployeeData[[#This Row],[Join Date]]))</f>
        <v>2379</v>
      </c>
      <c r="L485" cm="1">
        <f t="array" aca="1" ref="L485" ca="1">_xlfn.IFS(EmployeeData[[#This Row],[Status]]="Exited",DATEDIF(EmployeeData[[#This Row],[Join Date]], EmployeeData[[#This Row],[Exit Date]], "Y"),EmployeeData[[#This Row],[Status]]="Active",DATEDIF(EmployeeData[[#This Row],[Join Date]], TODAY(), "Y"))</f>
        <v>6</v>
      </c>
      <c r="Q485" t="str" cm="1">
        <f t="array" aca="1" ref="Q4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5 days</v>
      </c>
    </row>
    <row r="486" spans="1:17" hidden="1" x14ac:dyDescent="0.3">
      <c r="A486">
        <v>1485</v>
      </c>
      <c r="B486" t="s">
        <v>945</v>
      </c>
      <c r="C486" t="s">
        <v>15</v>
      </c>
      <c r="D486" t="s">
        <v>11</v>
      </c>
      <c r="E486">
        <v>53</v>
      </c>
      <c r="F486" t="str" cm="1">
        <f t="array" ref="F486">_xlfn.IFS(EmployeeData[[#This Row],[Age]]&lt;30,"20s",EmployeeData[[#This Row],[Age]]&lt;40,"30s",EmployeeData[[#This Row],[Age]]&lt;50,"40s",EmployeeData[[#This Row],[Age]]&lt;60,"50s",EmployeeData[[#This Row],[Age]]&gt;=60,"60s")</f>
        <v>50s</v>
      </c>
      <c r="G486" s="5">
        <v>45213</v>
      </c>
      <c r="I486" t="s">
        <v>17</v>
      </c>
      <c r="J486" t="s">
        <v>18</v>
      </c>
      <c r="K486" cm="1">
        <f t="array" aca="1" ref="K486" ca="1">_xlfn.IFS(EmployeeData[[#This Row],[Status]]="Active",_xlfn.DAYS(TODAY(),EmployeeData[[#This Row],[Join Date]]),EmployeeData[[#This Row],[Status]]="Exited",_xlfn.DAYS(EmployeeData[[#This Row],[Exit Date]],EmployeeData[[#This Row],[Join Date]]))</f>
        <v>984</v>
      </c>
      <c r="L486" cm="1">
        <f t="array" aca="1" ref="L486" ca="1">_xlfn.IFS(EmployeeData[[#This Row],[Status]]="Exited",DATEDIF(EmployeeData[[#This Row],[Join Date]], EmployeeData[[#This Row],[Exit Date]], "Y"),EmployeeData[[#This Row],[Status]]="Active",DATEDIF(EmployeeData[[#This Row],[Join Date]], TODAY(), "Y"))</f>
        <v>2</v>
      </c>
      <c r="Q486" t="str" cm="1">
        <f t="array" aca="1" ref="Q4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10 days</v>
      </c>
    </row>
    <row r="487" spans="1:17" x14ac:dyDescent="0.3">
      <c r="A487">
        <v>1486</v>
      </c>
      <c r="B487" t="s">
        <v>938</v>
      </c>
      <c r="C487" t="s">
        <v>10</v>
      </c>
      <c r="D487" t="s">
        <v>24</v>
      </c>
      <c r="E487">
        <v>31</v>
      </c>
      <c r="F487" t="str" cm="1">
        <f t="array" ref="F487">_xlfn.IFS(EmployeeData[[#This Row],[Age]]&lt;30,"20s",EmployeeData[[#This Row],[Age]]&lt;40,"30s",EmployeeData[[#This Row],[Age]]&lt;50,"40s",EmployeeData[[#This Row],[Age]]&lt;60,"50s",EmployeeData[[#This Row],[Age]]&gt;=60,"60s")</f>
        <v>30s</v>
      </c>
      <c r="G487" s="5">
        <v>43456</v>
      </c>
      <c r="I487" t="s">
        <v>17</v>
      </c>
      <c r="J487" t="s">
        <v>18</v>
      </c>
      <c r="K487" cm="1">
        <f t="array" aca="1" ref="K487" ca="1">_xlfn.IFS(EmployeeData[[#This Row],[Status]]="Active",_xlfn.DAYS(TODAY(),EmployeeData[[#This Row],[Join Date]]),EmployeeData[[#This Row],[Status]]="Exited",_xlfn.DAYS(EmployeeData[[#This Row],[Exit Date]],EmployeeData[[#This Row],[Join Date]]))</f>
        <v>2741</v>
      </c>
      <c r="L487" cm="1">
        <f t="array" aca="1" ref="L487" ca="1">_xlfn.IFS(EmployeeData[[#This Row],[Status]]="Exited",DATEDIF(EmployeeData[[#This Row],[Join Date]], EmployeeData[[#This Row],[Exit Date]], "Y"),EmployeeData[[#This Row],[Status]]="Active",DATEDIF(EmployeeData[[#This Row],[Join Date]], TODAY(), "Y"))</f>
        <v>7</v>
      </c>
      <c r="Q487" t="str" cm="1">
        <f t="array" aca="1" ref="Q4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 days</v>
      </c>
    </row>
    <row r="488" spans="1:17" hidden="1" x14ac:dyDescent="0.3">
      <c r="A488">
        <v>1487</v>
      </c>
      <c r="B488" t="s">
        <v>880</v>
      </c>
      <c r="C488" t="s">
        <v>10</v>
      </c>
      <c r="D488" t="s">
        <v>16</v>
      </c>
      <c r="E488">
        <v>21</v>
      </c>
      <c r="F488" t="str" cm="1">
        <f t="array" ref="F488">_xlfn.IFS(EmployeeData[[#This Row],[Age]]&lt;30,"20s",EmployeeData[[#This Row],[Age]]&lt;40,"30s",EmployeeData[[#This Row],[Age]]&lt;50,"40s",EmployeeData[[#This Row],[Age]]&lt;60,"50s",EmployeeData[[#This Row],[Age]]&gt;=60,"60s")</f>
        <v>20s</v>
      </c>
      <c r="G488" s="5">
        <v>45983</v>
      </c>
      <c r="H488" s="5">
        <v>46084</v>
      </c>
      <c r="I488" t="s">
        <v>65</v>
      </c>
      <c r="J488" t="s">
        <v>13</v>
      </c>
      <c r="K488" cm="1">
        <f t="array" aca="1" ref="K488" ca="1">_xlfn.IFS(EmployeeData[[#This Row],[Status]]="Active",_xlfn.DAYS(TODAY(),EmployeeData[[#This Row],[Join Date]]),EmployeeData[[#This Row],[Status]]="Exited",_xlfn.DAYS(EmployeeData[[#This Row],[Exit Date]],EmployeeData[[#This Row],[Join Date]]))</f>
        <v>101</v>
      </c>
      <c r="L488" cm="1">
        <f t="array" aca="1" ref="L488" ca="1">_xlfn.IFS(EmployeeData[[#This Row],[Status]]="Exited",DATEDIF(EmployeeData[[#This Row],[Join Date]], EmployeeData[[#This Row],[Exit Date]], "Y"),EmployeeData[[#This Row],[Status]]="Active",DATEDIF(EmployeeData[[#This Row],[Join Date]], TODAY(), "Y"))</f>
        <v>0</v>
      </c>
      <c r="Q488" t="str" cm="1">
        <f t="array" aca="1" ref="Q4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89" spans="1:17" hidden="1" x14ac:dyDescent="0.3">
      <c r="A489">
        <v>1488</v>
      </c>
      <c r="B489" t="s">
        <v>831</v>
      </c>
      <c r="C489" t="s">
        <v>15</v>
      </c>
      <c r="D489" t="s">
        <v>11</v>
      </c>
      <c r="E489">
        <v>50</v>
      </c>
      <c r="F489" t="str" cm="1">
        <f t="array" ref="F489">_xlfn.IFS(EmployeeData[[#This Row],[Age]]&lt;30,"20s",EmployeeData[[#This Row],[Age]]&lt;40,"30s",EmployeeData[[#This Row],[Age]]&lt;50,"40s",EmployeeData[[#This Row],[Age]]&lt;60,"50s",EmployeeData[[#This Row],[Age]]&gt;=60,"60s")</f>
        <v>50s</v>
      </c>
      <c r="G489" s="5">
        <v>44755</v>
      </c>
      <c r="I489" t="s">
        <v>17</v>
      </c>
      <c r="J489" t="s">
        <v>18</v>
      </c>
      <c r="K489" cm="1">
        <f t="array" aca="1" ref="K489" ca="1">_xlfn.IFS(EmployeeData[[#This Row],[Status]]="Active",_xlfn.DAYS(TODAY(),EmployeeData[[#This Row],[Join Date]]),EmployeeData[[#This Row],[Status]]="Exited",_xlfn.DAYS(EmployeeData[[#This Row],[Exit Date]],EmployeeData[[#This Row],[Join Date]]))</f>
        <v>1442</v>
      </c>
      <c r="L489" cm="1">
        <f t="array" aca="1" ref="L489" ca="1">_xlfn.IFS(EmployeeData[[#This Row],[Status]]="Exited",DATEDIF(EmployeeData[[#This Row],[Join Date]], EmployeeData[[#This Row],[Exit Date]], "Y"),EmployeeData[[#This Row],[Status]]="Active",DATEDIF(EmployeeData[[#This Row],[Join Date]], TODAY(), "Y"))</f>
        <v>3</v>
      </c>
      <c r="Q489" t="str" cm="1">
        <f t="array" aca="1" ref="Q4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11 days</v>
      </c>
    </row>
    <row r="490" spans="1:17" hidden="1" x14ac:dyDescent="0.3">
      <c r="A490">
        <v>1489</v>
      </c>
      <c r="B490" t="s">
        <v>498</v>
      </c>
      <c r="C490" t="s">
        <v>23</v>
      </c>
      <c r="D490" t="s">
        <v>24</v>
      </c>
      <c r="E490">
        <v>42</v>
      </c>
      <c r="F490" t="str" cm="1">
        <f t="array" ref="F490">_xlfn.IFS(EmployeeData[[#This Row],[Age]]&lt;30,"20s",EmployeeData[[#This Row],[Age]]&lt;40,"30s",EmployeeData[[#This Row],[Age]]&lt;50,"40s",EmployeeData[[#This Row],[Age]]&lt;60,"50s",EmployeeData[[#This Row],[Age]]&gt;=60,"60s")</f>
        <v>40s</v>
      </c>
      <c r="G490" s="5">
        <v>43580</v>
      </c>
      <c r="I490" t="s">
        <v>17</v>
      </c>
      <c r="J490" t="s">
        <v>18</v>
      </c>
      <c r="K490" cm="1">
        <f t="array" aca="1" ref="K490" ca="1">_xlfn.IFS(EmployeeData[[#This Row],[Status]]="Active",_xlfn.DAYS(TODAY(),EmployeeData[[#This Row],[Join Date]]),EmployeeData[[#This Row],[Status]]="Exited",_xlfn.DAYS(EmployeeData[[#This Row],[Exit Date]],EmployeeData[[#This Row],[Join Date]]))</f>
        <v>2617</v>
      </c>
      <c r="L490" cm="1">
        <f t="array" aca="1" ref="L490" ca="1">_xlfn.IFS(EmployeeData[[#This Row],[Status]]="Exited",DATEDIF(EmployeeData[[#This Row],[Join Date]], EmployeeData[[#This Row],[Exit Date]], "Y"),EmployeeData[[#This Row],[Status]]="Active",DATEDIF(EmployeeData[[#This Row],[Join Date]], TODAY(), "Y"))</f>
        <v>7</v>
      </c>
      <c r="Q490" t="str" cm="1">
        <f t="array" aca="1" ref="Q4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30 days</v>
      </c>
    </row>
    <row r="491" spans="1:17" hidden="1" x14ac:dyDescent="0.3">
      <c r="A491">
        <v>1490</v>
      </c>
      <c r="B491" t="s">
        <v>350</v>
      </c>
      <c r="C491" t="s">
        <v>23</v>
      </c>
      <c r="D491" t="s">
        <v>11</v>
      </c>
      <c r="E491">
        <v>45</v>
      </c>
      <c r="F491" t="str" cm="1">
        <f t="array" ref="F491">_xlfn.IFS(EmployeeData[[#This Row],[Age]]&lt;30,"20s",EmployeeData[[#This Row],[Age]]&lt;40,"30s",EmployeeData[[#This Row],[Age]]&lt;50,"40s",EmployeeData[[#This Row],[Age]]&lt;60,"50s",EmployeeData[[#This Row],[Age]]&gt;=60,"60s")</f>
        <v>40s</v>
      </c>
      <c r="G491" s="5">
        <v>45407</v>
      </c>
      <c r="I491" t="s">
        <v>17</v>
      </c>
      <c r="J491" t="s">
        <v>18</v>
      </c>
      <c r="K491" cm="1">
        <f t="array" aca="1" ref="K491" ca="1">_xlfn.IFS(EmployeeData[[#This Row],[Status]]="Active",_xlfn.DAYS(TODAY(),EmployeeData[[#This Row],[Join Date]]),EmployeeData[[#This Row],[Status]]="Exited",_xlfn.DAYS(EmployeeData[[#This Row],[Exit Date]],EmployeeData[[#This Row],[Join Date]]))</f>
        <v>790</v>
      </c>
      <c r="L491" cm="1">
        <f t="array" aca="1" ref="L491" ca="1">_xlfn.IFS(EmployeeData[[#This Row],[Status]]="Exited",DATEDIF(EmployeeData[[#This Row],[Join Date]], EmployeeData[[#This Row],[Exit Date]], "Y"),EmployeeData[[#This Row],[Status]]="Active",DATEDIF(EmployeeData[[#This Row],[Join Date]], TODAY(), "Y"))</f>
        <v>2</v>
      </c>
      <c r="Q491" t="str" cm="1">
        <f t="array" aca="1" ref="Q4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30 days</v>
      </c>
    </row>
    <row r="492" spans="1:17" x14ac:dyDescent="0.3">
      <c r="A492">
        <v>1491</v>
      </c>
      <c r="B492" t="s">
        <v>1057</v>
      </c>
      <c r="C492" t="s">
        <v>10</v>
      </c>
      <c r="D492" t="s">
        <v>24</v>
      </c>
      <c r="E492">
        <v>58</v>
      </c>
      <c r="F492" t="str" cm="1">
        <f t="array" ref="F492">_xlfn.IFS(EmployeeData[[#This Row],[Age]]&lt;30,"20s",EmployeeData[[#This Row],[Age]]&lt;40,"30s",EmployeeData[[#This Row],[Age]]&lt;50,"40s",EmployeeData[[#This Row],[Age]]&lt;60,"50s",EmployeeData[[#This Row],[Age]]&gt;=60,"60s")</f>
        <v>50s</v>
      </c>
      <c r="G492" s="5">
        <v>43213</v>
      </c>
      <c r="I492" t="s">
        <v>17</v>
      </c>
      <c r="J492" t="s">
        <v>18</v>
      </c>
      <c r="K492" cm="1">
        <f t="array" aca="1" ref="K492" ca="1">_xlfn.IFS(EmployeeData[[#This Row],[Status]]="Active",_xlfn.DAYS(TODAY(),EmployeeData[[#This Row],[Join Date]]),EmployeeData[[#This Row],[Status]]="Exited",_xlfn.DAYS(EmployeeData[[#This Row],[Exit Date]],EmployeeData[[#This Row],[Join Date]]))</f>
        <v>2984</v>
      </c>
      <c r="L492" cm="1">
        <f t="array" aca="1" ref="L492" ca="1">_xlfn.IFS(EmployeeData[[#This Row],[Status]]="Exited",DATEDIF(EmployeeData[[#This Row],[Join Date]], EmployeeData[[#This Row],[Exit Date]], "Y"),EmployeeData[[#This Row],[Status]]="Active",DATEDIF(EmployeeData[[#This Row],[Join Date]], TODAY(), "Y"))</f>
        <v>8</v>
      </c>
      <c r="Q492" t="str" cm="1">
        <f t="array" aca="1" ref="Q4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 days</v>
      </c>
    </row>
    <row r="493" spans="1:17" hidden="1" x14ac:dyDescent="0.3">
      <c r="A493">
        <v>1492</v>
      </c>
      <c r="B493" t="s">
        <v>316</v>
      </c>
      <c r="C493" t="s">
        <v>20</v>
      </c>
      <c r="D493" t="s">
        <v>16</v>
      </c>
      <c r="E493">
        <v>41</v>
      </c>
      <c r="F493" t="str" cm="1">
        <f t="array" ref="F493">_xlfn.IFS(EmployeeData[[#This Row],[Age]]&lt;30,"20s",EmployeeData[[#This Row],[Age]]&lt;40,"30s",EmployeeData[[#This Row],[Age]]&lt;50,"40s",EmployeeData[[#This Row],[Age]]&lt;60,"50s",EmployeeData[[#This Row],[Age]]&gt;=60,"60s")</f>
        <v>40s</v>
      </c>
      <c r="G493" s="5">
        <v>44790</v>
      </c>
      <c r="I493" t="s">
        <v>17</v>
      </c>
      <c r="J493" t="s">
        <v>18</v>
      </c>
      <c r="K493" cm="1">
        <f t="array" aca="1" ref="K493" ca="1">_xlfn.IFS(EmployeeData[[#This Row],[Status]]="Active",_xlfn.DAYS(TODAY(),EmployeeData[[#This Row],[Join Date]]),EmployeeData[[#This Row],[Status]]="Exited",_xlfn.DAYS(EmployeeData[[#This Row],[Exit Date]],EmployeeData[[#This Row],[Join Date]]))</f>
        <v>1407</v>
      </c>
      <c r="L493" cm="1">
        <f t="array" aca="1" ref="L493" ca="1">_xlfn.IFS(EmployeeData[[#This Row],[Status]]="Exited",DATEDIF(EmployeeData[[#This Row],[Join Date]], EmployeeData[[#This Row],[Exit Date]], "Y"),EmployeeData[[#This Row],[Status]]="Active",DATEDIF(EmployeeData[[#This Row],[Join Date]], TODAY(), "Y"))</f>
        <v>3</v>
      </c>
      <c r="Q493" t="str" cm="1">
        <f t="array" aca="1" ref="Q4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7 days</v>
      </c>
    </row>
    <row r="494" spans="1:17" x14ac:dyDescent="0.3">
      <c r="A494">
        <v>1493</v>
      </c>
      <c r="B494" t="s">
        <v>884</v>
      </c>
      <c r="C494" t="s">
        <v>10</v>
      </c>
      <c r="D494" t="s">
        <v>16</v>
      </c>
      <c r="E494">
        <v>42</v>
      </c>
      <c r="F494" t="str" cm="1">
        <f t="array" ref="F494">_xlfn.IFS(EmployeeData[[#This Row],[Age]]&lt;30,"20s",EmployeeData[[#This Row],[Age]]&lt;40,"30s",EmployeeData[[#This Row],[Age]]&lt;50,"40s",EmployeeData[[#This Row],[Age]]&lt;60,"50s",EmployeeData[[#This Row],[Age]]&gt;=60,"60s")</f>
        <v>40s</v>
      </c>
      <c r="G494" s="5">
        <v>43412</v>
      </c>
      <c r="I494" t="s">
        <v>17</v>
      </c>
      <c r="J494" t="s">
        <v>18</v>
      </c>
      <c r="K494" cm="1">
        <f t="array" aca="1" ref="K494" ca="1">_xlfn.IFS(EmployeeData[[#This Row],[Status]]="Active",_xlfn.DAYS(TODAY(),EmployeeData[[#This Row],[Join Date]]),EmployeeData[[#This Row],[Status]]="Exited",_xlfn.DAYS(EmployeeData[[#This Row],[Exit Date]],EmployeeData[[#This Row],[Join Date]]))</f>
        <v>2785</v>
      </c>
      <c r="L494" cm="1">
        <f t="array" aca="1" ref="L494" ca="1">_xlfn.IFS(EmployeeData[[#This Row],[Status]]="Exited",DATEDIF(EmployeeData[[#This Row],[Join Date]], EmployeeData[[#This Row],[Exit Date]], "Y"),EmployeeData[[#This Row],[Status]]="Active",DATEDIF(EmployeeData[[#This Row],[Join Date]], TODAY(), "Y"))</f>
        <v>7</v>
      </c>
      <c r="Q494" t="str" cm="1">
        <f t="array" aca="1" ref="Q4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495" spans="1:17" hidden="1" x14ac:dyDescent="0.3">
      <c r="A495">
        <v>1494</v>
      </c>
      <c r="B495" t="s">
        <v>113</v>
      </c>
      <c r="C495" t="s">
        <v>33</v>
      </c>
      <c r="D495" t="s">
        <v>16</v>
      </c>
      <c r="E495">
        <v>33</v>
      </c>
      <c r="F495" t="str" cm="1">
        <f t="array" ref="F495">_xlfn.IFS(EmployeeData[[#This Row],[Age]]&lt;30,"20s",EmployeeData[[#This Row],[Age]]&lt;40,"30s",EmployeeData[[#This Row],[Age]]&lt;50,"40s",EmployeeData[[#This Row],[Age]]&lt;60,"50s",EmployeeData[[#This Row],[Age]]&gt;=60,"60s")</f>
        <v>30s</v>
      </c>
      <c r="G495" s="5">
        <v>45144</v>
      </c>
      <c r="I495" t="s">
        <v>17</v>
      </c>
      <c r="J495" t="s">
        <v>18</v>
      </c>
      <c r="K495" cm="1">
        <f t="array" aca="1" ref="K495" ca="1">_xlfn.IFS(EmployeeData[[#This Row],[Status]]="Active",_xlfn.DAYS(TODAY(),EmployeeData[[#This Row],[Join Date]]),EmployeeData[[#This Row],[Status]]="Exited",_xlfn.DAYS(EmployeeData[[#This Row],[Exit Date]],EmployeeData[[#This Row],[Join Date]]))</f>
        <v>1053</v>
      </c>
      <c r="L495" cm="1">
        <f t="array" aca="1" ref="L495" ca="1">_xlfn.IFS(EmployeeData[[#This Row],[Status]]="Exited",DATEDIF(EmployeeData[[#This Row],[Join Date]], EmployeeData[[#This Row],[Exit Date]], "Y"),EmployeeData[[#This Row],[Status]]="Active",DATEDIF(EmployeeData[[#This Row],[Join Date]], TODAY(), "Y"))</f>
        <v>2</v>
      </c>
      <c r="Q495" t="str" cm="1">
        <f t="array" aca="1" ref="Q4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18 days</v>
      </c>
    </row>
    <row r="496" spans="1:17" hidden="1" x14ac:dyDescent="0.3">
      <c r="A496">
        <v>1495</v>
      </c>
      <c r="B496" t="s">
        <v>445</v>
      </c>
      <c r="C496" t="s">
        <v>15</v>
      </c>
      <c r="D496" t="s">
        <v>16</v>
      </c>
      <c r="E496">
        <v>36</v>
      </c>
      <c r="F496" t="str" cm="1">
        <f t="array" ref="F496">_xlfn.IFS(EmployeeData[[#This Row],[Age]]&lt;30,"20s",EmployeeData[[#This Row],[Age]]&lt;40,"30s",EmployeeData[[#This Row],[Age]]&lt;50,"40s",EmployeeData[[#This Row],[Age]]&lt;60,"50s",EmployeeData[[#This Row],[Age]]&gt;=60,"60s")</f>
        <v>30s</v>
      </c>
      <c r="G496" s="5">
        <v>45634</v>
      </c>
      <c r="H496" s="5">
        <v>46122</v>
      </c>
      <c r="I496" t="s">
        <v>31</v>
      </c>
      <c r="J496" t="s">
        <v>13</v>
      </c>
      <c r="K496" cm="1">
        <f t="array" aca="1" ref="K496" ca="1">_xlfn.IFS(EmployeeData[[#This Row],[Status]]="Active",_xlfn.DAYS(TODAY(),EmployeeData[[#This Row],[Join Date]]),EmployeeData[[#This Row],[Status]]="Exited",_xlfn.DAYS(EmployeeData[[#This Row],[Exit Date]],EmployeeData[[#This Row],[Join Date]]))</f>
        <v>488</v>
      </c>
      <c r="L496" cm="1">
        <f t="array" aca="1" ref="L496" ca="1">_xlfn.IFS(EmployeeData[[#This Row],[Status]]="Exited",DATEDIF(EmployeeData[[#This Row],[Join Date]], EmployeeData[[#This Row],[Exit Date]], "Y"),EmployeeData[[#This Row],[Status]]="Active",DATEDIF(EmployeeData[[#This Row],[Join Date]], TODAY(), "Y"))</f>
        <v>1</v>
      </c>
      <c r="Q496" t="str" cm="1">
        <f t="array" aca="1" ref="Q4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497" spans="1:17" x14ac:dyDescent="0.3">
      <c r="A497">
        <v>1496</v>
      </c>
      <c r="B497" t="s">
        <v>514</v>
      </c>
      <c r="C497" t="s">
        <v>23</v>
      </c>
      <c r="D497" t="s">
        <v>16</v>
      </c>
      <c r="E497">
        <v>55</v>
      </c>
      <c r="F497" t="str" cm="1">
        <f t="array" ref="F497">_xlfn.IFS(EmployeeData[[#This Row],[Age]]&lt;30,"20s",EmployeeData[[#This Row],[Age]]&lt;40,"30s",EmployeeData[[#This Row],[Age]]&lt;50,"40s",EmployeeData[[#This Row],[Age]]&lt;60,"50s",EmployeeData[[#This Row],[Age]]&gt;=60,"60s")</f>
        <v>50s</v>
      </c>
      <c r="G497" s="5">
        <v>43274</v>
      </c>
      <c r="I497" t="s">
        <v>17</v>
      </c>
      <c r="J497" t="s">
        <v>18</v>
      </c>
      <c r="K497" cm="1">
        <f t="array" aca="1" ref="K497" ca="1">_xlfn.IFS(EmployeeData[[#This Row],[Status]]="Active",_xlfn.DAYS(TODAY(),EmployeeData[[#This Row],[Join Date]]),EmployeeData[[#This Row],[Status]]="Exited",_xlfn.DAYS(EmployeeData[[#This Row],[Exit Date]],EmployeeData[[#This Row],[Join Date]]))</f>
        <v>2923</v>
      </c>
      <c r="L497" cm="1">
        <f t="array" aca="1" ref="L497" ca="1">_xlfn.IFS(EmployeeData[[#This Row],[Status]]="Exited",DATEDIF(EmployeeData[[#This Row],[Join Date]], EmployeeData[[#This Row],[Exit Date]], "Y"),EmployeeData[[#This Row],[Status]]="Active",DATEDIF(EmployeeData[[#This Row],[Join Date]], TODAY(), "Y"))</f>
        <v>8</v>
      </c>
      <c r="Q497" t="str" cm="1">
        <f t="array" aca="1" ref="Q4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 days</v>
      </c>
    </row>
    <row r="498" spans="1:17" hidden="1" x14ac:dyDescent="0.3">
      <c r="A498">
        <v>1497</v>
      </c>
      <c r="B498" t="s">
        <v>613</v>
      </c>
      <c r="C498" t="s">
        <v>23</v>
      </c>
      <c r="D498" t="s">
        <v>11</v>
      </c>
      <c r="E498">
        <v>53</v>
      </c>
      <c r="F498" t="str" cm="1">
        <f t="array" ref="F498">_xlfn.IFS(EmployeeData[[#This Row],[Age]]&lt;30,"20s",EmployeeData[[#This Row],[Age]]&lt;40,"30s",EmployeeData[[#This Row],[Age]]&lt;50,"40s",EmployeeData[[#This Row],[Age]]&lt;60,"50s",EmployeeData[[#This Row],[Age]]&gt;=60,"60s")</f>
        <v>50s</v>
      </c>
      <c r="G498" s="5">
        <v>44248</v>
      </c>
      <c r="I498" t="s">
        <v>17</v>
      </c>
      <c r="J498" t="s">
        <v>18</v>
      </c>
      <c r="K498" cm="1">
        <f t="array" aca="1" ref="K498" ca="1">_xlfn.IFS(EmployeeData[[#This Row],[Status]]="Active",_xlfn.DAYS(TODAY(),EmployeeData[[#This Row],[Join Date]]),EmployeeData[[#This Row],[Status]]="Exited",_xlfn.DAYS(EmployeeData[[#This Row],[Exit Date]],EmployeeData[[#This Row],[Join Date]]))</f>
        <v>1949</v>
      </c>
      <c r="L498" cm="1">
        <f t="array" aca="1" ref="L498" ca="1">_xlfn.IFS(EmployeeData[[#This Row],[Status]]="Exited",DATEDIF(EmployeeData[[#This Row],[Join Date]], EmployeeData[[#This Row],[Exit Date]], "Y"),EmployeeData[[#This Row],[Status]]="Active",DATEDIF(EmployeeData[[#This Row],[Join Date]], TODAY(), "Y"))</f>
        <v>5</v>
      </c>
      <c r="Q498" t="str" cm="1">
        <f t="array" aca="1" ref="Q4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 days</v>
      </c>
    </row>
    <row r="499" spans="1:17" hidden="1" x14ac:dyDescent="0.3">
      <c r="A499">
        <v>1498</v>
      </c>
      <c r="B499" t="s">
        <v>642</v>
      </c>
      <c r="C499" t="s">
        <v>23</v>
      </c>
      <c r="D499" t="s">
        <v>24</v>
      </c>
      <c r="E499">
        <v>53</v>
      </c>
      <c r="F499" t="str" cm="1">
        <f t="array" ref="F499">_xlfn.IFS(EmployeeData[[#This Row],[Age]]&lt;30,"20s",EmployeeData[[#This Row],[Age]]&lt;40,"30s",EmployeeData[[#This Row],[Age]]&lt;50,"40s",EmployeeData[[#This Row],[Age]]&lt;60,"50s",EmployeeData[[#This Row],[Age]]&gt;=60,"60s")</f>
        <v>50s</v>
      </c>
      <c r="G499" s="5">
        <v>44523</v>
      </c>
      <c r="I499" t="s">
        <v>17</v>
      </c>
      <c r="J499" t="s">
        <v>18</v>
      </c>
      <c r="K499" cm="1">
        <f t="array" aca="1" ref="K499" ca="1">_xlfn.IFS(EmployeeData[[#This Row],[Status]]="Active",_xlfn.DAYS(TODAY(),EmployeeData[[#This Row],[Join Date]]),EmployeeData[[#This Row],[Status]]="Exited",_xlfn.DAYS(EmployeeData[[#This Row],[Exit Date]],EmployeeData[[#This Row],[Join Date]]))</f>
        <v>1674</v>
      </c>
      <c r="L499" cm="1">
        <f t="array" aca="1" ref="L499" ca="1">_xlfn.IFS(EmployeeData[[#This Row],[Status]]="Exited",DATEDIF(EmployeeData[[#This Row],[Join Date]], EmployeeData[[#This Row],[Exit Date]], "Y"),EmployeeData[[#This Row],[Status]]="Active",DATEDIF(EmployeeData[[#This Row],[Join Date]], TODAY(), "Y"))</f>
        <v>4</v>
      </c>
      <c r="Q499" t="str" cm="1">
        <f t="array" aca="1" ref="Q4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 days</v>
      </c>
    </row>
    <row r="500" spans="1:17" x14ac:dyDescent="0.3">
      <c r="A500">
        <v>1499</v>
      </c>
      <c r="B500" t="s">
        <v>614</v>
      </c>
      <c r="C500" t="s">
        <v>20</v>
      </c>
      <c r="D500" t="s">
        <v>24</v>
      </c>
      <c r="E500">
        <v>21</v>
      </c>
      <c r="F500" t="str" cm="1">
        <f t="array" ref="F500">_xlfn.IFS(EmployeeData[[#This Row],[Age]]&lt;30,"20s",EmployeeData[[#This Row],[Age]]&lt;40,"30s",EmployeeData[[#This Row],[Age]]&lt;50,"40s",EmployeeData[[#This Row],[Age]]&lt;60,"50s",EmployeeData[[#This Row],[Age]]&gt;=60,"60s")</f>
        <v>20s</v>
      </c>
      <c r="G500" s="5">
        <v>43149</v>
      </c>
      <c r="I500" t="s">
        <v>17</v>
      </c>
      <c r="J500" t="s">
        <v>18</v>
      </c>
      <c r="K500" cm="1">
        <f t="array" aca="1" ref="K500" ca="1">_xlfn.IFS(EmployeeData[[#This Row],[Status]]="Active",_xlfn.DAYS(TODAY(),EmployeeData[[#This Row],[Join Date]]),EmployeeData[[#This Row],[Status]]="Exited",_xlfn.DAYS(EmployeeData[[#This Row],[Exit Date]],EmployeeData[[#This Row],[Join Date]]))</f>
        <v>3048</v>
      </c>
      <c r="L500" cm="1">
        <f t="array" aca="1" ref="L500" ca="1">_xlfn.IFS(EmployeeData[[#This Row],[Status]]="Exited",DATEDIF(EmployeeData[[#This Row],[Join Date]], EmployeeData[[#This Row],[Exit Date]], "Y"),EmployeeData[[#This Row],[Status]]="Active",DATEDIF(EmployeeData[[#This Row],[Join Date]], TODAY(), "Y"))</f>
        <v>8</v>
      </c>
      <c r="Q500" t="str" cm="1">
        <f t="array" aca="1" ref="Q5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6 days</v>
      </c>
    </row>
    <row r="501" spans="1:17" hidden="1" x14ac:dyDescent="0.3">
      <c r="A501">
        <v>1500</v>
      </c>
      <c r="B501" t="s">
        <v>249</v>
      </c>
      <c r="C501" t="s">
        <v>23</v>
      </c>
      <c r="D501" t="s">
        <v>16</v>
      </c>
      <c r="E501">
        <v>56</v>
      </c>
      <c r="F501" t="str" cm="1">
        <f t="array" ref="F501">_xlfn.IFS(EmployeeData[[#This Row],[Age]]&lt;30,"20s",EmployeeData[[#This Row],[Age]]&lt;40,"30s",EmployeeData[[#This Row],[Age]]&lt;50,"40s",EmployeeData[[#This Row],[Age]]&lt;60,"50s",EmployeeData[[#This Row],[Age]]&gt;=60,"60s")</f>
        <v>50s</v>
      </c>
      <c r="G501" s="5">
        <v>44177</v>
      </c>
      <c r="H501" s="5">
        <v>45232</v>
      </c>
      <c r="I501" t="s">
        <v>21</v>
      </c>
      <c r="J501" t="s">
        <v>13</v>
      </c>
      <c r="K501" cm="1">
        <f t="array" aca="1" ref="K501" ca="1">_xlfn.IFS(EmployeeData[[#This Row],[Status]]="Active",_xlfn.DAYS(TODAY(),EmployeeData[[#This Row],[Join Date]]),EmployeeData[[#This Row],[Status]]="Exited",_xlfn.DAYS(EmployeeData[[#This Row],[Exit Date]],EmployeeData[[#This Row],[Join Date]]))</f>
        <v>1055</v>
      </c>
      <c r="L501" cm="1">
        <f t="array" aca="1" ref="L501" ca="1">_xlfn.IFS(EmployeeData[[#This Row],[Status]]="Exited",DATEDIF(EmployeeData[[#This Row],[Join Date]], EmployeeData[[#This Row],[Exit Date]], "Y"),EmployeeData[[#This Row],[Status]]="Active",DATEDIF(EmployeeData[[#This Row],[Join Date]], TODAY(), "Y"))</f>
        <v>2</v>
      </c>
      <c r="Q501" t="str" cm="1">
        <f t="array" aca="1" ref="Q5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502" spans="1:17" hidden="1" x14ac:dyDescent="0.3">
      <c r="A502">
        <v>1501</v>
      </c>
      <c r="B502" t="s">
        <v>394</v>
      </c>
      <c r="C502" t="s">
        <v>15</v>
      </c>
      <c r="D502" t="s">
        <v>11</v>
      </c>
      <c r="E502">
        <v>44</v>
      </c>
      <c r="F502" t="str" cm="1">
        <f t="array" ref="F502">_xlfn.IFS(EmployeeData[[#This Row],[Age]]&lt;30,"20s",EmployeeData[[#This Row],[Age]]&lt;40,"30s",EmployeeData[[#This Row],[Age]]&lt;50,"40s",EmployeeData[[#This Row],[Age]]&lt;60,"50s",EmployeeData[[#This Row],[Age]]&gt;=60,"60s")</f>
        <v>40s</v>
      </c>
      <c r="G502" s="5">
        <v>44596</v>
      </c>
      <c r="I502" t="s">
        <v>17</v>
      </c>
      <c r="J502" t="s">
        <v>18</v>
      </c>
      <c r="K502" cm="1">
        <f t="array" aca="1" ref="K502" ca="1">_xlfn.IFS(EmployeeData[[#This Row],[Status]]="Active",_xlfn.DAYS(TODAY(),EmployeeData[[#This Row],[Join Date]]),EmployeeData[[#This Row],[Status]]="Exited",_xlfn.DAYS(EmployeeData[[#This Row],[Exit Date]],EmployeeData[[#This Row],[Join Date]]))</f>
        <v>1601</v>
      </c>
      <c r="L502" cm="1">
        <f t="array" aca="1" ref="L502" ca="1">_xlfn.IFS(EmployeeData[[#This Row],[Status]]="Exited",DATEDIF(EmployeeData[[#This Row],[Join Date]], EmployeeData[[#This Row],[Exit Date]], "Y"),EmployeeData[[#This Row],[Status]]="Active",DATEDIF(EmployeeData[[#This Row],[Join Date]], TODAY(), "Y"))</f>
        <v>4</v>
      </c>
      <c r="Q502" t="str" cm="1">
        <f t="array" aca="1" ref="Q5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20 days</v>
      </c>
    </row>
    <row r="503" spans="1:17" hidden="1" x14ac:dyDescent="0.3">
      <c r="A503">
        <v>1502</v>
      </c>
      <c r="B503" t="s">
        <v>298</v>
      </c>
      <c r="C503" t="s">
        <v>46</v>
      </c>
      <c r="D503" t="s">
        <v>11</v>
      </c>
      <c r="E503">
        <v>27</v>
      </c>
      <c r="F503" t="str" cm="1">
        <f t="array" ref="F503">_xlfn.IFS(EmployeeData[[#This Row],[Age]]&lt;30,"20s",EmployeeData[[#This Row],[Age]]&lt;40,"30s",EmployeeData[[#This Row],[Age]]&lt;50,"40s",EmployeeData[[#This Row],[Age]]&lt;60,"50s",EmployeeData[[#This Row],[Age]]&gt;=60,"60s")</f>
        <v>20s</v>
      </c>
      <c r="G503" s="5">
        <v>44206</v>
      </c>
      <c r="I503" t="s">
        <v>17</v>
      </c>
      <c r="J503" t="s">
        <v>18</v>
      </c>
      <c r="K503" cm="1">
        <f t="array" aca="1" ref="K503" ca="1">_xlfn.IFS(EmployeeData[[#This Row],[Status]]="Active",_xlfn.DAYS(TODAY(),EmployeeData[[#This Row],[Join Date]]),EmployeeData[[#This Row],[Status]]="Exited",_xlfn.DAYS(EmployeeData[[#This Row],[Exit Date]],EmployeeData[[#This Row],[Join Date]]))</f>
        <v>1991</v>
      </c>
      <c r="L503" cm="1">
        <f t="array" aca="1" ref="L503" ca="1">_xlfn.IFS(EmployeeData[[#This Row],[Status]]="Exited",DATEDIF(EmployeeData[[#This Row],[Join Date]], EmployeeData[[#This Row],[Exit Date]], "Y"),EmployeeData[[#This Row],[Status]]="Active",DATEDIF(EmployeeData[[#This Row],[Join Date]], TODAY(), "Y"))</f>
        <v>5</v>
      </c>
      <c r="Q503" t="str" cm="1">
        <f t="array" aca="1" ref="Q5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14 days</v>
      </c>
    </row>
    <row r="504" spans="1:17" hidden="1" x14ac:dyDescent="0.3">
      <c r="A504">
        <v>1503</v>
      </c>
      <c r="B504" t="s">
        <v>246</v>
      </c>
      <c r="C504" t="s">
        <v>15</v>
      </c>
      <c r="D504" t="s">
        <v>11</v>
      </c>
      <c r="E504">
        <v>30</v>
      </c>
      <c r="F504" t="str" cm="1">
        <f t="array" ref="F504">_xlfn.IFS(EmployeeData[[#This Row],[Age]]&lt;30,"20s",EmployeeData[[#This Row],[Age]]&lt;40,"30s",EmployeeData[[#This Row],[Age]]&lt;50,"40s",EmployeeData[[#This Row],[Age]]&lt;60,"50s",EmployeeData[[#This Row],[Age]]&gt;=60,"60s")</f>
        <v>30s</v>
      </c>
      <c r="G504" s="5">
        <v>45038</v>
      </c>
      <c r="I504" t="s">
        <v>17</v>
      </c>
      <c r="J504" t="s">
        <v>18</v>
      </c>
      <c r="K504" cm="1">
        <f t="array" aca="1" ref="K504" ca="1">_xlfn.IFS(EmployeeData[[#This Row],[Status]]="Active",_xlfn.DAYS(TODAY(),EmployeeData[[#This Row],[Join Date]]),EmployeeData[[#This Row],[Status]]="Exited",_xlfn.DAYS(EmployeeData[[#This Row],[Exit Date]],EmployeeData[[#This Row],[Join Date]]))</f>
        <v>1159</v>
      </c>
      <c r="L504" cm="1">
        <f t="array" aca="1" ref="L504" ca="1">_xlfn.IFS(EmployeeData[[#This Row],[Status]]="Exited",DATEDIF(EmployeeData[[#This Row],[Join Date]], EmployeeData[[#This Row],[Exit Date]], "Y"),EmployeeData[[#This Row],[Status]]="Active",DATEDIF(EmployeeData[[#This Row],[Join Date]], TODAY(), "Y"))</f>
        <v>3</v>
      </c>
      <c r="Q504" t="str" cm="1">
        <f t="array" aca="1" ref="Q5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 days</v>
      </c>
    </row>
    <row r="505" spans="1:17" hidden="1" x14ac:dyDescent="0.3">
      <c r="A505">
        <v>1504</v>
      </c>
      <c r="B505" t="s">
        <v>1018</v>
      </c>
      <c r="C505" t="s">
        <v>33</v>
      </c>
      <c r="D505" t="s">
        <v>16</v>
      </c>
      <c r="E505">
        <v>56</v>
      </c>
      <c r="F505" t="str" cm="1">
        <f t="array" ref="F505">_xlfn.IFS(EmployeeData[[#This Row],[Age]]&lt;30,"20s",EmployeeData[[#This Row],[Age]]&lt;40,"30s",EmployeeData[[#This Row],[Age]]&lt;50,"40s",EmployeeData[[#This Row],[Age]]&lt;60,"50s",EmployeeData[[#This Row],[Age]]&gt;=60,"60s")</f>
        <v>50s</v>
      </c>
      <c r="G505" s="5">
        <v>45426</v>
      </c>
      <c r="H505" s="5">
        <v>45617</v>
      </c>
      <c r="I505" t="s">
        <v>34</v>
      </c>
      <c r="J505" t="s">
        <v>13</v>
      </c>
      <c r="K505" cm="1">
        <f t="array" aca="1" ref="K505" ca="1">_xlfn.IFS(EmployeeData[[#This Row],[Status]]="Active",_xlfn.DAYS(TODAY(),EmployeeData[[#This Row],[Join Date]]),EmployeeData[[#This Row],[Status]]="Exited",_xlfn.DAYS(EmployeeData[[#This Row],[Exit Date]],EmployeeData[[#This Row],[Join Date]]))</f>
        <v>191</v>
      </c>
      <c r="L505" cm="1">
        <f t="array" aca="1" ref="L505" ca="1">_xlfn.IFS(EmployeeData[[#This Row],[Status]]="Exited",DATEDIF(EmployeeData[[#This Row],[Join Date]], EmployeeData[[#This Row],[Exit Date]], "Y"),EmployeeData[[#This Row],[Status]]="Active",DATEDIF(EmployeeData[[#This Row],[Join Date]], TODAY(), "Y"))</f>
        <v>0</v>
      </c>
      <c r="Q505" t="str" cm="1">
        <f t="array" aca="1" ref="Q5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506" spans="1:17" hidden="1" x14ac:dyDescent="0.3">
      <c r="A506">
        <v>1505</v>
      </c>
      <c r="B506" t="s">
        <v>952</v>
      </c>
      <c r="C506" t="s">
        <v>23</v>
      </c>
      <c r="D506" t="s">
        <v>24</v>
      </c>
      <c r="E506">
        <v>49</v>
      </c>
      <c r="F506" t="str" cm="1">
        <f t="array" ref="F506">_xlfn.IFS(EmployeeData[[#This Row],[Age]]&lt;30,"20s",EmployeeData[[#This Row],[Age]]&lt;40,"30s",EmployeeData[[#This Row],[Age]]&lt;50,"40s",EmployeeData[[#This Row],[Age]]&lt;60,"50s",EmployeeData[[#This Row],[Age]]&gt;=60,"60s")</f>
        <v>40s</v>
      </c>
      <c r="G506" s="5">
        <v>44471</v>
      </c>
      <c r="H506" s="5">
        <v>45298</v>
      </c>
      <c r="I506" t="s">
        <v>65</v>
      </c>
      <c r="J506" t="s">
        <v>13</v>
      </c>
      <c r="K506" cm="1">
        <f t="array" aca="1" ref="K506" ca="1">_xlfn.IFS(EmployeeData[[#This Row],[Status]]="Active",_xlfn.DAYS(TODAY(),EmployeeData[[#This Row],[Join Date]]),EmployeeData[[#This Row],[Status]]="Exited",_xlfn.DAYS(EmployeeData[[#This Row],[Exit Date]],EmployeeData[[#This Row],[Join Date]]))</f>
        <v>827</v>
      </c>
      <c r="L506" cm="1">
        <f t="array" aca="1" ref="L506" ca="1">_xlfn.IFS(EmployeeData[[#This Row],[Status]]="Exited",DATEDIF(EmployeeData[[#This Row],[Join Date]], EmployeeData[[#This Row],[Exit Date]], "Y"),EmployeeData[[#This Row],[Status]]="Active",DATEDIF(EmployeeData[[#This Row],[Join Date]], TODAY(), "Y"))</f>
        <v>2</v>
      </c>
      <c r="Q506" t="str" cm="1">
        <f t="array" aca="1" ref="Q5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507" spans="1:17" hidden="1" x14ac:dyDescent="0.3">
      <c r="A507">
        <v>1506</v>
      </c>
      <c r="B507" t="s">
        <v>1087</v>
      </c>
      <c r="C507" t="s">
        <v>10</v>
      </c>
      <c r="D507" t="s">
        <v>24</v>
      </c>
      <c r="E507">
        <v>33</v>
      </c>
      <c r="F507" t="str" cm="1">
        <f t="array" ref="F507">_xlfn.IFS(EmployeeData[[#This Row],[Age]]&lt;30,"20s",EmployeeData[[#This Row],[Age]]&lt;40,"30s",EmployeeData[[#This Row],[Age]]&lt;50,"40s",EmployeeData[[#This Row],[Age]]&lt;60,"50s",EmployeeData[[#This Row],[Age]]&gt;=60,"60s")</f>
        <v>30s</v>
      </c>
      <c r="G507" s="5">
        <v>45463</v>
      </c>
      <c r="I507" t="s">
        <v>17</v>
      </c>
      <c r="J507" t="s">
        <v>18</v>
      </c>
      <c r="K507" cm="1">
        <f t="array" aca="1" ref="K507" ca="1">_xlfn.IFS(EmployeeData[[#This Row],[Status]]="Active",_xlfn.DAYS(TODAY(),EmployeeData[[#This Row],[Join Date]]),EmployeeData[[#This Row],[Status]]="Exited",_xlfn.DAYS(EmployeeData[[#This Row],[Exit Date]],EmployeeData[[#This Row],[Join Date]]))</f>
        <v>734</v>
      </c>
      <c r="L507" cm="1">
        <f t="array" aca="1" ref="L507" ca="1">_xlfn.IFS(EmployeeData[[#This Row],[Status]]="Exited",DATEDIF(EmployeeData[[#This Row],[Join Date]], EmployeeData[[#This Row],[Exit Date]], "Y"),EmployeeData[[#This Row],[Status]]="Active",DATEDIF(EmployeeData[[#This Row],[Join Date]], TODAY(), "Y"))</f>
        <v>2</v>
      </c>
      <c r="Q507" t="str" cm="1">
        <f t="array" aca="1" ref="Q5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4 days</v>
      </c>
    </row>
    <row r="508" spans="1:17" hidden="1" x14ac:dyDescent="0.3">
      <c r="A508">
        <v>1507</v>
      </c>
      <c r="B508" t="s">
        <v>751</v>
      </c>
      <c r="C508" t="s">
        <v>10</v>
      </c>
      <c r="D508" t="s">
        <v>24</v>
      </c>
      <c r="E508">
        <v>53</v>
      </c>
      <c r="F508" t="str" cm="1">
        <f t="array" ref="F508">_xlfn.IFS(EmployeeData[[#This Row],[Age]]&lt;30,"20s",EmployeeData[[#This Row],[Age]]&lt;40,"30s",EmployeeData[[#This Row],[Age]]&lt;50,"40s",EmployeeData[[#This Row],[Age]]&lt;60,"50s",EmployeeData[[#This Row],[Age]]&gt;=60,"60s")</f>
        <v>50s</v>
      </c>
      <c r="G508" s="5">
        <v>45097</v>
      </c>
      <c r="I508" t="s">
        <v>17</v>
      </c>
      <c r="J508" t="s">
        <v>18</v>
      </c>
      <c r="K508" cm="1">
        <f t="array" aca="1" ref="K508" ca="1">_xlfn.IFS(EmployeeData[[#This Row],[Status]]="Active",_xlfn.DAYS(TODAY(),EmployeeData[[#This Row],[Join Date]]),EmployeeData[[#This Row],[Status]]="Exited",_xlfn.DAYS(EmployeeData[[#This Row],[Exit Date]],EmployeeData[[#This Row],[Join Date]]))</f>
        <v>1100</v>
      </c>
      <c r="L508" cm="1">
        <f t="array" aca="1" ref="L508" ca="1">_xlfn.IFS(EmployeeData[[#This Row],[Status]]="Exited",DATEDIF(EmployeeData[[#This Row],[Join Date]], EmployeeData[[#This Row],[Exit Date]], "Y"),EmployeeData[[#This Row],[Status]]="Active",DATEDIF(EmployeeData[[#This Row],[Join Date]], TODAY(), "Y"))</f>
        <v>3</v>
      </c>
      <c r="Q508" t="str" cm="1">
        <f t="array" aca="1" ref="Q5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509" spans="1:17" hidden="1" x14ac:dyDescent="0.3">
      <c r="A509">
        <v>1508</v>
      </c>
      <c r="B509" t="s">
        <v>625</v>
      </c>
      <c r="C509" t="s">
        <v>23</v>
      </c>
      <c r="D509" t="s">
        <v>11</v>
      </c>
      <c r="E509">
        <v>31</v>
      </c>
      <c r="F509" t="str" cm="1">
        <f t="array" ref="F509">_xlfn.IFS(EmployeeData[[#This Row],[Age]]&lt;30,"20s",EmployeeData[[#This Row],[Age]]&lt;40,"30s",EmployeeData[[#This Row],[Age]]&lt;50,"40s",EmployeeData[[#This Row],[Age]]&lt;60,"50s",EmployeeData[[#This Row],[Age]]&gt;=60,"60s")</f>
        <v>30s</v>
      </c>
      <c r="G509" s="5">
        <v>45724</v>
      </c>
      <c r="I509" t="s">
        <v>17</v>
      </c>
      <c r="J509" t="s">
        <v>18</v>
      </c>
      <c r="K509" cm="1">
        <f t="array" aca="1" ref="K509" ca="1">_xlfn.IFS(EmployeeData[[#This Row],[Status]]="Active",_xlfn.DAYS(TODAY(),EmployeeData[[#This Row],[Join Date]]),EmployeeData[[#This Row],[Status]]="Exited",_xlfn.DAYS(EmployeeData[[#This Row],[Exit Date]],EmployeeData[[#This Row],[Join Date]]))</f>
        <v>473</v>
      </c>
      <c r="L509" cm="1">
        <f t="array" aca="1" ref="L509" ca="1">_xlfn.IFS(EmployeeData[[#This Row],[Status]]="Exited",DATEDIF(EmployeeData[[#This Row],[Join Date]], EmployeeData[[#This Row],[Exit Date]], "Y"),EmployeeData[[#This Row],[Status]]="Active",DATEDIF(EmployeeData[[#This Row],[Join Date]], TODAY(), "Y"))</f>
        <v>1</v>
      </c>
      <c r="Q509" t="str" cm="1">
        <f t="array" aca="1" ref="Q5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16 days</v>
      </c>
    </row>
    <row r="510" spans="1:17" x14ac:dyDescent="0.3">
      <c r="A510">
        <v>1509</v>
      </c>
      <c r="B510" t="s">
        <v>717</v>
      </c>
      <c r="C510" t="s">
        <v>23</v>
      </c>
      <c r="D510" t="s">
        <v>11</v>
      </c>
      <c r="E510">
        <v>59</v>
      </c>
      <c r="F510" t="str" cm="1">
        <f t="array" ref="F510">_xlfn.IFS(EmployeeData[[#This Row],[Age]]&lt;30,"20s",EmployeeData[[#This Row],[Age]]&lt;40,"30s",EmployeeData[[#This Row],[Age]]&lt;50,"40s",EmployeeData[[#This Row],[Age]]&lt;60,"50s",EmployeeData[[#This Row],[Age]]&gt;=60,"60s")</f>
        <v>50s</v>
      </c>
      <c r="G510" s="5">
        <v>43425</v>
      </c>
      <c r="H510" s="5">
        <v>44449</v>
      </c>
      <c r="I510" t="s">
        <v>26</v>
      </c>
      <c r="J510" t="s">
        <v>13</v>
      </c>
      <c r="K510" cm="1">
        <f t="array" aca="1" ref="K510" ca="1">_xlfn.IFS(EmployeeData[[#This Row],[Status]]="Active",_xlfn.DAYS(TODAY(),EmployeeData[[#This Row],[Join Date]]),EmployeeData[[#This Row],[Status]]="Exited",_xlfn.DAYS(EmployeeData[[#This Row],[Exit Date]],EmployeeData[[#This Row],[Join Date]]))</f>
        <v>1024</v>
      </c>
      <c r="L510" cm="1">
        <f t="array" aca="1" ref="L510" ca="1">_xlfn.IFS(EmployeeData[[#This Row],[Status]]="Exited",DATEDIF(EmployeeData[[#This Row],[Join Date]], EmployeeData[[#This Row],[Exit Date]], "Y"),EmployeeData[[#This Row],[Status]]="Active",DATEDIF(EmployeeData[[#This Row],[Join Date]], TODAY(), "Y"))</f>
        <v>2</v>
      </c>
      <c r="Q510" t="str" cm="1">
        <f t="array" aca="1" ref="Q5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511" spans="1:17" hidden="1" x14ac:dyDescent="0.3">
      <c r="A511">
        <v>1510</v>
      </c>
      <c r="B511" t="s">
        <v>300</v>
      </c>
      <c r="C511" t="s">
        <v>10</v>
      </c>
      <c r="D511" t="s">
        <v>24</v>
      </c>
      <c r="E511">
        <v>44</v>
      </c>
      <c r="F511" t="str" cm="1">
        <f t="array" ref="F511">_xlfn.IFS(EmployeeData[[#This Row],[Age]]&lt;30,"20s",EmployeeData[[#This Row],[Age]]&lt;40,"30s",EmployeeData[[#This Row],[Age]]&lt;50,"40s",EmployeeData[[#This Row],[Age]]&lt;60,"50s",EmployeeData[[#This Row],[Age]]&gt;=60,"60s")</f>
        <v>40s</v>
      </c>
      <c r="G511" s="5">
        <v>45505</v>
      </c>
      <c r="I511" t="s">
        <v>17</v>
      </c>
      <c r="J511" t="s">
        <v>18</v>
      </c>
      <c r="K511" cm="1">
        <f t="array" aca="1" ref="K511" ca="1">_xlfn.IFS(EmployeeData[[#This Row],[Status]]="Active",_xlfn.DAYS(TODAY(),EmployeeData[[#This Row],[Join Date]]),EmployeeData[[#This Row],[Status]]="Exited",_xlfn.DAYS(EmployeeData[[#This Row],[Exit Date]],EmployeeData[[#This Row],[Join Date]]))</f>
        <v>692</v>
      </c>
      <c r="L511" cm="1">
        <f t="array" aca="1" ref="L511" ca="1">_xlfn.IFS(EmployeeData[[#This Row],[Status]]="Exited",DATEDIF(EmployeeData[[#This Row],[Join Date]], EmployeeData[[#This Row],[Exit Date]], "Y"),EmployeeData[[#This Row],[Status]]="Active",DATEDIF(EmployeeData[[#This Row],[Join Date]], TODAY(), "Y"))</f>
        <v>1</v>
      </c>
      <c r="Q511" t="str" cm="1">
        <f t="array" aca="1" ref="Q5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23 days</v>
      </c>
    </row>
    <row r="512" spans="1:17" hidden="1" x14ac:dyDescent="0.3">
      <c r="A512">
        <v>1511</v>
      </c>
      <c r="B512" t="s">
        <v>797</v>
      </c>
      <c r="C512" t="s">
        <v>15</v>
      </c>
      <c r="D512" t="s">
        <v>16</v>
      </c>
      <c r="E512">
        <v>37</v>
      </c>
      <c r="F512" t="str" cm="1">
        <f t="array" ref="F512">_xlfn.IFS(EmployeeData[[#This Row],[Age]]&lt;30,"20s",EmployeeData[[#This Row],[Age]]&lt;40,"30s",EmployeeData[[#This Row],[Age]]&lt;50,"40s",EmployeeData[[#This Row],[Age]]&lt;60,"50s",EmployeeData[[#This Row],[Age]]&gt;=60,"60s")</f>
        <v>30s</v>
      </c>
      <c r="G512" s="5">
        <v>45971</v>
      </c>
      <c r="I512" t="s">
        <v>17</v>
      </c>
      <c r="J512" t="s">
        <v>18</v>
      </c>
      <c r="K512" cm="1">
        <f t="array" aca="1" ref="K512" ca="1">_xlfn.IFS(EmployeeData[[#This Row],[Status]]="Active",_xlfn.DAYS(TODAY(),EmployeeData[[#This Row],[Join Date]]),EmployeeData[[#This Row],[Status]]="Exited",_xlfn.DAYS(EmployeeData[[#This Row],[Exit Date]],EmployeeData[[#This Row],[Join Date]]))</f>
        <v>226</v>
      </c>
      <c r="L512" cm="1">
        <f t="array" aca="1" ref="L512" ca="1">_xlfn.IFS(EmployeeData[[#This Row],[Status]]="Exited",DATEDIF(EmployeeData[[#This Row],[Join Date]], EmployeeData[[#This Row],[Exit Date]], "Y"),EmployeeData[[#This Row],[Status]]="Active",DATEDIF(EmployeeData[[#This Row],[Join Date]], TODAY(), "Y"))</f>
        <v>0</v>
      </c>
      <c r="Q512" t="str" cm="1">
        <f t="array" aca="1" ref="Q5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14 days</v>
      </c>
    </row>
    <row r="513" spans="1:17" x14ac:dyDescent="0.3">
      <c r="A513">
        <v>1512</v>
      </c>
      <c r="B513" t="s">
        <v>687</v>
      </c>
      <c r="C513" t="s">
        <v>15</v>
      </c>
      <c r="D513" t="s">
        <v>11</v>
      </c>
      <c r="E513">
        <v>56</v>
      </c>
      <c r="F513" t="str" cm="1">
        <f t="array" ref="F513">_xlfn.IFS(EmployeeData[[#This Row],[Age]]&lt;30,"20s",EmployeeData[[#This Row],[Age]]&lt;40,"30s",EmployeeData[[#This Row],[Age]]&lt;50,"40s",EmployeeData[[#This Row],[Age]]&lt;60,"50s",EmployeeData[[#This Row],[Age]]&gt;=60,"60s")</f>
        <v>50s</v>
      </c>
      <c r="G513" s="5">
        <v>43321</v>
      </c>
      <c r="H513" s="5">
        <v>45037</v>
      </c>
      <c r="I513" t="s">
        <v>65</v>
      </c>
      <c r="J513" t="s">
        <v>13</v>
      </c>
      <c r="K513" cm="1">
        <f t="array" aca="1" ref="K513" ca="1">_xlfn.IFS(EmployeeData[[#This Row],[Status]]="Active",_xlfn.DAYS(TODAY(),EmployeeData[[#This Row],[Join Date]]),EmployeeData[[#This Row],[Status]]="Exited",_xlfn.DAYS(EmployeeData[[#This Row],[Exit Date]],EmployeeData[[#This Row],[Join Date]]))</f>
        <v>1716</v>
      </c>
      <c r="L513" cm="1">
        <f t="array" aca="1" ref="L513" ca="1">_xlfn.IFS(EmployeeData[[#This Row],[Status]]="Exited",DATEDIF(EmployeeData[[#This Row],[Join Date]], EmployeeData[[#This Row],[Exit Date]], "Y"),EmployeeData[[#This Row],[Status]]="Active",DATEDIF(EmployeeData[[#This Row],[Join Date]], TODAY(), "Y"))</f>
        <v>4</v>
      </c>
      <c r="Q513" t="str" cm="1">
        <f t="array" aca="1" ref="Q5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514" spans="1:17" hidden="1" x14ac:dyDescent="0.3">
      <c r="A514">
        <v>1513</v>
      </c>
      <c r="B514" t="s">
        <v>258</v>
      </c>
      <c r="C514" t="s">
        <v>15</v>
      </c>
      <c r="D514" t="s">
        <v>11</v>
      </c>
      <c r="E514">
        <v>54</v>
      </c>
      <c r="F514" t="str" cm="1">
        <f t="array" ref="F514">_xlfn.IFS(EmployeeData[[#This Row],[Age]]&lt;30,"20s",EmployeeData[[#This Row],[Age]]&lt;40,"30s",EmployeeData[[#This Row],[Age]]&lt;50,"40s",EmployeeData[[#This Row],[Age]]&lt;60,"50s",EmployeeData[[#This Row],[Age]]&gt;=60,"60s")</f>
        <v>50s</v>
      </c>
      <c r="G514" s="5">
        <v>44368</v>
      </c>
      <c r="H514" s="5">
        <v>45968</v>
      </c>
      <c r="I514" t="s">
        <v>26</v>
      </c>
      <c r="J514" t="s">
        <v>13</v>
      </c>
      <c r="K514" cm="1">
        <f t="array" aca="1" ref="K514" ca="1">_xlfn.IFS(EmployeeData[[#This Row],[Status]]="Active",_xlfn.DAYS(TODAY(),EmployeeData[[#This Row],[Join Date]]),EmployeeData[[#This Row],[Status]]="Exited",_xlfn.DAYS(EmployeeData[[#This Row],[Exit Date]],EmployeeData[[#This Row],[Join Date]]))</f>
        <v>1600</v>
      </c>
      <c r="L514" cm="1">
        <f t="array" aca="1" ref="L514" ca="1">_xlfn.IFS(EmployeeData[[#This Row],[Status]]="Exited",DATEDIF(EmployeeData[[#This Row],[Join Date]], EmployeeData[[#This Row],[Exit Date]], "Y"),EmployeeData[[#This Row],[Status]]="Active",DATEDIF(EmployeeData[[#This Row],[Join Date]], TODAY(), "Y"))</f>
        <v>4</v>
      </c>
      <c r="Q514" t="str" cm="1">
        <f t="array" aca="1" ref="Q5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15" spans="1:17" hidden="1" x14ac:dyDescent="0.3">
      <c r="A515">
        <v>1514</v>
      </c>
      <c r="B515" t="s">
        <v>668</v>
      </c>
      <c r="C515" t="s">
        <v>15</v>
      </c>
      <c r="D515" t="s">
        <v>24</v>
      </c>
      <c r="E515">
        <v>41</v>
      </c>
      <c r="F515" t="str" cm="1">
        <f t="array" ref="F515">_xlfn.IFS(EmployeeData[[#This Row],[Age]]&lt;30,"20s",EmployeeData[[#This Row],[Age]]&lt;40,"30s",EmployeeData[[#This Row],[Age]]&lt;50,"40s",EmployeeData[[#This Row],[Age]]&lt;60,"50s",EmployeeData[[#This Row],[Age]]&gt;=60,"60s")</f>
        <v>40s</v>
      </c>
      <c r="G515" s="5">
        <v>45051</v>
      </c>
      <c r="I515" t="s">
        <v>17</v>
      </c>
      <c r="J515" t="s">
        <v>18</v>
      </c>
      <c r="K515" cm="1">
        <f t="array" aca="1" ref="K515" ca="1">_xlfn.IFS(EmployeeData[[#This Row],[Status]]="Active",_xlfn.DAYS(TODAY(),EmployeeData[[#This Row],[Join Date]]),EmployeeData[[#This Row],[Status]]="Exited",_xlfn.DAYS(EmployeeData[[#This Row],[Exit Date]],EmployeeData[[#This Row],[Join Date]]))</f>
        <v>1146</v>
      </c>
      <c r="L515" cm="1">
        <f t="array" aca="1" ref="L515" ca="1">_xlfn.IFS(EmployeeData[[#This Row],[Status]]="Exited",DATEDIF(EmployeeData[[#This Row],[Join Date]], EmployeeData[[#This Row],[Exit Date]], "Y"),EmployeeData[[#This Row],[Status]]="Active",DATEDIF(EmployeeData[[#This Row],[Join Date]], TODAY(), "Y"))</f>
        <v>3</v>
      </c>
      <c r="Q515" t="str" cm="1">
        <f t="array" aca="1" ref="Q5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19 days</v>
      </c>
    </row>
    <row r="516" spans="1:17" hidden="1" x14ac:dyDescent="0.3">
      <c r="A516">
        <v>1515</v>
      </c>
      <c r="B516" t="s">
        <v>395</v>
      </c>
      <c r="C516" t="s">
        <v>46</v>
      </c>
      <c r="D516" t="s">
        <v>11</v>
      </c>
      <c r="E516">
        <v>32</v>
      </c>
      <c r="F516" t="str" cm="1">
        <f t="array" ref="F516">_xlfn.IFS(EmployeeData[[#This Row],[Age]]&lt;30,"20s",EmployeeData[[#This Row],[Age]]&lt;40,"30s",EmployeeData[[#This Row],[Age]]&lt;50,"40s",EmployeeData[[#This Row],[Age]]&lt;60,"50s",EmployeeData[[#This Row],[Age]]&gt;=60,"60s")</f>
        <v>30s</v>
      </c>
      <c r="G516" s="5">
        <v>45521</v>
      </c>
      <c r="I516" t="s">
        <v>17</v>
      </c>
      <c r="J516" t="s">
        <v>18</v>
      </c>
      <c r="K516" cm="1">
        <f t="array" aca="1" ref="K516" ca="1">_xlfn.IFS(EmployeeData[[#This Row],[Status]]="Active",_xlfn.DAYS(TODAY(),EmployeeData[[#This Row],[Join Date]]),EmployeeData[[#This Row],[Status]]="Exited",_xlfn.DAYS(EmployeeData[[#This Row],[Exit Date]],EmployeeData[[#This Row],[Join Date]]))</f>
        <v>676</v>
      </c>
      <c r="L516" cm="1">
        <f t="array" aca="1" ref="L516" ca="1">_xlfn.IFS(EmployeeData[[#This Row],[Status]]="Exited",DATEDIF(EmployeeData[[#This Row],[Join Date]], EmployeeData[[#This Row],[Exit Date]], "Y"),EmployeeData[[#This Row],[Status]]="Active",DATEDIF(EmployeeData[[#This Row],[Join Date]], TODAY(), "Y"))</f>
        <v>1</v>
      </c>
      <c r="Q516" t="str" cm="1">
        <f t="array" aca="1" ref="Q5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517" spans="1:17" hidden="1" x14ac:dyDescent="0.3">
      <c r="A517">
        <v>1516</v>
      </c>
      <c r="B517" t="s">
        <v>439</v>
      </c>
      <c r="C517" t="s">
        <v>46</v>
      </c>
      <c r="D517" t="s">
        <v>24</v>
      </c>
      <c r="E517">
        <v>35</v>
      </c>
      <c r="F517" t="str" cm="1">
        <f t="array" ref="F517">_xlfn.IFS(EmployeeData[[#This Row],[Age]]&lt;30,"20s",EmployeeData[[#This Row],[Age]]&lt;40,"30s",EmployeeData[[#This Row],[Age]]&lt;50,"40s",EmployeeData[[#This Row],[Age]]&lt;60,"50s",EmployeeData[[#This Row],[Age]]&gt;=60,"60s")</f>
        <v>30s</v>
      </c>
      <c r="G517" s="5">
        <v>43467</v>
      </c>
      <c r="I517" t="s">
        <v>17</v>
      </c>
      <c r="J517" t="s">
        <v>18</v>
      </c>
      <c r="K517" cm="1">
        <f t="array" aca="1" ref="K517" ca="1">_xlfn.IFS(EmployeeData[[#This Row],[Status]]="Active",_xlfn.DAYS(TODAY(),EmployeeData[[#This Row],[Join Date]]),EmployeeData[[#This Row],[Status]]="Exited",_xlfn.DAYS(EmployeeData[[#This Row],[Exit Date]],EmployeeData[[#This Row],[Join Date]]))</f>
        <v>2730</v>
      </c>
      <c r="L517" cm="1">
        <f t="array" aca="1" ref="L517" ca="1">_xlfn.IFS(EmployeeData[[#This Row],[Status]]="Exited",DATEDIF(EmployeeData[[#This Row],[Join Date]], EmployeeData[[#This Row],[Exit Date]], "Y"),EmployeeData[[#This Row],[Status]]="Active",DATEDIF(EmployeeData[[#This Row],[Join Date]], TODAY(), "Y"))</f>
        <v>7</v>
      </c>
      <c r="Q517" t="str" cm="1">
        <f t="array" aca="1" ref="Q5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22 days</v>
      </c>
    </row>
    <row r="518" spans="1:17" hidden="1" x14ac:dyDescent="0.3">
      <c r="A518">
        <v>1517</v>
      </c>
      <c r="B518" t="s">
        <v>611</v>
      </c>
      <c r="C518" t="s">
        <v>15</v>
      </c>
      <c r="D518" t="s">
        <v>24</v>
      </c>
      <c r="E518">
        <v>29</v>
      </c>
      <c r="F518" t="str" cm="1">
        <f t="array" ref="F518">_xlfn.IFS(EmployeeData[[#This Row],[Age]]&lt;30,"20s",EmployeeData[[#This Row],[Age]]&lt;40,"30s",EmployeeData[[#This Row],[Age]]&lt;50,"40s",EmployeeData[[#This Row],[Age]]&lt;60,"50s",EmployeeData[[#This Row],[Age]]&gt;=60,"60s")</f>
        <v>20s</v>
      </c>
      <c r="G518" s="5">
        <v>44509</v>
      </c>
      <c r="H518" s="5">
        <v>45694</v>
      </c>
      <c r="I518" t="s">
        <v>31</v>
      </c>
      <c r="J518" t="s">
        <v>13</v>
      </c>
      <c r="K518" cm="1">
        <f t="array" aca="1" ref="K518" ca="1">_xlfn.IFS(EmployeeData[[#This Row],[Status]]="Active",_xlfn.DAYS(TODAY(),EmployeeData[[#This Row],[Join Date]]),EmployeeData[[#This Row],[Status]]="Exited",_xlfn.DAYS(EmployeeData[[#This Row],[Exit Date]],EmployeeData[[#This Row],[Join Date]]))</f>
        <v>1185</v>
      </c>
      <c r="L518" cm="1">
        <f t="array" aca="1" ref="L518" ca="1">_xlfn.IFS(EmployeeData[[#This Row],[Status]]="Exited",DATEDIF(EmployeeData[[#This Row],[Join Date]], EmployeeData[[#This Row],[Exit Date]], "Y"),EmployeeData[[#This Row],[Status]]="Active",DATEDIF(EmployeeData[[#This Row],[Join Date]], TODAY(), "Y"))</f>
        <v>3</v>
      </c>
      <c r="Q518" t="str" cm="1">
        <f t="array" aca="1" ref="Q5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28 days</v>
      </c>
    </row>
    <row r="519" spans="1:17" hidden="1" x14ac:dyDescent="0.3">
      <c r="A519">
        <v>1518</v>
      </c>
      <c r="B519" t="s">
        <v>1004</v>
      </c>
      <c r="C519" t="s">
        <v>33</v>
      </c>
      <c r="D519" t="s">
        <v>24</v>
      </c>
      <c r="E519">
        <v>21</v>
      </c>
      <c r="F519" t="str" cm="1">
        <f t="array" ref="F519">_xlfn.IFS(EmployeeData[[#This Row],[Age]]&lt;30,"20s",EmployeeData[[#This Row],[Age]]&lt;40,"30s",EmployeeData[[#This Row],[Age]]&lt;50,"40s",EmployeeData[[#This Row],[Age]]&lt;60,"50s",EmployeeData[[#This Row],[Age]]&gt;=60,"60s")</f>
        <v>20s</v>
      </c>
      <c r="G519" s="5">
        <v>45346</v>
      </c>
      <c r="H519" s="5">
        <v>45857</v>
      </c>
      <c r="I519" t="s">
        <v>52</v>
      </c>
      <c r="J519" t="s">
        <v>13</v>
      </c>
      <c r="K519" cm="1">
        <f t="array" aca="1" ref="K519" ca="1">_xlfn.IFS(EmployeeData[[#This Row],[Status]]="Active",_xlfn.DAYS(TODAY(),EmployeeData[[#This Row],[Join Date]]),EmployeeData[[#This Row],[Status]]="Exited",_xlfn.DAYS(EmployeeData[[#This Row],[Exit Date]],EmployeeData[[#This Row],[Join Date]]))</f>
        <v>511</v>
      </c>
      <c r="L519" cm="1">
        <f t="array" aca="1" ref="L519" ca="1">_xlfn.IFS(EmployeeData[[#This Row],[Status]]="Exited",DATEDIF(EmployeeData[[#This Row],[Join Date]], EmployeeData[[#This Row],[Exit Date]], "Y"),EmployeeData[[#This Row],[Status]]="Active",DATEDIF(EmployeeData[[#This Row],[Join Date]], TODAY(), "Y"))</f>
        <v>1</v>
      </c>
      <c r="Q519" t="str" cm="1">
        <f t="array" aca="1" ref="Q5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520" spans="1:17" hidden="1" x14ac:dyDescent="0.3">
      <c r="A520">
        <v>1519</v>
      </c>
      <c r="B520" t="s">
        <v>208</v>
      </c>
      <c r="C520" t="s">
        <v>33</v>
      </c>
      <c r="D520" t="s">
        <v>16</v>
      </c>
      <c r="E520">
        <v>26</v>
      </c>
      <c r="F520" t="str" cm="1">
        <f t="array" ref="F520">_xlfn.IFS(EmployeeData[[#This Row],[Age]]&lt;30,"20s",EmployeeData[[#This Row],[Age]]&lt;40,"30s",EmployeeData[[#This Row],[Age]]&lt;50,"40s",EmployeeData[[#This Row],[Age]]&lt;60,"50s",EmployeeData[[#This Row],[Age]]&gt;=60,"60s")</f>
        <v>20s</v>
      </c>
      <c r="G520" s="5">
        <v>44830</v>
      </c>
      <c r="I520" t="s">
        <v>17</v>
      </c>
      <c r="J520" t="s">
        <v>18</v>
      </c>
      <c r="K520" cm="1">
        <f t="array" aca="1" ref="K520" ca="1">_xlfn.IFS(EmployeeData[[#This Row],[Status]]="Active",_xlfn.DAYS(TODAY(),EmployeeData[[#This Row],[Join Date]]),EmployeeData[[#This Row],[Status]]="Exited",_xlfn.DAYS(EmployeeData[[#This Row],[Exit Date]],EmployeeData[[#This Row],[Join Date]]))</f>
        <v>1367</v>
      </c>
      <c r="L520" cm="1">
        <f t="array" aca="1" ref="L520" ca="1">_xlfn.IFS(EmployeeData[[#This Row],[Status]]="Exited",DATEDIF(EmployeeData[[#This Row],[Join Date]], EmployeeData[[#This Row],[Exit Date]], "Y"),EmployeeData[[#This Row],[Status]]="Active",DATEDIF(EmployeeData[[#This Row],[Join Date]], TODAY(), "Y"))</f>
        <v>3</v>
      </c>
      <c r="Q520" t="str" cm="1">
        <f t="array" aca="1" ref="Q5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29 days</v>
      </c>
    </row>
    <row r="521" spans="1:17" hidden="1" x14ac:dyDescent="0.3">
      <c r="A521">
        <v>1520</v>
      </c>
      <c r="B521" t="s">
        <v>509</v>
      </c>
      <c r="C521" t="s">
        <v>20</v>
      </c>
      <c r="D521" t="s">
        <v>16</v>
      </c>
      <c r="E521">
        <v>55</v>
      </c>
      <c r="F521" t="str" cm="1">
        <f t="array" ref="F521">_xlfn.IFS(EmployeeData[[#This Row],[Age]]&lt;30,"20s",EmployeeData[[#This Row],[Age]]&lt;40,"30s",EmployeeData[[#This Row],[Age]]&lt;50,"40s",EmployeeData[[#This Row],[Age]]&lt;60,"50s",EmployeeData[[#This Row],[Age]]&gt;=60,"60s")</f>
        <v>50s</v>
      </c>
      <c r="G521" s="5">
        <v>44202</v>
      </c>
      <c r="I521" t="s">
        <v>17</v>
      </c>
      <c r="J521" t="s">
        <v>18</v>
      </c>
      <c r="K521" cm="1">
        <f t="array" aca="1" ref="K521" ca="1">_xlfn.IFS(EmployeeData[[#This Row],[Status]]="Active",_xlfn.DAYS(TODAY(),EmployeeData[[#This Row],[Join Date]]),EmployeeData[[#This Row],[Status]]="Exited",_xlfn.DAYS(EmployeeData[[#This Row],[Exit Date]],EmployeeData[[#This Row],[Join Date]]))</f>
        <v>1995</v>
      </c>
      <c r="L521" cm="1">
        <f t="array" aca="1" ref="L521" ca="1">_xlfn.IFS(EmployeeData[[#This Row],[Status]]="Exited",DATEDIF(EmployeeData[[#This Row],[Join Date]], EmployeeData[[#This Row],[Exit Date]], "Y"),EmployeeData[[#This Row],[Status]]="Active",DATEDIF(EmployeeData[[#This Row],[Join Date]], TODAY(), "Y"))</f>
        <v>5</v>
      </c>
      <c r="Q521" t="str" cm="1">
        <f t="array" aca="1" ref="Q5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18 days</v>
      </c>
    </row>
    <row r="522" spans="1:17" hidden="1" x14ac:dyDescent="0.3">
      <c r="A522">
        <v>1521</v>
      </c>
      <c r="B522" t="s">
        <v>486</v>
      </c>
      <c r="C522" t="s">
        <v>23</v>
      </c>
      <c r="D522" t="s">
        <v>24</v>
      </c>
      <c r="E522">
        <v>38</v>
      </c>
      <c r="F522" t="str" cm="1">
        <f t="array" ref="F522">_xlfn.IFS(EmployeeData[[#This Row],[Age]]&lt;30,"20s",EmployeeData[[#This Row],[Age]]&lt;40,"30s",EmployeeData[[#This Row],[Age]]&lt;50,"40s",EmployeeData[[#This Row],[Age]]&lt;60,"50s",EmployeeData[[#This Row],[Age]]&gt;=60,"60s")</f>
        <v>30s</v>
      </c>
      <c r="G522" s="5">
        <v>45970</v>
      </c>
      <c r="I522" t="s">
        <v>17</v>
      </c>
      <c r="J522" t="s">
        <v>18</v>
      </c>
      <c r="K522" cm="1">
        <f t="array" aca="1" ref="K522" ca="1">_xlfn.IFS(EmployeeData[[#This Row],[Status]]="Active",_xlfn.DAYS(TODAY(),EmployeeData[[#This Row],[Join Date]]),EmployeeData[[#This Row],[Status]]="Exited",_xlfn.DAYS(EmployeeData[[#This Row],[Exit Date]],EmployeeData[[#This Row],[Join Date]]))</f>
        <v>227</v>
      </c>
      <c r="L522" cm="1">
        <f t="array" aca="1" ref="L522" ca="1">_xlfn.IFS(EmployeeData[[#This Row],[Status]]="Exited",DATEDIF(EmployeeData[[#This Row],[Join Date]], EmployeeData[[#This Row],[Exit Date]], "Y"),EmployeeData[[#This Row],[Status]]="Active",DATEDIF(EmployeeData[[#This Row],[Join Date]], TODAY(), "Y"))</f>
        <v>0</v>
      </c>
      <c r="Q522" t="str" cm="1">
        <f t="array" aca="1" ref="Q5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15 days</v>
      </c>
    </row>
    <row r="523" spans="1:17" hidden="1" x14ac:dyDescent="0.3">
      <c r="A523">
        <v>1522</v>
      </c>
      <c r="B523" t="s">
        <v>955</v>
      </c>
      <c r="C523" t="s">
        <v>46</v>
      </c>
      <c r="D523" t="s">
        <v>16</v>
      </c>
      <c r="E523">
        <v>27</v>
      </c>
      <c r="F523" t="str" cm="1">
        <f t="array" ref="F523">_xlfn.IFS(EmployeeData[[#This Row],[Age]]&lt;30,"20s",EmployeeData[[#This Row],[Age]]&lt;40,"30s",EmployeeData[[#This Row],[Age]]&lt;50,"40s",EmployeeData[[#This Row],[Age]]&lt;60,"50s",EmployeeData[[#This Row],[Age]]&gt;=60,"60s")</f>
        <v>20s</v>
      </c>
      <c r="G523" s="5">
        <v>44256</v>
      </c>
      <c r="H523" s="5">
        <v>45810</v>
      </c>
      <c r="I523" t="s">
        <v>12</v>
      </c>
      <c r="J523" t="s">
        <v>13</v>
      </c>
      <c r="K523" cm="1">
        <f t="array" aca="1" ref="K523" ca="1">_xlfn.IFS(EmployeeData[[#This Row],[Status]]="Active",_xlfn.DAYS(TODAY(),EmployeeData[[#This Row],[Join Date]]),EmployeeData[[#This Row],[Status]]="Exited",_xlfn.DAYS(EmployeeData[[#This Row],[Exit Date]],EmployeeData[[#This Row],[Join Date]]))</f>
        <v>1554</v>
      </c>
      <c r="L523" cm="1">
        <f t="array" aca="1" ref="L523" ca="1">_xlfn.IFS(EmployeeData[[#This Row],[Status]]="Exited",DATEDIF(EmployeeData[[#This Row],[Join Date]], EmployeeData[[#This Row],[Exit Date]], "Y"),EmployeeData[[#This Row],[Status]]="Active",DATEDIF(EmployeeData[[#This Row],[Join Date]], TODAY(), "Y"))</f>
        <v>4</v>
      </c>
      <c r="Q523" t="str" cm="1">
        <f t="array" aca="1" ref="Q5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 days</v>
      </c>
    </row>
    <row r="524" spans="1:17" hidden="1" x14ac:dyDescent="0.3">
      <c r="A524">
        <v>1523</v>
      </c>
      <c r="B524" t="s">
        <v>396</v>
      </c>
      <c r="C524" t="s">
        <v>23</v>
      </c>
      <c r="D524" t="s">
        <v>24</v>
      </c>
      <c r="E524">
        <v>40</v>
      </c>
      <c r="F524" t="str" cm="1">
        <f t="array" ref="F524">_xlfn.IFS(EmployeeData[[#This Row],[Age]]&lt;30,"20s",EmployeeData[[#This Row],[Age]]&lt;40,"30s",EmployeeData[[#This Row],[Age]]&lt;50,"40s",EmployeeData[[#This Row],[Age]]&lt;60,"50s",EmployeeData[[#This Row],[Age]]&gt;=60,"60s")</f>
        <v>40s</v>
      </c>
      <c r="G524" s="5">
        <v>45142</v>
      </c>
      <c r="I524" t="s">
        <v>17</v>
      </c>
      <c r="J524" t="s">
        <v>18</v>
      </c>
      <c r="K524" cm="1">
        <f t="array" aca="1" ref="K524" ca="1">_xlfn.IFS(EmployeeData[[#This Row],[Status]]="Active",_xlfn.DAYS(TODAY(),EmployeeData[[#This Row],[Join Date]]),EmployeeData[[#This Row],[Status]]="Exited",_xlfn.DAYS(EmployeeData[[#This Row],[Exit Date]],EmployeeData[[#This Row],[Join Date]]))</f>
        <v>1055</v>
      </c>
      <c r="L524" cm="1">
        <f t="array" aca="1" ref="L524" ca="1">_xlfn.IFS(EmployeeData[[#This Row],[Status]]="Exited",DATEDIF(EmployeeData[[#This Row],[Join Date]], EmployeeData[[#This Row],[Exit Date]], "Y"),EmployeeData[[#This Row],[Status]]="Active",DATEDIF(EmployeeData[[#This Row],[Join Date]], TODAY(), "Y"))</f>
        <v>2</v>
      </c>
      <c r="Q524" t="str" cm="1">
        <f t="array" aca="1" ref="Q5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20 days</v>
      </c>
    </row>
    <row r="525" spans="1:17" x14ac:dyDescent="0.3">
      <c r="A525">
        <v>1524</v>
      </c>
      <c r="B525" t="s">
        <v>800</v>
      </c>
      <c r="C525" t="s">
        <v>10</v>
      </c>
      <c r="D525" t="s">
        <v>11</v>
      </c>
      <c r="E525">
        <v>30</v>
      </c>
      <c r="F525" t="str" cm="1">
        <f t="array" ref="F525">_xlfn.IFS(EmployeeData[[#This Row],[Age]]&lt;30,"20s",EmployeeData[[#This Row],[Age]]&lt;40,"30s",EmployeeData[[#This Row],[Age]]&lt;50,"40s",EmployeeData[[#This Row],[Age]]&lt;60,"50s",EmployeeData[[#This Row],[Age]]&gt;=60,"60s")</f>
        <v>30s</v>
      </c>
      <c r="G525" s="5">
        <v>43330</v>
      </c>
      <c r="H525" s="5">
        <v>45027</v>
      </c>
      <c r="I525" t="s">
        <v>31</v>
      </c>
      <c r="J525" t="s">
        <v>13</v>
      </c>
      <c r="K525" cm="1">
        <f t="array" aca="1" ref="K525" ca="1">_xlfn.IFS(EmployeeData[[#This Row],[Status]]="Active",_xlfn.DAYS(TODAY(),EmployeeData[[#This Row],[Join Date]]),EmployeeData[[#This Row],[Status]]="Exited",_xlfn.DAYS(EmployeeData[[#This Row],[Exit Date]],EmployeeData[[#This Row],[Join Date]]))</f>
        <v>1697</v>
      </c>
      <c r="L525" cm="1">
        <f t="array" aca="1" ref="L525" ca="1">_xlfn.IFS(EmployeeData[[#This Row],[Status]]="Exited",DATEDIF(EmployeeData[[#This Row],[Join Date]], EmployeeData[[#This Row],[Exit Date]], "Y"),EmployeeData[[#This Row],[Status]]="Active",DATEDIF(EmployeeData[[#This Row],[Join Date]], TODAY(), "Y"))</f>
        <v>4</v>
      </c>
      <c r="Q525" t="str" cm="1">
        <f t="array" aca="1" ref="Q5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24 days</v>
      </c>
    </row>
    <row r="526" spans="1:17" hidden="1" x14ac:dyDescent="0.3">
      <c r="A526">
        <v>1525</v>
      </c>
      <c r="B526" t="s">
        <v>829</v>
      </c>
      <c r="C526" t="s">
        <v>33</v>
      </c>
      <c r="D526" t="s">
        <v>11</v>
      </c>
      <c r="E526">
        <v>28</v>
      </c>
      <c r="F526" t="str" cm="1">
        <f t="array" ref="F526">_xlfn.IFS(EmployeeData[[#This Row],[Age]]&lt;30,"20s",EmployeeData[[#This Row],[Age]]&lt;40,"30s",EmployeeData[[#This Row],[Age]]&lt;50,"40s",EmployeeData[[#This Row],[Age]]&lt;60,"50s",EmployeeData[[#This Row],[Age]]&gt;=60,"60s")</f>
        <v>20s</v>
      </c>
      <c r="G526" s="5">
        <v>44120</v>
      </c>
      <c r="I526" t="s">
        <v>17</v>
      </c>
      <c r="J526" t="s">
        <v>18</v>
      </c>
      <c r="K526" cm="1">
        <f t="array" aca="1" ref="K526" ca="1">_xlfn.IFS(EmployeeData[[#This Row],[Status]]="Active",_xlfn.DAYS(TODAY(),EmployeeData[[#This Row],[Join Date]]),EmployeeData[[#This Row],[Status]]="Exited",_xlfn.DAYS(EmployeeData[[#This Row],[Exit Date]],EmployeeData[[#This Row],[Join Date]]))</f>
        <v>2077</v>
      </c>
      <c r="L526" cm="1">
        <f t="array" aca="1" ref="L526" ca="1">_xlfn.IFS(EmployeeData[[#This Row],[Status]]="Exited",DATEDIF(EmployeeData[[#This Row],[Join Date]], EmployeeData[[#This Row],[Exit Date]], "Y"),EmployeeData[[#This Row],[Status]]="Active",DATEDIF(EmployeeData[[#This Row],[Join Date]], TODAY(), "Y"))</f>
        <v>5</v>
      </c>
      <c r="Q526" t="str" cm="1">
        <f t="array" aca="1" ref="Q5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8 days</v>
      </c>
    </row>
    <row r="527" spans="1:17" hidden="1" x14ac:dyDescent="0.3">
      <c r="A527">
        <v>1526</v>
      </c>
      <c r="B527" t="s">
        <v>921</v>
      </c>
      <c r="C527" t="s">
        <v>15</v>
      </c>
      <c r="D527" t="s">
        <v>24</v>
      </c>
      <c r="E527">
        <v>27</v>
      </c>
      <c r="F527" t="str" cm="1">
        <f t="array" ref="F527">_xlfn.IFS(EmployeeData[[#This Row],[Age]]&lt;30,"20s",EmployeeData[[#This Row],[Age]]&lt;40,"30s",EmployeeData[[#This Row],[Age]]&lt;50,"40s",EmployeeData[[#This Row],[Age]]&lt;60,"50s",EmployeeData[[#This Row],[Age]]&gt;=60,"60s")</f>
        <v>20s</v>
      </c>
      <c r="G527" s="5">
        <v>45235</v>
      </c>
      <c r="I527" t="s">
        <v>17</v>
      </c>
      <c r="J527" t="s">
        <v>18</v>
      </c>
      <c r="K527" cm="1">
        <f t="array" aca="1" ref="K527" ca="1">_xlfn.IFS(EmployeeData[[#This Row],[Status]]="Active",_xlfn.DAYS(TODAY(),EmployeeData[[#This Row],[Join Date]]),EmployeeData[[#This Row],[Status]]="Exited",_xlfn.DAYS(EmployeeData[[#This Row],[Exit Date]],EmployeeData[[#This Row],[Join Date]]))</f>
        <v>962</v>
      </c>
      <c r="L527" cm="1">
        <f t="array" aca="1" ref="L527" ca="1">_xlfn.IFS(EmployeeData[[#This Row],[Status]]="Exited",DATEDIF(EmployeeData[[#This Row],[Join Date]], EmployeeData[[#This Row],[Exit Date]], "Y"),EmployeeData[[#This Row],[Status]]="Active",DATEDIF(EmployeeData[[#This Row],[Join Date]], TODAY(), "Y"))</f>
        <v>2</v>
      </c>
      <c r="Q527" t="str" cm="1">
        <f t="array" aca="1" ref="Q5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19 days</v>
      </c>
    </row>
    <row r="528" spans="1:17" hidden="1" x14ac:dyDescent="0.3">
      <c r="A528">
        <v>1527</v>
      </c>
      <c r="B528" t="s">
        <v>414</v>
      </c>
      <c r="C528" t="s">
        <v>46</v>
      </c>
      <c r="D528" t="s">
        <v>16</v>
      </c>
      <c r="E528">
        <v>23</v>
      </c>
      <c r="F528" t="str" cm="1">
        <f t="array" ref="F528">_xlfn.IFS(EmployeeData[[#This Row],[Age]]&lt;30,"20s",EmployeeData[[#This Row],[Age]]&lt;40,"30s",EmployeeData[[#This Row],[Age]]&lt;50,"40s",EmployeeData[[#This Row],[Age]]&lt;60,"50s",EmployeeData[[#This Row],[Age]]&gt;=60,"60s")</f>
        <v>20s</v>
      </c>
      <c r="G528" s="5">
        <v>45352</v>
      </c>
      <c r="I528" t="s">
        <v>17</v>
      </c>
      <c r="J528" t="s">
        <v>18</v>
      </c>
      <c r="K528" cm="1">
        <f t="array" aca="1" ref="K528" ca="1">_xlfn.IFS(EmployeeData[[#This Row],[Status]]="Active",_xlfn.DAYS(TODAY(),EmployeeData[[#This Row],[Join Date]]),EmployeeData[[#This Row],[Status]]="Exited",_xlfn.DAYS(EmployeeData[[#This Row],[Exit Date]],EmployeeData[[#This Row],[Join Date]]))</f>
        <v>845</v>
      </c>
      <c r="L528" cm="1">
        <f t="array" aca="1" ref="L528" ca="1">_xlfn.IFS(EmployeeData[[#This Row],[Status]]="Exited",DATEDIF(EmployeeData[[#This Row],[Join Date]], EmployeeData[[#This Row],[Exit Date]], "Y"),EmployeeData[[#This Row],[Status]]="Active",DATEDIF(EmployeeData[[#This Row],[Join Date]], TODAY(), "Y"))</f>
        <v>2</v>
      </c>
      <c r="Q528" t="str" cm="1">
        <f t="array" aca="1" ref="Q5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23 days</v>
      </c>
    </row>
    <row r="529" spans="1:17" hidden="1" x14ac:dyDescent="0.3">
      <c r="A529">
        <v>1528</v>
      </c>
      <c r="B529" t="s">
        <v>157</v>
      </c>
      <c r="C529" t="s">
        <v>15</v>
      </c>
      <c r="D529" t="s">
        <v>11</v>
      </c>
      <c r="E529">
        <v>55</v>
      </c>
      <c r="F529" t="str" cm="1">
        <f t="array" ref="F529">_xlfn.IFS(EmployeeData[[#This Row],[Age]]&lt;30,"20s",EmployeeData[[#This Row],[Age]]&lt;40,"30s",EmployeeData[[#This Row],[Age]]&lt;50,"40s",EmployeeData[[#This Row],[Age]]&lt;60,"50s",EmployeeData[[#This Row],[Age]]&gt;=60,"60s")</f>
        <v>50s</v>
      </c>
      <c r="G529" s="5">
        <v>43563</v>
      </c>
      <c r="H529" s="5">
        <v>45431</v>
      </c>
      <c r="I529" t="s">
        <v>26</v>
      </c>
      <c r="J529" t="s">
        <v>13</v>
      </c>
      <c r="K529" cm="1">
        <f t="array" aca="1" ref="K529" ca="1">_xlfn.IFS(EmployeeData[[#This Row],[Status]]="Active",_xlfn.DAYS(TODAY(),EmployeeData[[#This Row],[Join Date]]),EmployeeData[[#This Row],[Status]]="Exited",_xlfn.DAYS(EmployeeData[[#This Row],[Exit Date]],EmployeeData[[#This Row],[Join Date]]))</f>
        <v>1868</v>
      </c>
      <c r="L529" cm="1">
        <f t="array" aca="1" ref="L529" ca="1">_xlfn.IFS(EmployeeData[[#This Row],[Status]]="Exited",DATEDIF(EmployeeData[[#This Row],[Join Date]], EmployeeData[[#This Row],[Exit Date]], "Y"),EmployeeData[[#This Row],[Status]]="Active",DATEDIF(EmployeeData[[#This Row],[Join Date]], TODAY(), "Y"))</f>
        <v>5</v>
      </c>
      <c r="Q529" t="str" cm="1">
        <f t="array" aca="1" ref="Q5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530" spans="1:17" hidden="1" x14ac:dyDescent="0.3">
      <c r="A530">
        <v>1529</v>
      </c>
      <c r="B530" t="s">
        <v>503</v>
      </c>
      <c r="C530" t="s">
        <v>15</v>
      </c>
      <c r="D530" t="s">
        <v>16</v>
      </c>
      <c r="E530">
        <v>51</v>
      </c>
      <c r="F530" t="str" cm="1">
        <f t="array" ref="F530">_xlfn.IFS(EmployeeData[[#This Row],[Age]]&lt;30,"20s",EmployeeData[[#This Row],[Age]]&lt;40,"30s",EmployeeData[[#This Row],[Age]]&lt;50,"40s",EmployeeData[[#This Row],[Age]]&lt;60,"50s",EmployeeData[[#This Row],[Age]]&gt;=60,"60s")</f>
        <v>50s</v>
      </c>
      <c r="G530" s="5">
        <v>45920</v>
      </c>
      <c r="I530" t="s">
        <v>17</v>
      </c>
      <c r="J530" t="s">
        <v>18</v>
      </c>
      <c r="K530" cm="1">
        <f t="array" aca="1" ref="K530" ca="1">_xlfn.IFS(EmployeeData[[#This Row],[Status]]="Active",_xlfn.DAYS(TODAY(),EmployeeData[[#This Row],[Join Date]]),EmployeeData[[#This Row],[Status]]="Exited",_xlfn.DAYS(EmployeeData[[#This Row],[Exit Date]],EmployeeData[[#This Row],[Join Date]]))</f>
        <v>277</v>
      </c>
      <c r="L530" cm="1">
        <f t="array" aca="1" ref="L530" ca="1">_xlfn.IFS(EmployeeData[[#This Row],[Status]]="Exited",DATEDIF(EmployeeData[[#This Row],[Join Date]], EmployeeData[[#This Row],[Exit Date]], "Y"),EmployeeData[[#This Row],[Status]]="Active",DATEDIF(EmployeeData[[#This Row],[Join Date]], TODAY(), "Y"))</f>
        <v>0</v>
      </c>
      <c r="Q530" t="str" cm="1">
        <f t="array" aca="1" ref="Q5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531" spans="1:17" x14ac:dyDescent="0.3">
      <c r="A531">
        <v>1530</v>
      </c>
      <c r="B531" t="s">
        <v>380</v>
      </c>
      <c r="C531" t="s">
        <v>15</v>
      </c>
      <c r="D531" t="s">
        <v>24</v>
      </c>
      <c r="E531">
        <v>24</v>
      </c>
      <c r="F531" t="str" cm="1">
        <f t="array" ref="F531">_xlfn.IFS(EmployeeData[[#This Row],[Age]]&lt;30,"20s",EmployeeData[[#This Row],[Age]]&lt;40,"30s",EmployeeData[[#This Row],[Age]]&lt;50,"40s",EmployeeData[[#This Row],[Age]]&lt;60,"50s",EmployeeData[[#This Row],[Age]]&gt;=60,"60s")</f>
        <v>20s</v>
      </c>
      <c r="G531" s="5">
        <v>43345</v>
      </c>
      <c r="H531" s="5">
        <v>44065</v>
      </c>
      <c r="I531" t="s">
        <v>34</v>
      </c>
      <c r="J531" t="s">
        <v>13</v>
      </c>
      <c r="K531" cm="1">
        <f t="array" aca="1" ref="K531" ca="1">_xlfn.IFS(EmployeeData[[#This Row],[Status]]="Active",_xlfn.DAYS(TODAY(),EmployeeData[[#This Row],[Join Date]]),EmployeeData[[#This Row],[Status]]="Exited",_xlfn.DAYS(EmployeeData[[#This Row],[Exit Date]],EmployeeData[[#This Row],[Join Date]]))</f>
        <v>720</v>
      </c>
      <c r="L531" cm="1">
        <f t="array" aca="1" ref="L531" ca="1">_xlfn.IFS(EmployeeData[[#This Row],[Status]]="Exited",DATEDIF(EmployeeData[[#This Row],[Join Date]], EmployeeData[[#This Row],[Exit Date]], "Y"),EmployeeData[[#This Row],[Status]]="Active",DATEDIF(EmployeeData[[#This Row],[Join Date]], TODAY(), "Y"))</f>
        <v>1</v>
      </c>
      <c r="Q531" t="str" cm="1">
        <f t="array" aca="1" ref="Q5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20 days</v>
      </c>
    </row>
    <row r="532" spans="1:17" hidden="1" x14ac:dyDescent="0.3">
      <c r="A532">
        <v>1531</v>
      </c>
      <c r="B532" t="s">
        <v>958</v>
      </c>
      <c r="C532" t="s">
        <v>46</v>
      </c>
      <c r="D532" t="s">
        <v>11</v>
      </c>
      <c r="E532">
        <v>43</v>
      </c>
      <c r="F532" t="str" cm="1">
        <f t="array" ref="F532">_xlfn.IFS(EmployeeData[[#This Row],[Age]]&lt;30,"20s",EmployeeData[[#This Row],[Age]]&lt;40,"30s",EmployeeData[[#This Row],[Age]]&lt;50,"40s",EmployeeData[[#This Row],[Age]]&lt;60,"50s",EmployeeData[[#This Row],[Age]]&gt;=60,"60s")</f>
        <v>40s</v>
      </c>
      <c r="G532" s="5">
        <v>44897</v>
      </c>
      <c r="I532" t="s">
        <v>17</v>
      </c>
      <c r="J532" t="s">
        <v>18</v>
      </c>
      <c r="K532" cm="1">
        <f t="array" aca="1" ref="K532" ca="1">_xlfn.IFS(EmployeeData[[#This Row],[Status]]="Active",_xlfn.DAYS(TODAY(),EmployeeData[[#This Row],[Join Date]]),EmployeeData[[#This Row],[Status]]="Exited",_xlfn.DAYS(EmployeeData[[#This Row],[Exit Date]],EmployeeData[[#This Row],[Join Date]]))</f>
        <v>1300</v>
      </c>
      <c r="L532" cm="1">
        <f t="array" aca="1" ref="L532" ca="1">_xlfn.IFS(EmployeeData[[#This Row],[Status]]="Exited",DATEDIF(EmployeeData[[#This Row],[Join Date]], EmployeeData[[#This Row],[Exit Date]], "Y"),EmployeeData[[#This Row],[Status]]="Active",DATEDIF(EmployeeData[[#This Row],[Join Date]], TODAY(), "Y"))</f>
        <v>3</v>
      </c>
      <c r="Q532" t="str" cm="1">
        <f t="array" aca="1" ref="Q5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22 days</v>
      </c>
    </row>
    <row r="533" spans="1:17" hidden="1" x14ac:dyDescent="0.3">
      <c r="A533">
        <v>1532</v>
      </c>
      <c r="B533" t="s">
        <v>1074</v>
      </c>
      <c r="C533" t="s">
        <v>10</v>
      </c>
      <c r="D533" t="s">
        <v>16</v>
      </c>
      <c r="E533">
        <v>49</v>
      </c>
      <c r="F533" t="str" cm="1">
        <f t="array" ref="F533">_xlfn.IFS(EmployeeData[[#This Row],[Age]]&lt;30,"20s",EmployeeData[[#This Row],[Age]]&lt;40,"30s",EmployeeData[[#This Row],[Age]]&lt;50,"40s",EmployeeData[[#This Row],[Age]]&lt;60,"50s",EmployeeData[[#This Row],[Age]]&gt;=60,"60s")</f>
        <v>40s</v>
      </c>
      <c r="G533" s="5">
        <v>45390</v>
      </c>
      <c r="H533" s="5">
        <v>45981</v>
      </c>
      <c r="I533" t="s">
        <v>31</v>
      </c>
      <c r="J533" t="s">
        <v>13</v>
      </c>
      <c r="K533" cm="1">
        <f t="array" aca="1" ref="K533" ca="1">_xlfn.IFS(EmployeeData[[#This Row],[Status]]="Active",_xlfn.DAYS(TODAY(),EmployeeData[[#This Row],[Join Date]]),EmployeeData[[#This Row],[Status]]="Exited",_xlfn.DAYS(EmployeeData[[#This Row],[Exit Date]],EmployeeData[[#This Row],[Join Date]]))</f>
        <v>591</v>
      </c>
      <c r="L533" cm="1">
        <f t="array" aca="1" ref="L533" ca="1">_xlfn.IFS(EmployeeData[[#This Row],[Status]]="Exited",DATEDIF(EmployeeData[[#This Row],[Join Date]], EmployeeData[[#This Row],[Exit Date]], "Y"),EmployeeData[[#This Row],[Status]]="Active",DATEDIF(EmployeeData[[#This Row],[Join Date]], TODAY(), "Y"))</f>
        <v>1</v>
      </c>
      <c r="Q533" t="str" cm="1">
        <f t="array" aca="1" ref="Q5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34" spans="1:17" hidden="1" x14ac:dyDescent="0.3">
      <c r="A534">
        <v>1533</v>
      </c>
      <c r="B534" t="s">
        <v>9</v>
      </c>
      <c r="C534" t="s">
        <v>10</v>
      </c>
      <c r="D534" t="s">
        <v>11</v>
      </c>
      <c r="E534">
        <v>56</v>
      </c>
      <c r="F534" t="str" cm="1">
        <f t="array" ref="F534">_xlfn.IFS(EmployeeData[[#This Row],[Age]]&lt;30,"20s",EmployeeData[[#This Row],[Age]]&lt;40,"30s",EmployeeData[[#This Row],[Age]]&lt;50,"40s",EmployeeData[[#This Row],[Age]]&lt;60,"50s",EmployeeData[[#This Row],[Age]]&gt;=60,"60s")</f>
        <v>50s</v>
      </c>
      <c r="G534" s="5">
        <v>43757</v>
      </c>
      <c r="H534" s="5">
        <v>44481</v>
      </c>
      <c r="I534" t="s">
        <v>12</v>
      </c>
      <c r="J534" t="s">
        <v>13</v>
      </c>
      <c r="K534" cm="1">
        <f t="array" aca="1" ref="K534" ca="1">_xlfn.IFS(EmployeeData[[#This Row],[Status]]="Active",_xlfn.DAYS(TODAY(),EmployeeData[[#This Row],[Join Date]]),EmployeeData[[#This Row],[Status]]="Exited",_xlfn.DAYS(EmployeeData[[#This Row],[Exit Date]],EmployeeData[[#This Row],[Join Date]]))</f>
        <v>724</v>
      </c>
      <c r="L534" cm="1">
        <f t="array" aca="1" ref="L534" ca="1">_xlfn.IFS(EmployeeData[[#This Row],[Status]]="Exited",DATEDIF(EmployeeData[[#This Row],[Join Date]], EmployeeData[[#This Row],[Exit Date]], "Y"),EmployeeData[[#This Row],[Status]]="Active",DATEDIF(EmployeeData[[#This Row],[Join Date]], TODAY(), "Y"))</f>
        <v>1</v>
      </c>
      <c r="Q534" t="str" cm="1">
        <f t="array" aca="1" ref="Q5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535" spans="1:17" x14ac:dyDescent="0.3">
      <c r="A535">
        <v>1534</v>
      </c>
      <c r="B535" t="s">
        <v>857</v>
      </c>
      <c r="C535" t="s">
        <v>20</v>
      </c>
      <c r="D535" t="s">
        <v>24</v>
      </c>
      <c r="E535">
        <v>32</v>
      </c>
      <c r="F535" t="str" cm="1">
        <f t="array" ref="F535">_xlfn.IFS(EmployeeData[[#This Row],[Age]]&lt;30,"20s",EmployeeData[[#This Row],[Age]]&lt;40,"30s",EmployeeData[[#This Row],[Age]]&lt;50,"40s",EmployeeData[[#This Row],[Age]]&lt;60,"50s",EmployeeData[[#This Row],[Age]]&gt;=60,"60s")</f>
        <v>30s</v>
      </c>
      <c r="G535" s="5">
        <v>43177</v>
      </c>
      <c r="I535" t="s">
        <v>17</v>
      </c>
      <c r="J535" t="s">
        <v>18</v>
      </c>
      <c r="K535" cm="1">
        <f t="array" aca="1" ref="K535" ca="1">_xlfn.IFS(EmployeeData[[#This Row],[Status]]="Active",_xlfn.DAYS(TODAY(),EmployeeData[[#This Row],[Join Date]]),EmployeeData[[#This Row],[Status]]="Exited",_xlfn.DAYS(EmployeeData[[#This Row],[Exit Date]],EmployeeData[[#This Row],[Join Date]]))</f>
        <v>3020</v>
      </c>
      <c r="L535" cm="1">
        <f t="array" aca="1" ref="L535" ca="1">_xlfn.IFS(EmployeeData[[#This Row],[Status]]="Exited",DATEDIF(EmployeeData[[#This Row],[Join Date]], EmployeeData[[#This Row],[Exit Date]], "Y"),EmployeeData[[#This Row],[Status]]="Active",DATEDIF(EmployeeData[[#This Row],[Join Date]], TODAY(), "Y"))</f>
        <v>8</v>
      </c>
      <c r="Q535" t="str" cm="1">
        <f t="array" aca="1" ref="Q5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6 days</v>
      </c>
    </row>
    <row r="536" spans="1:17" hidden="1" x14ac:dyDescent="0.3">
      <c r="A536">
        <v>1535</v>
      </c>
      <c r="B536" t="s">
        <v>993</v>
      </c>
      <c r="C536" t="s">
        <v>20</v>
      </c>
      <c r="D536" t="s">
        <v>24</v>
      </c>
      <c r="E536">
        <v>45</v>
      </c>
      <c r="F536" t="str" cm="1">
        <f t="array" ref="F536">_xlfn.IFS(EmployeeData[[#This Row],[Age]]&lt;30,"20s",EmployeeData[[#This Row],[Age]]&lt;40,"30s",EmployeeData[[#This Row],[Age]]&lt;50,"40s",EmployeeData[[#This Row],[Age]]&lt;60,"50s",EmployeeData[[#This Row],[Age]]&gt;=60,"60s")</f>
        <v>40s</v>
      </c>
      <c r="G536" s="5">
        <v>43878</v>
      </c>
      <c r="I536" t="s">
        <v>17</v>
      </c>
      <c r="J536" t="s">
        <v>18</v>
      </c>
      <c r="K536" cm="1">
        <f t="array" aca="1" ref="K536" ca="1">_xlfn.IFS(EmployeeData[[#This Row],[Status]]="Active",_xlfn.DAYS(TODAY(),EmployeeData[[#This Row],[Join Date]]),EmployeeData[[#This Row],[Status]]="Exited",_xlfn.DAYS(EmployeeData[[#This Row],[Exit Date]],EmployeeData[[#This Row],[Join Date]]))</f>
        <v>2319</v>
      </c>
      <c r="L536" cm="1">
        <f t="array" aca="1" ref="L536" ca="1">_xlfn.IFS(EmployeeData[[#This Row],[Status]]="Exited",DATEDIF(EmployeeData[[#This Row],[Join Date]], EmployeeData[[#This Row],[Exit Date]], "Y"),EmployeeData[[#This Row],[Status]]="Active",DATEDIF(EmployeeData[[#This Row],[Join Date]], TODAY(), "Y"))</f>
        <v>6</v>
      </c>
      <c r="Q536" t="str" cm="1">
        <f t="array" aca="1" ref="Q5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7 days</v>
      </c>
    </row>
    <row r="537" spans="1:17" hidden="1" x14ac:dyDescent="0.3">
      <c r="A537">
        <v>1536</v>
      </c>
      <c r="B537" t="s">
        <v>1042</v>
      </c>
      <c r="C537" t="s">
        <v>10</v>
      </c>
      <c r="D537" t="s">
        <v>24</v>
      </c>
      <c r="E537">
        <v>28</v>
      </c>
      <c r="F537" t="str" cm="1">
        <f t="array" ref="F537">_xlfn.IFS(EmployeeData[[#This Row],[Age]]&lt;30,"20s",EmployeeData[[#This Row],[Age]]&lt;40,"30s",EmployeeData[[#This Row],[Age]]&lt;50,"40s",EmployeeData[[#This Row],[Age]]&lt;60,"50s",EmployeeData[[#This Row],[Age]]&gt;=60,"60s")</f>
        <v>20s</v>
      </c>
      <c r="G537" s="5">
        <v>43495</v>
      </c>
      <c r="I537" t="s">
        <v>17</v>
      </c>
      <c r="J537" t="s">
        <v>18</v>
      </c>
      <c r="K537" cm="1">
        <f t="array" aca="1" ref="K537" ca="1">_xlfn.IFS(EmployeeData[[#This Row],[Status]]="Active",_xlfn.DAYS(TODAY(),EmployeeData[[#This Row],[Join Date]]),EmployeeData[[#This Row],[Status]]="Exited",_xlfn.DAYS(EmployeeData[[#This Row],[Exit Date]],EmployeeData[[#This Row],[Join Date]]))</f>
        <v>2702</v>
      </c>
      <c r="L537" cm="1">
        <f t="array" aca="1" ref="L537" ca="1">_xlfn.IFS(EmployeeData[[#This Row],[Status]]="Exited",DATEDIF(EmployeeData[[#This Row],[Join Date]], EmployeeData[[#This Row],[Exit Date]], "Y"),EmployeeData[[#This Row],[Status]]="Active",DATEDIF(EmployeeData[[#This Row],[Join Date]], TODAY(), "Y"))</f>
        <v>7</v>
      </c>
      <c r="Q537" t="str" cm="1">
        <f t="array" aca="1" ref="Q5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25 days</v>
      </c>
    </row>
    <row r="538" spans="1:17" hidden="1" x14ac:dyDescent="0.3">
      <c r="A538">
        <v>1537</v>
      </c>
      <c r="B538" t="s">
        <v>537</v>
      </c>
      <c r="C538" t="s">
        <v>15</v>
      </c>
      <c r="D538" t="s">
        <v>11</v>
      </c>
      <c r="E538">
        <v>33</v>
      </c>
      <c r="F538" t="str" cm="1">
        <f t="array" ref="F538">_xlfn.IFS(EmployeeData[[#This Row],[Age]]&lt;30,"20s",EmployeeData[[#This Row],[Age]]&lt;40,"30s",EmployeeData[[#This Row],[Age]]&lt;50,"40s",EmployeeData[[#This Row],[Age]]&lt;60,"50s",EmployeeData[[#This Row],[Age]]&gt;=60,"60s")</f>
        <v>30s</v>
      </c>
      <c r="G538" s="5">
        <v>43539</v>
      </c>
      <c r="I538" t="s">
        <v>17</v>
      </c>
      <c r="J538" t="s">
        <v>18</v>
      </c>
      <c r="K538" cm="1">
        <f t="array" aca="1" ref="K538" ca="1">_xlfn.IFS(EmployeeData[[#This Row],[Status]]="Active",_xlfn.DAYS(TODAY(),EmployeeData[[#This Row],[Join Date]]),EmployeeData[[#This Row],[Status]]="Exited",_xlfn.DAYS(EmployeeData[[#This Row],[Exit Date]],EmployeeData[[#This Row],[Join Date]]))</f>
        <v>2658</v>
      </c>
      <c r="L538" cm="1">
        <f t="array" aca="1" ref="L538" ca="1">_xlfn.IFS(EmployeeData[[#This Row],[Status]]="Exited",DATEDIF(EmployeeData[[#This Row],[Join Date]], EmployeeData[[#This Row],[Exit Date]], "Y"),EmployeeData[[#This Row],[Status]]="Active",DATEDIF(EmployeeData[[#This Row],[Join Date]], TODAY(), "Y"))</f>
        <v>7</v>
      </c>
      <c r="Q538" t="str" cm="1">
        <f t="array" aca="1" ref="Q5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9 days</v>
      </c>
    </row>
    <row r="539" spans="1:17" hidden="1" x14ac:dyDescent="0.3">
      <c r="A539">
        <v>1538</v>
      </c>
      <c r="B539" t="s">
        <v>1022</v>
      </c>
      <c r="C539" t="s">
        <v>20</v>
      </c>
      <c r="D539" t="s">
        <v>24</v>
      </c>
      <c r="E539">
        <v>58</v>
      </c>
      <c r="F539" t="str" cm="1">
        <f t="array" ref="F539">_xlfn.IFS(EmployeeData[[#This Row],[Age]]&lt;30,"20s",EmployeeData[[#This Row],[Age]]&lt;40,"30s",EmployeeData[[#This Row],[Age]]&lt;50,"40s",EmployeeData[[#This Row],[Age]]&lt;60,"50s",EmployeeData[[#This Row],[Age]]&gt;=60,"60s")</f>
        <v>50s</v>
      </c>
      <c r="G539" s="5">
        <v>44149</v>
      </c>
      <c r="H539" s="5">
        <v>44691</v>
      </c>
      <c r="I539" t="s">
        <v>28</v>
      </c>
      <c r="J539" t="s">
        <v>13</v>
      </c>
      <c r="K539" cm="1">
        <f t="array" aca="1" ref="K539" ca="1">_xlfn.IFS(EmployeeData[[#This Row],[Status]]="Active",_xlfn.DAYS(TODAY(),EmployeeData[[#This Row],[Join Date]]),EmployeeData[[#This Row],[Status]]="Exited",_xlfn.DAYS(EmployeeData[[#This Row],[Exit Date]],EmployeeData[[#This Row],[Join Date]]))</f>
        <v>542</v>
      </c>
      <c r="L539" cm="1">
        <f t="array" aca="1" ref="L539" ca="1">_xlfn.IFS(EmployeeData[[#This Row],[Status]]="Exited",DATEDIF(EmployeeData[[#This Row],[Join Date]], EmployeeData[[#This Row],[Exit Date]], "Y"),EmployeeData[[#This Row],[Status]]="Active",DATEDIF(EmployeeData[[#This Row],[Join Date]], TODAY(), "Y"))</f>
        <v>1</v>
      </c>
      <c r="Q539" t="str" cm="1">
        <f t="array" aca="1" ref="Q5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540" spans="1:17" hidden="1" x14ac:dyDescent="0.3">
      <c r="A540">
        <v>1539</v>
      </c>
      <c r="B540" t="s">
        <v>343</v>
      </c>
      <c r="C540" t="s">
        <v>15</v>
      </c>
      <c r="D540" t="s">
        <v>24</v>
      </c>
      <c r="E540">
        <v>26</v>
      </c>
      <c r="F540" t="str" cm="1">
        <f t="array" ref="F540">_xlfn.IFS(EmployeeData[[#This Row],[Age]]&lt;30,"20s",EmployeeData[[#This Row],[Age]]&lt;40,"30s",EmployeeData[[#This Row],[Age]]&lt;50,"40s",EmployeeData[[#This Row],[Age]]&lt;60,"50s",EmployeeData[[#This Row],[Age]]&gt;=60,"60s")</f>
        <v>20s</v>
      </c>
      <c r="G540" s="5">
        <v>45018</v>
      </c>
      <c r="I540" t="s">
        <v>17</v>
      </c>
      <c r="J540" t="s">
        <v>18</v>
      </c>
      <c r="K540" cm="1">
        <f t="array" aca="1" ref="K540" ca="1">_xlfn.IFS(EmployeeData[[#This Row],[Status]]="Active",_xlfn.DAYS(TODAY(),EmployeeData[[#This Row],[Join Date]]),EmployeeData[[#This Row],[Status]]="Exited",_xlfn.DAYS(EmployeeData[[#This Row],[Exit Date]],EmployeeData[[#This Row],[Join Date]]))</f>
        <v>1179</v>
      </c>
      <c r="L540" cm="1">
        <f t="array" aca="1" ref="L540" ca="1">_xlfn.IFS(EmployeeData[[#This Row],[Status]]="Exited",DATEDIF(EmployeeData[[#This Row],[Join Date]], EmployeeData[[#This Row],[Exit Date]], "Y"),EmployeeData[[#This Row],[Status]]="Active",DATEDIF(EmployeeData[[#This Row],[Join Date]], TODAY(), "Y"))</f>
        <v>3</v>
      </c>
      <c r="Q540" t="str" cm="1">
        <f t="array" aca="1" ref="Q5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22 days</v>
      </c>
    </row>
    <row r="541" spans="1:17" hidden="1" x14ac:dyDescent="0.3">
      <c r="A541">
        <v>1540</v>
      </c>
      <c r="B541" t="s">
        <v>32</v>
      </c>
      <c r="C541" t="s">
        <v>33</v>
      </c>
      <c r="D541" t="s">
        <v>11</v>
      </c>
      <c r="E541">
        <v>24</v>
      </c>
      <c r="F541" t="str" cm="1">
        <f t="array" ref="F541">_xlfn.IFS(EmployeeData[[#This Row],[Age]]&lt;30,"20s",EmployeeData[[#This Row],[Age]]&lt;40,"30s",EmployeeData[[#This Row],[Age]]&lt;50,"40s",EmployeeData[[#This Row],[Age]]&lt;60,"50s",EmployeeData[[#This Row],[Age]]&gt;=60,"60s")</f>
        <v>20s</v>
      </c>
      <c r="G541" s="5">
        <v>45627</v>
      </c>
      <c r="H541" s="5">
        <v>45737</v>
      </c>
      <c r="I541" t="s">
        <v>34</v>
      </c>
      <c r="J541" t="s">
        <v>13</v>
      </c>
      <c r="K541" cm="1">
        <f t="array" aca="1" ref="K541" ca="1">_xlfn.IFS(EmployeeData[[#This Row],[Status]]="Active",_xlfn.DAYS(TODAY(),EmployeeData[[#This Row],[Join Date]]),EmployeeData[[#This Row],[Status]]="Exited",_xlfn.DAYS(EmployeeData[[#This Row],[Exit Date]],EmployeeData[[#This Row],[Join Date]]))</f>
        <v>110</v>
      </c>
      <c r="L541" cm="1">
        <f t="array" aca="1" ref="L541" ca="1">_xlfn.IFS(EmployeeData[[#This Row],[Status]]="Exited",DATEDIF(EmployeeData[[#This Row],[Join Date]], EmployeeData[[#This Row],[Exit Date]], "Y"),EmployeeData[[#This Row],[Status]]="Active",DATEDIF(EmployeeData[[#This Row],[Join Date]], TODAY(), "Y"))</f>
        <v>0</v>
      </c>
      <c r="Q541" t="str" cm="1">
        <f t="array" aca="1" ref="Q5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542" spans="1:17" hidden="1" x14ac:dyDescent="0.3">
      <c r="A542">
        <v>1541</v>
      </c>
      <c r="B542" t="s">
        <v>733</v>
      </c>
      <c r="C542" t="s">
        <v>46</v>
      </c>
      <c r="D542" t="s">
        <v>16</v>
      </c>
      <c r="E542">
        <v>35</v>
      </c>
      <c r="F542" t="str" cm="1">
        <f t="array" ref="F542">_xlfn.IFS(EmployeeData[[#This Row],[Age]]&lt;30,"20s",EmployeeData[[#This Row],[Age]]&lt;40,"30s",EmployeeData[[#This Row],[Age]]&lt;50,"40s",EmployeeData[[#This Row],[Age]]&lt;60,"50s",EmployeeData[[#This Row],[Age]]&gt;=60,"60s")</f>
        <v>30s</v>
      </c>
      <c r="G542" s="5">
        <v>45278</v>
      </c>
      <c r="I542" t="s">
        <v>17</v>
      </c>
      <c r="J542" t="s">
        <v>18</v>
      </c>
      <c r="K542" cm="1">
        <f t="array" aca="1" ref="K542" ca="1">_xlfn.IFS(EmployeeData[[#This Row],[Status]]="Active",_xlfn.DAYS(TODAY(),EmployeeData[[#This Row],[Join Date]]),EmployeeData[[#This Row],[Status]]="Exited",_xlfn.DAYS(EmployeeData[[#This Row],[Exit Date]],EmployeeData[[#This Row],[Join Date]]))</f>
        <v>919</v>
      </c>
      <c r="L542" cm="1">
        <f t="array" aca="1" ref="L542" ca="1">_xlfn.IFS(EmployeeData[[#This Row],[Status]]="Exited",DATEDIF(EmployeeData[[#This Row],[Join Date]], EmployeeData[[#This Row],[Exit Date]], "Y"),EmployeeData[[#This Row],[Status]]="Active",DATEDIF(EmployeeData[[#This Row],[Join Date]], TODAY(), "Y"))</f>
        <v>2</v>
      </c>
      <c r="Q542" t="str" cm="1">
        <f t="array" aca="1" ref="Q5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6 days</v>
      </c>
    </row>
    <row r="543" spans="1:17" hidden="1" x14ac:dyDescent="0.3">
      <c r="A543">
        <v>1542</v>
      </c>
      <c r="B543" t="s">
        <v>125</v>
      </c>
      <c r="C543" t="s">
        <v>23</v>
      </c>
      <c r="D543" t="s">
        <v>11</v>
      </c>
      <c r="E543">
        <v>56</v>
      </c>
      <c r="F543" t="str" cm="1">
        <f t="array" ref="F543">_xlfn.IFS(EmployeeData[[#This Row],[Age]]&lt;30,"20s",EmployeeData[[#This Row],[Age]]&lt;40,"30s",EmployeeData[[#This Row],[Age]]&lt;50,"40s",EmployeeData[[#This Row],[Age]]&lt;60,"50s",EmployeeData[[#This Row],[Age]]&gt;=60,"60s")</f>
        <v>50s</v>
      </c>
      <c r="G543" s="5">
        <v>45387</v>
      </c>
      <c r="I543" t="s">
        <v>17</v>
      </c>
      <c r="J543" t="s">
        <v>18</v>
      </c>
      <c r="K543" cm="1">
        <f t="array" aca="1" ref="K543" ca="1">_xlfn.IFS(EmployeeData[[#This Row],[Status]]="Active",_xlfn.DAYS(TODAY(),EmployeeData[[#This Row],[Join Date]]),EmployeeData[[#This Row],[Status]]="Exited",_xlfn.DAYS(EmployeeData[[#This Row],[Exit Date]],EmployeeData[[#This Row],[Join Date]]))</f>
        <v>810</v>
      </c>
      <c r="L543" cm="1">
        <f t="array" aca="1" ref="L543" ca="1">_xlfn.IFS(EmployeeData[[#This Row],[Status]]="Exited",DATEDIF(EmployeeData[[#This Row],[Join Date]], EmployeeData[[#This Row],[Exit Date]], "Y"),EmployeeData[[#This Row],[Status]]="Active",DATEDIF(EmployeeData[[#This Row],[Join Date]], TODAY(), "Y"))</f>
        <v>2</v>
      </c>
      <c r="Q543" t="str" cm="1">
        <f t="array" aca="1" ref="Q5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544" spans="1:17" hidden="1" x14ac:dyDescent="0.3">
      <c r="A544">
        <v>1543</v>
      </c>
      <c r="B544" t="s">
        <v>121</v>
      </c>
      <c r="C544" t="s">
        <v>20</v>
      </c>
      <c r="D544" t="s">
        <v>24</v>
      </c>
      <c r="E544">
        <v>27</v>
      </c>
      <c r="F544" t="str" cm="1">
        <f t="array" ref="F544">_xlfn.IFS(EmployeeData[[#This Row],[Age]]&lt;30,"20s",EmployeeData[[#This Row],[Age]]&lt;40,"30s",EmployeeData[[#This Row],[Age]]&lt;50,"40s",EmployeeData[[#This Row],[Age]]&lt;60,"50s",EmployeeData[[#This Row],[Age]]&gt;=60,"60s")</f>
        <v>20s</v>
      </c>
      <c r="G544" s="5">
        <v>43784</v>
      </c>
      <c r="I544" t="s">
        <v>17</v>
      </c>
      <c r="J544" t="s">
        <v>18</v>
      </c>
      <c r="K544" cm="1">
        <f t="array" aca="1" ref="K544" ca="1">_xlfn.IFS(EmployeeData[[#This Row],[Status]]="Active",_xlfn.DAYS(TODAY(),EmployeeData[[#This Row],[Join Date]]),EmployeeData[[#This Row],[Status]]="Exited",_xlfn.DAYS(EmployeeData[[#This Row],[Exit Date]],EmployeeData[[#This Row],[Join Date]]))</f>
        <v>2413</v>
      </c>
      <c r="L544" cm="1">
        <f t="array" aca="1" ref="L544" ca="1">_xlfn.IFS(EmployeeData[[#This Row],[Status]]="Exited",DATEDIF(EmployeeData[[#This Row],[Join Date]], EmployeeData[[#This Row],[Exit Date]], "Y"),EmployeeData[[#This Row],[Status]]="Active",DATEDIF(EmployeeData[[#This Row],[Join Date]], TODAY(), "Y"))</f>
        <v>6</v>
      </c>
      <c r="Q544" t="str" cm="1">
        <f t="array" aca="1" ref="Q5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9 days</v>
      </c>
    </row>
    <row r="545" spans="1:17" hidden="1" x14ac:dyDescent="0.3">
      <c r="A545">
        <v>1544</v>
      </c>
      <c r="B545" t="s">
        <v>144</v>
      </c>
      <c r="C545" t="s">
        <v>23</v>
      </c>
      <c r="D545" t="s">
        <v>24</v>
      </c>
      <c r="E545">
        <v>43</v>
      </c>
      <c r="F545" t="str" cm="1">
        <f t="array" ref="F545">_xlfn.IFS(EmployeeData[[#This Row],[Age]]&lt;30,"20s",EmployeeData[[#This Row],[Age]]&lt;40,"30s",EmployeeData[[#This Row],[Age]]&lt;50,"40s",EmployeeData[[#This Row],[Age]]&lt;60,"50s",EmployeeData[[#This Row],[Age]]&gt;=60,"60s")</f>
        <v>40s</v>
      </c>
      <c r="G545" s="5">
        <v>44391</v>
      </c>
      <c r="I545" t="s">
        <v>17</v>
      </c>
      <c r="J545" t="s">
        <v>18</v>
      </c>
      <c r="K545" cm="1">
        <f t="array" aca="1" ref="K545" ca="1">_xlfn.IFS(EmployeeData[[#This Row],[Status]]="Active",_xlfn.DAYS(TODAY(),EmployeeData[[#This Row],[Join Date]]),EmployeeData[[#This Row],[Status]]="Exited",_xlfn.DAYS(EmployeeData[[#This Row],[Exit Date]],EmployeeData[[#This Row],[Join Date]]))</f>
        <v>1806</v>
      </c>
      <c r="L545" cm="1">
        <f t="array" aca="1" ref="L545" ca="1">_xlfn.IFS(EmployeeData[[#This Row],[Status]]="Exited",DATEDIF(EmployeeData[[#This Row],[Join Date]], EmployeeData[[#This Row],[Exit Date]], "Y"),EmployeeData[[#This Row],[Status]]="Active",DATEDIF(EmployeeData[[#This Row],[Join Date]], TODAY(), "Y"))</f>
        <v>4</v>
      </c>
      <c r="Q545" t="str" cm="1">
        <f t="array" aca="1" ref="Q5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10 days</v>
      </c>
    </row>
    <row r="546" spans="1:17" hidden="1" x14ac:dyDescent="0.3">
      <c r="A546">
        <v>1545</v>
      </c>
      <c r="B546" t="s">
        <v>427</v>
      </c>
      <c r="C546" t="s">
        <v>33</v>
      </c>
      <c r="D546" t="s">
        <v>24</v>
      </c>
      <c r="E546">
        <v>36</v>
      </c>
      <c r="F546" t="str" cm="1">
        <f t="array" ref="F546">_xlfn.IFS(EmployeeData[[#This Row],[Age]]&lt;30,"20s",EmployeeData[[#This Row],[Age]]&lt;40,"30s",EmployeeData[[#This Row],[Age]]&lt;50,"40s",EmployeeData[[#This Row],[Age]]&lt;60,"50s",EmployeeData[[#This Row],[Age]]&gt;=60,"60s")</f>
        <v>30s</v>
      </c>
      <c r="G546" s="5">
        <v>45407</v>
      </c>
      <c r="I546" t="s">
        <v>17</v>
      </c>
      <c r="J546" t="s">
        <v>18</v>
      </c>
      <c r="K546" cm="1">
        <f t="array" aca="1" ref="K546" ca="1">_xlfn.IFS(EmployeeData[[#This Row],[Status]]="Active",_xlfn.DAYS(TODAY(),EmployeeData[[#This Row],[Join Date]]),EmployeeData[[#This Row],[Status]]="Exited",_xlfn.DAYS(EmployeeData[[#This Row],[Exit Date]],EmployeeData[[#This Row],[Join Date]]))</f>
        <v>790</v>
      </c>
      <c r="L546" cm="1">
        <f t="array" aca="1" ref="L546" ca="1">_xlfn.IFS(EmployeeData[[#This Row],[Status]]="Exited",DATEDIF(EmployeeData[[#This Row],[Join Date]], EmployeeData[[#This Row],[Exit Date]], "Y"),EmployeeData[[#This Row],[Status]]="Active",DATEDIF(EmployeeData[[#This Row],[Join Date]], TODAY(), "Y"))</f>
        <v>2</v>
      </c>
      <c r="Q546" t="str" cm="1">
        <f t="array" aca="1" ref="Q5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30 days</v>
      </c>
    </row>
    <row r="547" spans="1:17" hidden="1" x14ac:dyDescent="0.3">
      <c r="A547">
        <v>1546</v>
      </c>
      <c r="B547" t="s">
        <v>932</v>
      </c>
      <c r="C547" t="s">
        <v>10</v>
      </c>
      <c r="D547" t="s">
        <v>11</v>
      </c>
      <c r="E547">
        <v>49</v>
      </c>
      <c r="F547" t="str" cm="1">
        <f t="array" ref="F547">_xlfn.IFS(EmployeeData[[#This Row],[Age]]&lt;30,"20s",EmployeeData[[#This Row],[Age]]&lt;40,"30s",EmployeeData[[#This Row],[Age]]&lt;50,"40s",EmployeeData[[#This Row],[Age]]&lt;60,"50s",EmployeeData[[#This Row],[Age]]&gt;=60,"60s")</f>
        <v>40s</v>
      </c>
      <c r="G547" s="5">
        <v>44727</v>
      </c>
      <c r="H547" s="5">
        <v>44887</v>
      </c>
      <c r="I547" t="s">
        <v>21</v>
      </c>
      <c r="J547" t="s">
        <v>13</v>
      </c>
      <c r="K547" cm="1">
        <f t="array" aca="1" ref="K547" ca="1">_xlfn.IFS(EmployeeData[[#This Row],[Status]]="Active",_xlfn.DAYS(TODAY(),EmployeeData[[#This Row],[Join Date]]),EmployeeData[[#This Row],[Status]]="Exited",_xlfn.DAYS(EmployeeData[[#This Row],[Exit Date]],EmployeeData[[#This Row],[Join Date]]))</f>
        <v>160</v>
      </c>
      <c r="L547" cm="1">
        <f t="array" aca="1" ref="L547" ca="1">_xlfn.IFS(EmployeeData[[#This Row],[Status]]="Exited",DATEDIF(EmployeeData[[#This Row],[Join Date]], EmployeeData[[#This Row],[Exit Date]], "Y"),EmployeeData[[#This Row],[Status]]="Active",DATEDIF(EmployeeData[[#This Row],[Join Date]], TODAY(), "Y"))</f>
        <v>0</v>
      </c>
      <c r="Q547" t="str" cm="1">
        <f t="array" aca="1" ref="Q5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7 days</v>
      </c>
    </row>
    <row r="548" spans="1:17" hidden="1" x14ac:dyDescent="0.3">
      <c r="A548">
        <v>1547</v>
      </c>
      <c r="B548" t="s">
        <v>397</v>
      </c>
      <c r="C548" t="s">
        <v>15</v>
      </c>
      <c r="D548" t="s">
        <v>11</v>
      </c>
      <c r="E548">
        <v>34</v>
      </c>
      <c r="F548" t="str" cm="1">
        <f t="array" ref="F548">_xlfn.IFS(EmployeeData[[#This Row],[Age]]&lt;30,"20s",EmployeeData[[#This Row],[Age]]&lt;40,"30s",EmployeeData[[#This Row],[Age]]&lt;50,"40s",EmployeeData[[#This Row],[Age]]&lt;60,"50s",EmployeeData[[#This Row],[Age]]&gt;=60,"60s")</f>
        <v>30s</v>
      </c>
      <c r="G548" s="5">
        <v>44390</v>
      </c>
      <c r="H548" s="5">
        <v>46163</v>
      </c>
      <c r="I548" t="s">
        <v>21</v>
      </c>
      <c r="J548" t="s">
        <v>13</v>
      </c>
      <c r="K548" cm="1">
        <f t="array" aca="1" ref="K548" ca="1">_xlfn.IFS(EmployeeData[[#This Row],[Status]]="Active",_xlfn.DAYS(TODAY(),EmployeeData[[#This Row],[Join Date]]),EmployeeData[[#This Row],[Status]]="Exited",_xlfn.DAYS(EmployeeData[[#This Row],[Exit Date]],EmployeeData[[#This Row],[Join Date]]))</f>
        <v>1773</v>
      </c>
      <c r="L548" cm="1">
        <f t="array" aca="1" ref="L548" ca="1">_xlfn.IFS(EmployeeData[[#This Row],[Status]]="Exited",DATEDIF(EmployeeData[[#This Row],[Join Date]], EmployeeData[[#This Row],[Exit Date]], "Y"),EmployeeData[[#This Row],[Status]]="Active",DATEDIF(EmployeeData[[#This Row],[Join Date]], TODAY(), "Y"))</f>
        <v>4</v>
      </c>
      <c r="Q548" t="str" cm="1">
        <f t="array" aca="1" ref="Q5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8 days</v>
      </c>
    </row>
    <row r="549" spans="1:17" hidden="1" x14ac:dyDescent="0.3">
      <c r="A549">
        <v>1548</v>
      </c>
      <c r="B549" t="s">
        <v>474</v>
      </c>
      <c r="C549" t="s">
        <v>15</v>
      </c>
      <c r="D549" t="s">
        <v>24</v>
      </c>
      <c r="E549">
        <v>59</v>
      </c>
      <c r="F549" t="str" cm="1">
        <f t="array" ref="F549">_xlfn.IFS(EmployeeData[[#This Row],[Age]]&lt;30,"20s",EmployeeData[[#This Row],[Age]]&lt;40,"30s",EmployeeData[[#This Row],[Age]]&lt;50,"40s",EmployeeData[[#This Row],[Age]]&lt;60,"50s",EmployeeData[[#This Row],[Age]]&gt;=60,"60s")</f>
        <v>50s</v>
      </c>
      <c r="G549" s="5">
        <v>43667</v>
      </c>
      <c r="H549" s="5">
        <v>44780</v>
      </c>
      <c r="I549" t="s">
        <v>26</v>
      </c>
      <c r="J549" t="s">
        <v>13</v>
      </c>
      <c r="K549" cm="1">
        <f t="array" aca="1" ref="K549" ca="1">_xlfn.IFS(EmployeeData[[#This Row],[Status]]="Active",_xlfn.DAYS(TODAY(),EmployeeData[[#This Row],[Join Date]]),EmployeeData[[#This Row],[Status]]="Exited",_xlfn.DAYS(EmployeeData[[#This Row],[Exit Date]],EmployeeData[[#This Row],[Join Date]]))</f>
        <v>1113</v>
      </c>
      <c r="L549" cm="1">
        <f t="array" aca="1" ref="L549" ca="1">_xlfn.IFS(EmployeeData[[#This Row],[Status]]="Exited",DATEDIF(EmployeeData[[#This Row],[Join Date]], EmployeeData[[#This Row],[Exit Date]], "Y"),EmployeeData[[#This Row],[Status]]="Active",DATEDIF(EmployeeData[[#This Row],[Join Date]], TODAY(), "Y"))</f>
        <v>3</v>
      </c>
      <c r="Q549" t="str" cm="1">
        <f t="array" aca="1" ref="Q5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550" spans="1:17" hidden="1" x14ac:dyDescent="0.3">
      <c r="A550">
        <v>1549</v>
      </c>
      <c r="B550" t="s">
        <v>359</v>
      </c>
      <c r="C550" t="s">
        <v>20</v>
      </c>
      <c r="D550" t="s">
        <v>11</v>
      </c>
      <c r="E550">
        <v>51</v>
      </c>
      <c r="F550" t="str" cm="1">
        <f t="array" ref="F550">_xlfn.IFS(EmployeeData[[#This Row],[Age]]&lt;30,"20s",EmployeeData[[#This Row],[Age]]&lt;40,"30s",EmployeeData[[#This Row],[Age]]&lt;50,"40s",EmployeeData[[#This Row],[Age]]&lt;60,"50s",EmployeeData[[#This Row],[Age]]&gt;=60,"60s")</f>
        <v>50s</v>
      </c>
      <c r="G550" s="5">
        <v>43809</v>
      </c>
      <c r="I550" t="s">
        <v>17</v>
      </c>
      <c r="J550" t="s">
        <v>18</v>
      </c>
      <c r="K550" cm="1">
        <f t="array" aca="1" ref="K550" ca="1">_xlfn.IFS(EmployeeData[[#This Row],[Status]]="Active",_xlfn.DAYS(TODAY(),EmployeeData[[#This Row],[Join Date]]),EmployeeData[[#This Row],[Status]]="Exited",_xlfn.DAYS(EmployeeData[[#This Row],[Exit Date]],EmployeeData[[#This Row],[Join Date]]))</f>
        <v>2388</v>
      </c>
      <c r="L550" cm="1">
        <f t="array" aca="1" ref="L550" ca="1">_xlfn.IFS(EmployeeData[[#This Row],[Status]]="Exited",DATEDIF(EmployeeData[[#This Row],[Join Date]], EmployeeData[[#This Row],[Exit Date]], "Y"),EmployeeData[[#This Row],[Status]]="Active",DATEDIF(EmployeeData[[#This Row],[Join Date]], TODAY(), "Y"))</f>
        <v>6</v>
      </c>
      <c r="Q550" t="str" cm="1">
        <f t="array" aca="1" ref="Q5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551" spans="1:17" x14ac:dyDescent="0.3">
      <c r="A551">
        <v>1550</v>
      </c>
      <c r="B551" t="s">
        <v>581</v>
      </c>
      <c r="C551" t="s">
        <v>15</v>
      </c>
      <c r="D551" t="s">
        <v>11</v>
      </c>
      <c r="E551">
        <v>45</v>
      </c>
      <c r="F551" t="str" cm="1">
        <f t="array" ref="F551">_xlfn.IFS(EmployeeData[[#This Row],[Age]]&lt;30,"20s",EmployeeData[[#This Row],[Age]]&lt;40,"30s",EmployeeData[[#This Row],[Age]]&lt;50,"40s",EmployeeData[[#This Row],[Age]]&lt;60,"50s",EmployeeData[[#This Row],[Age]]&gt;=60,"60s")</f>
        <v>40s</v>
      </c>
      <c r="G551" s="5">
        <v>43422</v>
      </c>
      <c r="I551" t="s">
        <v>17</v>
      </c>
      <c r="J551" t="s">
        <v>18</v>
      </c>
      <c r="K551" cm="1">
        <f t="array" aca="1" ref="K551" ca="1">_xlfn.IFS(EmployeeData[[#This Row],[Status]]="Active",_xlfn.DAYS(TODAY(),EmployeeData[[#This Row],[Join Date]]),EmployeeData[[#This Row],[Status]]="Exited",_xlfn.DAYS(EmployeeData[[#This Row],[Exit Date]],EmployeeData[[#This Row],[Join Date]]))</f>
        <v>2775</v>
      </c>
      <c r="L551" cm="1">
        <f t="array" aca="1" ref="L551" ca="1">_xlfn.IFS(EmployeeData[[#This Row],[Status]]="Exited",DATEDIF(EmployeeData[[#This Row],[Join Date]], EmployeeData[[#This Row],[Exit Date]], "Y"),EmployeeData[[#This Row],[Status]]="Active",DATEDIF(EmployeeData[[#This Row],[Join Date]], TODAY(), "Y"))</f>
        <v>7</v>
      </c>
      <c r="Q551" t="str" cm="1">
        <f t="array" aca="1" ref="Q5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6 days</v>
      </c>
    </row>
    <row r="552" spans="1:17" hidden="1" x14ac:dyDescent="0.3">
      <c r="A552">
        <v>1551</v>
      </c>
      <c r="B552" t="s">
        <v>905</v>
      </c>
      <c r="C552" t="s">
        <v>10</v>
      </c>
      <c r="D552" t="s">
        <v>11</v>
      </c>
      <c r="E552">
        <v>28</v>
      </c>
      <c r="F552" t="str" cm="1">
        <f t="array" ref="F552">_xlfn.IFS(EmployeeData[[#This Row],[Age]]&lt;30,"20s",EmployeeData[[#This Row],[Age]]&lt;40,"30s",EmployeeData[[#This Row],[Age]]&lt;50,"40s",EmployeeData[[#This Row],[Age]]&lt;60,"50s",EmployeeData[[#This Row],[Age]]&gt;=60,"60s")</f>
        <v>20s</v>
      </c>
      <c r="G552" s="5">
        <v>44029</v>
      </c>
      <c r="I552" t="s">
        <v>17</v>
      </c>
      <c r="J552" t="s">
        <v>18</v>
      </c>
      <c r="K552" cm="1">
        <f t="array" aca="1" ref="K552" ca="1">_xlfn.IFS(EmployeeData[[#This Row],[Status]]="Active",_xlfn.DAYS(TODAY(),EmployeeData[[#This Row],[Join Date]]),EmployeeData[[#This Row],[Status]]="Exited",_xlfn.DAYS(EmployeeData[[#This Row],[Exit Date]],EmployeeData[[#This Row],[Join Date]]))</f>
        <v>2168</v>
      </c>
      <c r="L552" cm="1">
        <f t="array" aca="1" ref="L552" ca="1">_xlfn.IFS(EmployeeData[[#This Row],[Status]]="Exited",DATEDIF(EmployeeData[[#This Row],[Join Date]], EmployeeData[[#This Row],[Exit Date]], "Y"),EmployeeData[[#This Row],[Status]]="Active",DATEDIF(EmployeeData[[#This Row],[Join Date]], TODAY(), "Y"))</f>
        <v>5</v>
      </c>
      <c r="Q552" t="str" cm="1">
        <f t="array" aca="1" ref="Q5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7 days</v>
      </c>
    </row>
    <row r="553" spans="1:17" x14ac:dyDescent="0.3">
      <c r="A553">
        <v>1552</v>
      </c>
      <c r="B553" t="s">
        <v>714</v>
      </c>
      <c r="C553" t="s">
        <v>23</v>
      </c>
      <c r="D553" t="s">
        <v>16</v>
      </c>
      <c r="E553">
        <v>57</v>
      </c>
      <c r="F553" t="str" cm="1">
        <f t="array" ref="F553">_xlfn.IFS(EmployeeData[[#This Row],[Age]]&lt;30,"20s",EmployeeData[[#This Row],[Age]]&lt;40,"30s",EmployeeData[[#This Row],[Age]]&lt;50,"40s",EmployeeData[[#This Row],[Age]]&lt;60,"50s",EmployeeData[[#This Row],[Age]]&gt;=60,"60s")</f>
        <v>50s</v>
      </c>
      <c r="G553" s="5">
        <v>43269</v>
      </c>
      <c r="H553" s="5">
        <v>43971</v>
      </c>
      <c r="I553" t="s">
        <v>26</v>
      </c>
      <c r="J553" t="s">
        <v>13</v>
      </c>
      <c r="K553" cm="1">
        <f t="array" aca="1" ref="K553" ca="1">_xlfn.IFS(EmployeeData[[#This Row],[Status]]="Active",_xlfn.DAYS(TODAY(),EmployeeData[[#This Row],[Join Date]]),EmployeeData[[#This Row],[Status]]="Exited",_xlfn.DAYS(EmployeeData[[#This Row],[Exit Date]],EmployeeData[[#This Row],[Join Date]]))</f>
        <v>702</v>
      </c>
      <c r="L553" cm="1">
        <f t="array" aca="1" ref="L553" ca="1">_xlfn.IFS(EmployeeData[[#This Row],[Status]]="Exited",DATEDIF(EmployeeData[[#This Row],[Join Date]], EmployeeData[[#This Row],[Exit Date]], "Y"),EmployeeData[[#This Row],[Status]]="Active",DATEDIF(EmployeeData[[#This Row],[Join Date]], TODAY(), "Y"))</f>
        <v>1</v>
      </c>
      <c r="Q553" t="str" cm="1">
        <f t="array" aca="1" ref="Q5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554" spans="1:17" hidden="1" x14ac:dyDescent="0.3">
      <c r="A554">
        <v>1553</v>
      </c>
      <c r="B554" t="s">
        <v>232</v>
      </c>
      <c r="C554" t="s">
        <v>46</v>
      </c>
      <c r="D554" t="s">
        <v>11</v>
      </c>
      <c r="E554">
        <v>62</v>
      </c>
      <c r="F554" t="str" cm="1">
        <f t="array" ref="F554">_xlfn.IFS(EmployeeData[[#This Row],[Age]]&lt;30,"20s",EmployeeData[[#This Row],[Age]]&lt;40,"30s",EmployeeData[[#This Row],[Age]]&lt;50,"40s",EmployeeData[[#This Row],[Age]]&lt;60,"50s",EmployeeData[[#This Row],[Age]]&gt;=60,"60s")</f>
        <v>60s</v>
      </c>
      <c r="G554" s="5">
        <v>45168</v>
      </c>
      <c r="H554" s="5">
        <v>45700</v>
      </c>
      <c r="I554" t="s">
        <v>26</v>
      </c>
      <c r="J554" t="s">
        <v>13</v>
      </c>
      <c r="K554" cm="1">
        <f t="array" aca="1" ref="K554" ca="1">_xlfn.IFS(EmployeeData[[#This Row],[Status]]="Active",_xlfn.DAYS(TODAY(),EmployeeData[[#This Row],[Join Date]]),EmployeeData[[#This Row],[Status]]="Exited",_xlfn.DAYS(EmployeeData[[#This Row],[Exit Date]],EmployeeData[[#This Row],[Join Date]]))</f>
        <v>532</v>
      </c>
      <c r="L554" cm="1">
        <f t="array" aca="1" ref="L554" ca="1">_xlfn.IFS(EmployeeData[[#This Row],[Status]]="Exited",DATEDIF(EmployeeData[[#This Row],[Join Date]], EmployeeData[[#This Row],[Exit Date]], "Y"),EmployeeData[[#This Row],[Status]]="Active",DATEDIF(EmployeeData[[#This Row],[Join Date]], TODAY(), "Y"))</f>
        <v>1</v>
      </c>
      <c r="Q554" t="str" cm="1">
        <f t="array" aca="1" ref="Q5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555" spans="1:17" hidden="1" x14ac:dyDescent="0.3">
      <c r="A555">
        <v>1554</v>
      </c>
      <c r="B555" t="s">
        <v>373</v>
      </c>
      <c r="C555" t="s">
        <v>23</v>
      </c>
      <c r="D555" t="s">
        <v>16</v>
      </c>
      <c r="E555">
        <v>46</v>
      </c>
      <c r="F555" t="str" cm="1">
        <f t="array" ref="F555">_xlfn.IFS(EmployeeData[[#This Row],[Age]]&lt;30,"20s",EmployeeData[[#This Row],[Age]]&lt;40,"30s",EmployeeData[[#This Row],[Age]]&lt;50,"40s",EmployeeData[[#This Row],[Age]]&lt;60,"50s",EmployeeData[[#This Row],[Age]]&gt;=60,"60s")</f>
        <v>40s</v>
      </c>
      <c r="G555" s="5">
        <v>44176</v>
      </c>
      <c r="H555" s="5">
        <v>45293</v>
      </c>
      <c r="I555" t="s">
        <v>12</v>
      </c>
      <c r="J555" t="s">
        <v>13</v>
      </c>
      <c r="K555" cm="1">
        <f t="array" aca="1" ref="K555" ca="1">_xlfn.IFS(EmployeeData[[#This Row],[Status]]="Active",_xlfn.DAYS(TODAY(),EmployeeData[[#This Row],[Join Date]]),EmployeeData[[#This Row],[Status]]="Exited",_xlfn.DAYS(EmployeeData[[#This Row],[Exit Date]],EmployeeData[[#This Row],[Join Date]]))</f>
        <v>1117</v>
      </c>
      <c r="L555" cm="1">
        <f t="array" aca="1" ref="L555" ca="1">_xlfn.IFS(EmployeeData[[#This Row],[Status]]="Exited",DATEDIF(EmployeeData[[#This Row],[Join Date]], EmployeeData[[#This Row],[Exit Date]], "Y"),EmployeeData[[#This Row],[Status]]="Active",DATEDIF(EmployeeData[[#This Row],[Join Date]], TODAY(), "Y"))</f>
        <v>3</v>
      </c>
      <c r="Q555" t="str" cm="1">
        <f t="array" aca="1" ref="Q5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22 days</v>
      </c>
    </row>
    <row r="556" spans="1:17" hidden="1" x14ac:dyDescent="0.3">
      <c r="A556">
        <v>1555</v>
      </c>
      <c r="B556" t="s">
        <v>929</v>
      </c>
      <c r="C556" t="s">
        <v>23</v>
      </c>
      <c r="D556" t="s">
        <v>24</v>
      </c>
      <c r="E556">
        <v>33</v>
      </c>
      <c r="F556" t="str" cm="1">
        <f t="array" ref="F556">_xlfn.IFS(EmployeeData[[#This Row],[Age]]&lt;30,"20s",EmployeeData[[#This Row],[Age]]&lt;40,"30s",EmployeeData[[#This Row],[Age]]&lt;50,"40s",EmployeeData[[#This Row],[Age]]&lt;60,"50s",EmployeeData[[#This Row],[Age]]&gt;=60,"60s")</f>
        <v>30s</v>
      </c>
      <c r="G556" s="5">
        <v>45399</v>
      </c>
      <c r="I556" t="s">
        <v>17</v>
      </c>
      <c r="J556" t="s">
        <v>18</v>
      </c>
      <c r="K556" cm="1">
        <f t="array" aca="1" ref="K556" ca="1">_xlfn.IFS(EmployeeData[[#This Row],[Status]]="Active",_xlfn.DAYS(TODAY(),EmployeeData[[#This Row],[Join Date]]),EmployeeData[[#This Row],[Status]]="Exited",_xlfn.DAYS(EmployeeData[[#This Row],[Exit Date]],EmployeeData[[#This Row],[Join Date]]))</f>
        <v>798</v>
      </c>
      <c r="L556" cm="1">
        <f t="array" aca="1" ref="L556" ca="1">_xlfn.IFS(EmployeeData[[#This Row],[Status]]="Exited",DATEDIF(EmployeeData[[#This Row],[Join Date]], EmployeeData[[#This Row],[Exit Date]], "Y"),EmployeeData[[#This Row],[Status]]="Active",DATEDIF(EmployeeData[[#This Row],[Join Date]], TODAY(), "Y"))</f>
        <v>2</v>
      </c>
      <c r="Q556" t="str" cm="1">
        <f t="array" aca="1" ref="Q5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7 days</v>
      </c>
    </row>
    <row r="557" spans="1:17" hidden="1" x14ac:dyDescent="0.3">
      <c r="A557">
        <v>1556</v>
      </c>
      <c r="B557" t="s">
        <v>103</v>
      </c>
      <c r="C557" t="s">
        <v>20</v>
      </c>
      <c r="D557" t="s">
        <v>24</v>
      </c>
      <c r="E557">
        <v>57</v>
      </c>
      <c r="F557" t="str" cm="1">
        <f t="array" ref="F557">_xlfn.IFS(EmployeeData[[#This Row],[Age]]&lt;30,"20s",EmployeeData[[#This Row],[Age]]&lt;40,"30s",EmployeeData[[#This Row],[Age]]&lt;50,"40s",EmployeeData[[#This Row],[Age]]&lt;60,"50s",EmployeeData[[#This Row],[Age]]&gt;=60,"60s")</f>
        <v>50s</v>
      </c>
      <c r="G557" s="5">
        <v>43467</v>
      </c>
      <c r="H557" s="5">
        <v>45251</v>
      </c>
      <c r="I557" t="s">
        <v>12</v>
      </c>
      <c r="J557" t="s">
        <v>13</v>
      </c>
      <c r="K557" cm="1">
        <f t="array" aca="1" ref="K557" ca="1">_xlfn.IFS(EmployeeData[[#This Row],[Status]]="Active",_xlfn.DAYS(TODAY(),EmployeeData[[#This Row],[Join Date]]),EmployeeData[[#This Row],[Status]]="Exited",_xlfn.DAYS(EmployeeData[[#This Row],[Exit Date]],EmployeeData[[#This Row],[Join Date]]))</f>
        <v>1784</v>
      </c>
      <c r="L557" cm="1">
        <f t="array" aca="1" ref="L557" ca="1">_xlfn.IFS(EmployeeData[[#This Row],[Status]]="Exited",DATEDIF(EmployeeData[[#This Row],[Join Date]], EmployeeData[[#This Row],[Exit Date]], "Y"),EmployeeData[[#This Row],[Status]]="Active",DATEDIF(EmployeeData[[#This Row],[Join Date]], TODAY(), "Y"))</f>
        <v>4</v>
      </c>
      <c r="Q557" t="str" cm="1">
        <f t="array" aca="1" ref="Q5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558" spans="1:17" hidden="1" x14ac:dyDescent="0.3">
      <c r="A558">
        <v>1557</v>
      </c>
      <c r="B558" t="s">
        <v>681</v>
      </c>
      <c r="C558" t="s">
        <v>20</v>
      </c>
      <c r="D558" t="s">
        <v>16</v>
      </c>
      <c r="E558">
        <v>43</v>
      </c>
      <c r="F558" t="str" cm="1">
        <f t="array" ref="F558">_xlfn.IFS(EmployeeData[[#This Row],[Age]]&lt;30,"20s",EmployeeData[[#This Row],[Age]]&lt;40,"30s",EmployeeData[[#This Row],[Age]]&lt;50,"40s",EmployeeData[[#This Row],[Age]]&lt;60,"50s",EmployeeData[[#This Row],[Age]]&gt;=60,"60s")</f>
        <v>40s</v>
      </c>
      <c r="G558" s="5">
        <v>45625</v>
      </c>
      <c r="I558" t="s">
        <v>17</v>
      </c>
      <c r="J558" t="s">
        <v>18</v>
      </c>
      <c r="K558" cm="1">
        <f t="array" aca="1" ref="K558" ca="1">_xlfn.IFS(EmployeeData[[#This Row],[Status]]="Active",_xlfn.DAYS(TODAY(),EmployeeData[[#This Row],[Join Date]]),EmployeeData[[#This Row],[Status]]="Exited",_xlfn.DAYS(EmployeeData[[#This Row],[Exit Date]],EmployeeData[[#This Row],[Join Date]]))</f>
        <v>572</v>
      </c>
      <c r="L558" cm="1">
        <f t="array" aca="1" ref="L558" ca="1">_xlfn.IFS(EmployeeData[[#This Row],[Status]]="Exited",DATEDIF(EmployeeData[[#This Row],[Join Date]], EmployeeData[[#This Row],[Exit Date]], "Y"),EmployeeData[[#This Row],[Status]]="Active",DATEDIF(EmployeeData[[#This Row],[Join Date]], TODAY(), "Y"))</f>
        <v>1</v>
      </c>
      <c r="Q558" t="str" cm="1">
        <f t="array" aca="1" ref="Q5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26 days</v>
      </c>
    </row>
    <row r="559" spans="1:17" hidden="1" x14ac:dyDescent="0.3">
      <c r="A559">
        <v>1558</v>
      </c>
      <c r="B559" t="s">
        <v>784</v>
      </c>
      <c r="C559" t="s">
        <v>46</v>
      </c>
      <c r="D559" t="s">
        <v>16</v>
      </c>
      <c r="E559">
        <v>44</v>
      </c>
      <c r="F559" t="str" cm="1">
        <f t="array" ref="F559">_xlfn.IFS(EmployeeData[[#This Row],[Age]]&lt;30,"20s",EmployeeData[[#This Row],[Age]]&lt;40,"30s",EmployeeData[[#This Row],[Age]]&lt;50,"40s",EmployeeData[[#This Row],[Age]]&lt;60,"50s",EmployeeData[[#This Row],[Age]]&gt;=60,"60s")</f>
        <v>40s</v>
      </c>
      <c r="G559" s="5">
        <v>43739</v>
      </c>
      <c r="I559" t="s">
        <v>17</v>
      </c>
      <c r="J559" t="s">
        <v>18</v>
      </c>
      <c r="K559" cm="1">
        <f t="array" aca="1" ref="K559" ca="1">_xlfn.IFS(EmployeeData[[#This Row],[Status]]="Active",_xlfn.DAYS(TODAY(),EmployeeData[[#This Row],[Join Date]]),EmployeeData[[#This Row],[Status]]="Exited",_xlfn.DAYS(EmployeeData[[#This Row],[Exit Date]],EmployeeData[[#This Row],[Join Date]]))</f>
        <v>2458</v>
      </c>
      <c r="L559" cm="1">
        <f t="array" aca="1" ref="L559" ca="1">_xlfn.IFS(EmployeeData[[#This Row],[Status]]="Exited",DATEDIF(EmployeeData[[#This Row],[Join Date]], EmployeeData[[#This Row],[Exit Date]], "Y"),EmployeeData[[#This Row],[Status]]="Active",DATEDIF(EmployeeData[[#This Row],[Join Date]], TODAY(), "Y"))</f>
        <v>6</v>
      </c>
      <c r="Q559" t="str" cm="1">
        <f t="array" aca="1" ref="Q5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23 days</v>
      </c>
    </row>
    <row r="560" spans="1:17" hidden="1" x14ac:dyDescent="0.3">
      <c r="A560">
        <v>1559</v>
      </c>
      <c r="B560" t="s">
        <v>74</v>
      </c>
      <c r="C560" t="s">
        <v>10</v>
      </c>
      <c r="D560" t="s">
        <v>24</v>
      </c>
      <c r="E560">
        <v>30</v>
      </c>
      <c r="F560" t="str" cm="1">
        <f t="array" ref="F560">_xlfn.IFS(EmployeeData[[#This Row],[Age]]&lt;30,"20s",EmployeeData[[#This Row],[Age]]&lt;40,"30s",EmployeeData[[#This Row],[Age]]&lt;50,"40s",EmployeeData[[#This Row],[Age]]&lt;60,"50s",EmployeeData[[#This Row],[Age]]&gt;=60,"60s")</f>
        <v>30s</v>
      </c>
      <c r="G560" s="5">
        <v>44279</v>
      </c>
      <c r="H560" s="5">
        <v>45789</v>
      </c>
      <c r="I560" t="s">
        <v>52</v>
      </c>
      <c r="J560" t="s">
        <v>13</v>
      </c>
      <c r="K560" cm="1">
        <f t="array" aca="1" ref="K560" ca="1">_xlfn.IFS(EmployeeData[[#This Row],[Status]]="Active",_xlfn.DAYS(TODAY(),EmployeeData[[#This Row],[Join Date]]),EmployeeData[[#This Row],[Status]]="Exited",_xlfn.DAYS(EmployeeData[[#This Row],[Exit Date]],EmployeeData[[#This Row],[Join Date]]))</f>
        <v>1510</v>
      </c>
      <c r="L560" cm="1">
        <f t="array" aca="1" ref="L560" ca="1">_xlfn.IFS(EmployeeData[[#This Row],[Status]]="Exited",DATEDIF(EmployeeData[[#This Row],[Join Date]], EmployeeData[[#This Row],[Exit Date]], "Y"),EmployeeData[[#This Row],[Status]]="Active",DATEDIF(EmployeeData[[#This Row],[Join Date]], TODAY(), "Y"))</f>
        <v>4</v>
      </c>
      <c r="Q560" t="str" cm="1">
        <f t="array" aca="1" ref="Q5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18 days</v>
      </c>
    </row>
    <row r="561" spans="1:17" hidden="1" x14ac:dyDescent="0.3">
      <c r="A561">
        <v>1560</v>
      </c>
      <c r="B561" t="s">
        <v>920</v>
      </c>
      <c r="C561" t="s">
        <v>15</v>
      </c>
      <c r="D561" t="s">
        <v>24</v>
      </c>
      <c r="E561">
        <v>34</v>
      </c>
      <c r="F561" t="str" cm="1">
        <f t="array" ref="F561">_xlfn.IFS(EmployeeData[[#This Row],[Age]]&lt;30,"20s",EmployeeData[[#This Row],[Age]]&lt;40,"30s",EmployeeData[[#This Row],[Age]]&lt;50,"40s",EmployeeData[[#This Row],[Age]]&lt;60,"50s",EmployeeData[[#This Row],[Age]]&gt;=60,"60s")</f>
        <v>30s</v>
      </c>
      <c r="G561" s="5">
        <v>45339</v>
      </c>
      <c r="I561" t="s">
        <v>17</v>
      </c>
      <c r="J561" t="s">
        <v>18</v>
      </c>
      <c r="K561" cm="1">
        <f t="array" aca="1" ref="K561" ca="1">_xlfn.IFS(EmployeeData[[#This Row],[Status]]="Active",_xlfn.DAYS(TODAY(),EmployeeData[[#This Row],[Join Date]]),EmployeeData[[#This Row],[Status]]="Exited",_xlfn.DAYS(EmployeeData[[#This Row],[Exit Date]],EmployeeData[[#This Row],[Join Date]]))</f>
        <v>858</v>
      </c>
      <c r="L561" cm="1">
        <f t="array" aca="1" ref="L561" ca="1">_xlfn.IFS(EmployeeData[[#This Row],[Status]]="Exited",DATEDIF(EmployeeData[[#This Row],[Join Date]], EmployeeData[[#This Row],[Exit Date]], "Y"),EmployeeData[[#This Row],[Status]]="Active",DATEDIF(EmployeeData[[#This Row],[Join Date]], TODAY(), "Y"))</f>
        <v>2</v>
      </c>
      <c r="Q561" t="str" cm="1">
        <f t="array" aca="1" ref="Q5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7 days</v>
      </c>
    </row>
    <row r="562" spans="1:17" hidden="1" x14ac:dyDescent="0.3">
      <c r="A562">
        <v>1561</v>
      </c>
      <c r="B562" t="s">
        <v>95</v>
      </c>
      <c r="C562" t="s">
        <v>20</v>
      </c>
      <c r="D562" t="s">
        <v>24</v>
      </c>
      <c r="E562">
        <v>45</v>
      </c>
      <c r="F562" t="str" cm="1">
        <f t="array" ref="F562">_xlfn.IFS(EmployeeData[[#This Row],[Age]]&lt;30,"20s",EmployeeData[[#This Row],[Age]]&lt;40,"30s",EmployeeData[[#This Row],[Age]]&lt;50,"40s",EmployeeData[[#This Row],[Age]]&lt;60,"50s",EmployeeData[[#This Row],[Age]]&gt;=60,"60s")</f>
        <v>40s</v>
      </c>
      <c r="G562" s="5">
        <v>45488</v>
      </c>
      <c r="I562" t="s">
        <v>17</v>
      </c>
      <c r="J562" t="s">
        <v>18</v>
      </c>
      <c r="K562" cm="1">
        <f t="array" aca="1" ref="K562" ca="1">_xlfn.IFS(EmployeeData[[#This Row],[Status]]="Active",_xlfn.DAYS(TODAY(),EmployeeData[[#This Row],[Join Date]]),EmployeeData[[#This Row],[Status]]="Exited",_xlfn.DAYS(EmployeeData[[#This Row],[Exit Date]],EmployeeData[[#This Row],[Join Date]]))</f>
        <v>709</v>
      </c>
      <c r="L562" cm="1">
        <f t="array" aca="1" ref="L562" ca="1">_xlfn.IFS(EmployeeData[[#This Row],[Status]]="Exited",DATEDIF(EmployeeData[[#This Row],[Join Date]], EmployeeData[[#This Row],[Exit Date]], "Y"),EmployeeData[[#This Row],[Status]]="Active",DATEDIF(EmployeeData[[#This Row],[Join Date]], TODAY(), "Y"))</f>
        <v>1</v>
      </c>
      <c r="Q562" t="str" cm="1">
        <f t="array" aca="1" ref="Q5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9 days</v>
      </c>
    </row>
    <row r="563" spans="1:17" x14ac:dyDescent="0.3">
      <c r="A563">
        <v>1562</v>
      </c>
      <c r="B563" t="s">
        <v>60</v>
      </c>
      <c r="C563" t="s">
        <v>10</v>
      </c>
      <c r="D563" t="s">
        <v>11</v>
      </c>
      <c r="E563">
        <v>38</v>
      </c>
      <c r="F563" t="str" cm="1">
        <f t="array" ref="F563">_xlfn.IFS(EmployeeData[[#This Row],[Age]]&lt;30,"20s",EmployeeData[[#This Row],[Age]]&lt;40,"30s",EmployeeData[[#This Row],[Age]]&lt;50,"40s",EmployeeData[[#This Row],[Age]]&lt;60,"50s",EmployeeData[[#This Row],[Age]]&gt;=60,"60s")</f>
        <v>30s</v>
      </c>
      <c r="G563" s="5">
        <v>43318</v>
      </c>
      <c r="I563" t="s">
        <v>17</v>
      </c>
      <c r="J563" t="s">
        <v>18</v>
      </c>
      <c r="K563" cm="1">
        <f t="array" aca="1" ref="K563" ca="1">_xlfn.IFS(EmployeeData[[#This Row],[Status]]="Active",_xlfn.DAYS(TODAY(),EmployeeData[[#This Row],[Join Date]]),EmployeeData[[#This Row],[Status]]="Exited",_xlfn.DAYS(EmployeeData[[#This Row],[Exit Date]],EmployeeData[[#This Row],[Join Date]]))</f>
        <v>2879</v>
      </c>
      <c r="L563" cm="1">
        <f t="array" aca="1" ref="L563" ca="1">_xlfn.IFS(EmployeeData[[#This Row],[Status]]="Exited",DATEDIF(EmployeeData[[#This Row],[Join Date]], EmployeeData[[#This Row],[Exit Date]], "Y"),EmployeeData[[#This Row],[Status]]="Active",DATEDIF(EmployeeData[[#This Row],[Join Date]], TODAY(), "Y"))</f>
        <v>7</v>
      </c>
      <c r="Q563" t="str" cm="1">
        <f t="array" aca="1" ref="Q5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18 days</v>
      </c>
    </row>
    <row r="564" spans="1:17" hidden="1" x14ac:dyDescent="0.3">
      <c r="A564">
        <v>1563</v>
      </c>
      <c r="B564" t="s">
        <v>25</v>
      </c>
      <c r="C564" t="s">
        <v>20</v>
      </c>
      <c r="D564" t="s">
        <v>11</v>
      </c>
      <c r="E564">
        <v>62</v>
      </c>
      <c r="F564" t="str" cm="1">
        <f t="array" ref="F564">_xlfn.IFS(EmployeeData[[#This Row],[Age]]&lt;30,"20s",EmployeeData[[#This Row],[Age]]&lt;40,"30s",EmployeeData[[#This Row],[Age]]&lt;50,"40s",EmployeeData[[#This Row],[Age]]&lt;60,"50s",EmployeeData[[#This Row],[Age]]&gt;=60,"60s")</f>
        <v>60s</v>
      </c>
      <c r="G564" s="5">
        <v>43542</v>
      </c>
      <c r="H564" s="5">
        <v>45215</v>
      </c>
      <c r="I564" t="s">
        <v>26</v>
      </c>
      <c r="J564" t="s">
        <v>13</v>
      </c>
      <c r="K564" cm="1">
        <f t="array" aca="1" ref="K564" ca="1">_xlfn.IFS(EmployeeData[[#This Row],[Status]]="Active",_xlfn.DAYS(TODAY(),EmployeeData[[#This Row],[Join Date]]),EmployeeData[[#This Row],[Status]]="Exited",_xlfn.DAYS(EmployeeData[[#This Row],[Exit Date]],EmployeeData[[#This Row],[Join Date]]))</f>
        <v>1673</v>
      </c>
      <c r="L564" cm="1">
        <f t="array" aca="1" ref="L564" ca="1">_xlfn.IFS(EmployeeData[[#This Row],[Status]]="Exited",DATEDIF(EmployeeData[[#This Row],[Join Date]], EmployeeData[[#This Row],[Exit Date]], "Y"),EmployeeData[[#This Row],[Status]]="Active",DATEDIF(EmployeeData[[#This Row],[Join Date]], TODAY(), "Y"))</f>
        <v>4</v>
      </c>
      <c r="Q564" t="str" cm="1">
        <f t="array" aca="1" ref="Q5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65" spans="1:17" hidden="1" x14ac:dyDescent="0.3">
      <c r="A565">
        <v>1564</v>
      </c>
      <c r="B565" t="s">
        <v>43</v>
      </c>
      <c r="C565" t="s">
        <v>23</v>
      </c>
      <c r="D565" t="s">
        <v>24</v>
      </c>
      <c r="E565">
        <v>26</v>
      </c>
      <c r="F565" t="str" cm="1">
        <f t="array" ref="F565">_xlfn.IFS(EmployeeData[[#This Row],[Age]]&lt;30,"20s",EmployeeData[[#This Row],[Age]]&lt;40,"30s",EmployeeData[[#This Row],[Age]]&lt;50,"40s",EmployeeData[[#This Row],[Age]]&lt;60,"50s",EmployeeData[[#This Row],[Age]]&gt;=60,"60s")</f>
        <v>20s</v>
      </c>
      <c r="G565" s="5">
        <v>43864</v>
      </c>
      <c r="H565" s="5">
        <v>45829</v>
      </c>
      <c r="I565" t="s">
        <v>65</v>
      </c>
      <c r="J565" t="s">
        <v>13</v>
      </c>
      <c r="K565" cm="1">
        <f t="array" aca="1" ref="K565" ca="1">_xlfn.IFS(EmployeeData[[#This Row],[Status]]="Active",_xlfn.DAYS(TODAY(),EmployeeData[[#This Row],[Join Date]]),EmployeeData[[#This Row],[Status]]="Exited",_xlfn.DAYS(EmployeeData[[#This Row],[Exit Date]],EmployeeData[[#This Row],[Join Date]]))</f>
        <v>1965</v>
      </c>
      <c r="L565" cm="1">
        <f t="array" aca="1" ref="L565" ca="1">_xlfn.IFS(EmployeeData[[#This Row],[Status]]="Exited",DATEDIF(EmployeeData[[#This Row],[Join Date]], EmployeeData[[#This Row],[Exit Date]], "Y"),EmployeeData[[#This Row],[Status]]="Active",DATEDIF(EmployeeData[[#This Row],[Join Date]], TODAY(), "Y"))</f>
        <v>5</v>
      </c>
      <c r="Q565" t="str" cm="1">
        <f t="array" aca="1" ref="Q5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566" spans="1:17" x14ac:dyDescent="0.3">
      <c r="A566">
        <v>1565</v>
      </c>
      <c r="B566" t="s">
        <v>818</v>
      </c>
      <c r="C566" t="s">
        <v>10</v>
      </c>
      <c r="D566" t="s">
        <v>24</v>
      </c>
      <c r="E566">
        <v>31</v>
      </c>
      <c r="F566" t="str" cm="1">
        <f t="array" ref="F566">_xlfn.IFS(EmployeeData[[#This Row],[Age]]&lt;30,"20s",EmployeeData[[#This Row],[Age]]&lt;40,"30s",EmployeeData[[#This Row],[Age]]&lt;50,"40s",EmployeeData[[#This Row],[Age]]&lt;60,"50s",EmployeeData[[#This Row],[Age]]&gt;=60,"60s")</f>
        <v>30s</v>
      </c>
      <c r="G566" s="5">
        <v>43176</v>
      </c>
      <c r="H566" s="5">
        <v>44707</v>
      </c>
      <c r="I566" t="s">
        <v>12</v>
      </c>
      <c r="J566" t="s">
        <v>13</v>
      </c>
      <c r="K566" cm="1">
        <f t="array" aca="1" ref="K566" ca="1">_xlfn.IFS(EmployeeData[[#This Row],[Status]]="Active",_xlfn.DAYS(TODAY(),EmployeeData[[#This Row],[Join Date]]),EmployeeData[[#This Row],[Status]]="Exited",_xlfn.DAYS(EmployeeData[[#This Row],[Exit Date]],EmployeeData[[#This Row],[Join Date]]))</f>
        <v>1531</v>
      </c>
      <c r="L566" cm="1">
        <f t="array" aca="1" ref="L566" ca="1">_xlfn.IFS(EmployeeData[[#This Row],[Status]]="Exited",DATEDIF(EmployeeData[[#This Row],[Join Date]], EmployeeData[[#This Row],[Exit Date]], "Y"),EmployeeData[[#This Row],[Status]]="Active",DATEDIF(EmployeeData[[#This Row],[Join Date]], TODAY(), "Y"))</f>
        <v>4</v>
      </c>
      <c r="Q566" t="str" cm="1">
        <f t="array" aca="1" ref="Q5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567" spans="1:17" hidden="1" x14ac:dyDescent="0.3">
      <c r="A567">
        <v>1566</v>
      </c>
      <c r="B567" t="s">
        <v>80</v>
      </c>
      <c r="C567" t="s">
        <v>46</v>
      </c>
      <c r="D567" t="s">
        <v>16</v>
      </c>
      <c r="E567">
        <v>24</v>
      </c>
      <c r="F567" t="str" cm="1">
        <f t="array" ref="F567">_xlfn.IFS(EmployeeData[[#This Row],[Age]]&lt;30,"20s",EmployeeData[[#This Row],[Age]]&lt;40,"30s",EmployeeData[[#This Row],[Age]]&lt;50,"40s",EmployeeData[[#This Row],[Age]]&lt;60,"50s",EmployeeData[[#This Row],[Age]]&gt;=60,"60s")</f>
        <v>20s</v>
      </c>
      <c r="G567" s="5">
        <v>45664</v>
      </c>
      <c r="H567" s="5">
        <v>45952</v>
      </c>
      <c r="I567" t="s">
        <v>52</v>
      </c>
      <c r="J567" t="s">
        <v>13</v>
      </c>
      <c r="K567" cm="1">
        <f t="array" aca="1" ref="K567" ca="1">_xlfn.IFS(EmployeeData[[#This Row],[Status]]="Active",_xlfn.DAYS(TODAY(),EmployeeData[[#This Row],[Join Date]]),EmployeeData[[#This Row],[Status]]="Exited",_xlfn.DAYS(EmployeeData[[#This Row],[Exit Date]],EmployeeData[[#This Row],[Join Date]]))</f>
        <v>288</v>
      </c>
      <c r="L567" cm="1">
        <f t="array" aca="1" ref="L567" ca="1">_xlfn.IFS(EmployeeData[[#This Row],[Status]]="Exited",DATEDIF(EmployeeData[[#This Row],[Join Date]], EmployeeData[[#This Row],[Exit Date]], "Y"),EmployeeData[[#This Row],[Status]]="Active",DATEDIF(EmployeeData[[#This Row],[Join Date]], TODAY(), "Y"))</f>
        <v>0</v>
      </c>
      <c r="Q567" t="str" cm="1">
        <f t="array" aca="1" ref="Q5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568" spans="1:17" hidden="1" x14ac:dyDescent="0.3">
      <c r="A568">
        <v>1567</v>
      </c>
      <c r="B568" t="s">
        <v>64</v>
      </c>
      <c r="C568" t="s">
        <v>15</v>
      </c>
      <c r="D568" t="s">
        <v>24</v>
      </c>
      <c r="E568">
        <v>46</v>
      </c>
      <c r="F568" t="str" cm="1">
        <f t="array" ref="F568">_xlfn.IFS(EmployeeData[[#This Row],[Age]]&lt;30,"20s",EmployeeData[[#This Row],[Age]]&lt;40,"30s",EmployeeData[[#This Row],[Age]]&lt;50,"40s",EmployeeData[[#This Row],[Age]]&lt;60,"50s",EmployeeData[[#This Row],[Age]]&gt;=60,"60s")</f>
        <v>40s</v>
      </c>
      <c r="G568" s="5">
        <v>45791</v>
      </c>
      <c r="H568" s="5">
        <v>46076</v>
      </c>
      <c r="I568" t="s">
        <v>65</v>
      </c>
      <c r="J568" t="s">
        <v>13</v>
      </c>
      <c r="K568" cm="1">
        <f t="array" aca="1" ref="K568" ca="1">_xlfn.IFS(EmployeeData[[#This Row],[Status]]="Active",_xlfn.DAYS(TODAY(),EmployeeData[[#This Row],[Join Date]]),EmployeeData[[#This Row],[Status]]="Exited",_xlfn.DAYS(EmployeeData[[#This Row],[Exit Date]],EmployeeData[[#This Row],[Join Date]]))</f>
        <v>285</v>
      </c>
      <c r="L568" cm="1">
        <f t="array" aca="1" ref="L568" ca="1">_xlfn.IFS(EmployeeData[[#This Row],[Status]]="Exited",DATEDIF(EmployeeData[[#This Row],[Join Date]], EmployeeData[[#This Row],[Exit Date]], "Y"),EmployeeData[[#This Row],[Status]]="Active",DATEDIF(EmployeeData[[#This Row],[Join Date]], TODAY(), "Y"))</f>
        <v>0</v>
      </c>
      <c r="Q568" t="str" cm="1">
        <f t="array" aca="1" ref="Q5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569" spans="1:17" hidden="1" x14ac:dyDescent="0.3">
      <c r="A569">
        <v>1568</v>
      </c>
      <c r="B569" t="s">
        <v>649</v>
      </c>
      <c r="C569" t="s">
        <v>10</v>
      </c>
      <c r="D569" t="s">
        <v>16</v>
      </c>
      <c r="E569">
        <v>42</v>
      </c>
      <c r="F569" t="str" cm="1">
        <f t="array" ref="F569">_xlfn.IFS(EmployeeData[[#This Row],[Age]]&lt;30,"20s",EmployeeData[[#This Row],[Age]]&lt;40,"30s",EmployeeData[[#This Row],[Age]]&lt;50,"40s",EmployeeData[[#This Row],[Age]]&lt;60,"50s",EmployeeData[[#This Row],[Age]]&gt;=60,"60s")</f>
        <v>40s</v>
      </c>
      <c r="G569" s="5">
        <v>44940</v>
      </c>
      <c r="I569" t="s">
        <v>17</v>
      </c>
      <c r="J569" t="s">
        <v>18</v>
      </c>
      <c r="K569" cm="1">
        <f t="array" aca="1" ref="K569" ca="1">_xlfn.IFS(EmployeeData[[#This Row],[Status]]="Active",_xlfn.DAYS(TODAY(),EmployeeData[[#This Row],[Join Date]]),EmployeeData[[#This Row],[Status]]="Exited",_xlfn.DAYS(EmployeeData[[#This Row],[Exit Date]],EmployeeData[[#This Row],[Join Date]]))</f>
        <v>1257</v>
      </c>
      <c r="L569" cm="1">
        <f t="array" aca="1" ref="L569" ca="1">_xlfn.IFS(EmployeeData[[#This Row],[Status]]="Exited",DATEDIF(EmployeeData[[#This Row],[Join Date]], EmployeeData[[#This Row],[Exit Date]], "Y"),EmployeeData[[#This Row],[Status]]="Active",DATEDIF(EmployeeData[[#This Row],[Join Date]], TODAY(), "Y"))</f>
        <v>3</v>
      </c>
      <c r="Q569" t="str" cm="1">
        <f t="array" aca="1" ref="Q5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10 days</v>
      </c>
    </row>
    <row r="570" spans="1:17" hidden="1" x14ac:dyDescent="0.3">
      <c r="A570">
        <v>1569</v>
      </c>
      <c r="B570" t="s">
        <v>742</v>
      </c>
      <c r="C570" t="s">
        <v>33</v>
      </c>
      <c r="D570" t="s">
        <v>16</v>
      </c>
      <c r="E570">
        <v>54</v>
      </c>
      <c r="F570" t="str" cm="1">
        <f t="array" ref="F570">_xlfn.IFS(EmployeeData[[#This Row],[Age]]&lt;30,"20s",EmployeeData[[#This Row],[Age]]&lt;40,"30s",EmployeeData[[#This Row],[Age]]&lt;50,"40s",EmployeeData[[#This Row],[Age]]&lt;60,"50s",EmployeeData[[#This Row],[Age]]&gt;=60,"60s")</f>
        <v>50s</v>
      </c>
      <c r="G570" s="5">
        <v>43654</v>
      </c>
      <c r="I570" t="s">
        <v>17</v>
      </c>
      <c r="J570" t="s">
        <v>18</v>
      </c>
      <c r="K570" cm="1">
        <f t="array" aca="1" ref="K570" ca="1">_xlfn.IFS(EmployeeData[[#This Row],[Status]]="Active",_xlfn.DAYS(TODAY(),EmployeeData[[#This Row],[Join Date]]),EmployeeData[[#This Row],[Status]]="Exited",_xlfn.DAYS(EmployeeData[[#This Row],[Exit Date]],EmployeeData[[#This Row],[Join Date]]))</f>
        <v>2543</v>
      </c>
      <c r="L570" cm="1">
        <f t="array" aca="1" ref="L570" ca="1">_xlfn.IFS(EmployeeData[[#This Row],[Status]]="Exited",DATEDIF(EmployeeData[[#This Row],[Join Date]], EmployeeData[[#This Row],[Exit Date]], "Y"),EmployeeData[[#This Row],[Status]]="Active",DATEDIF(EmployeeData[[#This Row],[Join Date]], TODAY(), "Y"))</f>
        <v>6</v>
      </c>
      <c r="Q570" t="str" cm="1">
        <f t="array" aca="1" ref="Q5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16 days</v>
      </c>
    </row>
    <row r="571" spans="1:17" hidden="1" x14ac:dyDescent="0.3">
      <c r="A571">
        <v>1570</v>
      </c>
      <c r="B571" t="s">
        <v>181</v>
      </c>
      <c r="C571" t="s">
        <v>46</v>
      </c>
      <c r="D571" t="s">
        <v>16</v>
      </c>
      <c r="E571">
        <v>56</v>
      </c>
      <c r="F571" t="str" cm="1">
        <f t="array" ref="F571">_xlfn.IFS(EmployeeData[[#This Row],[Age]]&lt;30,"20s",EmployeeData[[#This Row],[Age]]&lt;40,"30s",EmployeeData[[#This Row],[Age]]&lt;50,"40s",EmployeeData[[#This Row],[Age]]&lt;60,"50s",EmployeeData[[#This Row],[Age]]&gt;=60,"60s")</f>
        <v>50s</v>
      </c>
      <c r="G571" s="5">
        <v>45284</v>
      </c>
      <c r="I571" t="s">
        <v>17</v>
      </c>
      <c r="J571" t="s">
        <v>18</v>
      </c>
      <c r="K571" cm="1">
        <f t="array" aca="1" ref="K571" ca="1">_xlfn.IFS(EmployeeData[[#This Row],[Status]]="Active",_xlfn.DAYS(TODAY(),EmployeeData[[#This Row],[Join Date]]),EmployeeData[[#This Row],[Status]]="Exited",_xlfn.DAYS(EmployeeData[[#This Row],[Exit Date]],EmployeeData[[#This Row],[Join Date]]))</f>
        <v>913</v>
      </c>
      <c r="L571" cm="1">
        <f t="array" aca="1" ref="L571" ca="1">_xlfn.IFS(EmployeeData[[#This Row],[Status]]="Exited",DATEDIF(EmployeeData[[#This Row],[Join Date]], EmployeeData[[#This Row],[Exit Date]], "Y"),EmployeeData[[#This Row],[Status]]="Active",DATEDIF(EmployeeData[[#This Row],[Join Date]], TODAY(), "Y"))</f>
        <v>2</v>
      </c>
      <c r="Q571" t="str" cm="1">
        <f t="array" aca="1" ref="Q5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0 days</v>
      </c>
    </row>
    <row r="572" spans="1:17" hidden="1" x14ac:dyDescent="0.3">
      <c r="A572">
        <v>1571</v>
      </c>
      <c r="B572" t="s">
        <v>70</v>
      </c>
      <c r="C572" t="s">
        <v>20</v>
      </c>
      <c r="D572" t="s">
        <v>11</v>
      </c>
      <c r="E572">
        <v>47</v>
      </c>
      <c r="F572" t="str" cm="1">
        <f t="array" ref="F572">_xlfn.IFS(EmployeeData[[#This Row],[Age]]&lt;30,"20s",EmployeeData[[#This Row],[Age]]&lt;40,"30s",EmployeeData[[#This Row],[Age]]&lt;50,"40s",EmployeeData[[#This Row],[Age]]&lt;60,"50s",EmployeeData[[#This Row],[Age]]&gt;=60,"60s")</f>
        <v>40s</v>
      </c>
      <c r="G572" s="5">
        <v>44785</v>
      </c>
      <c r="H572" s="5">
        <v>46179</v>
      </c>
      <c r="I572" t="s">
        <v>21</v>
      </c>
      <c r="J572" t="s">
        <v>13</v>
      </c>
      <c r="K572" cm="1">
        <f t="array" aca="1" ref="K572" ca="1">_xlfn.IFS(EmployeeData[[#This Row],[Status]]="Active",_xlfn.DAYS(TODAY(),EmployeeData[[#This Row],[Join Date]]),EmployeeData[[#This Row],[Status]]="Exited",_xlfn.DAYS(EmployeeData[[#This Row],[Exit Date]],EmployeeData[[#This Row],[Join Date]]))</f>
        <v>1394</v>
      </c>
      <c r="L572" cm="1">
        <f t="array" aca="1" ref="L572" ca="1">_xlfn.IFS(EmployeeData[[#This Row],[Status]]="Exited",DATEDIF(EmployeeData[[#This Row],[Join Date]], EmployeeData[[#This Row],[Exit Date]], "Y"),EmployeeData[[#This Row],[Status]]="Active",DATEDIF(EmployeeData[[#This Row],[Join Date]], TODAY(), "Y"))</f>
        <v>3</v>
      </c>
      <c r="Q572" t="str" cm="1">
        <f t="array" aca="1" ref="Q5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3" spans="1:17" hidden="1" x14ac:dyDescent="0.3">
      <c r="A573">
        <v>1572</v>
      </c>
      <c r="B573" t="s">
        <v>391</v>
      </c>
      <c r="C573" t="s">
        <v>15</v>
      </c>
      <c r="D573" t="s">
        <v>16</v>
      </c>
      <c r="E573">
        <v>38</v>
      </c>
      <c r="F573" t="str" cm="1">
        <f t="array" ref="F573">_xlfn.IFS(EmployeeData[[#This Row],[Age]]&lt;30,"20s",EmployeeData[[#This Row],[Age]]&lt;40,"30s",EmployeeData[[#This Row],[Age]]&lt;50,"40s",EmployeeData[[#This Row],[Age]]&lt;60,"50s",EmployeeData[[#This Row],[Age]]&gt;=60,"60s")</f>
        <v>30s</v>
      </c>
      <c r="G573" s="5">
        <v>45581</v>
      </c>
      <c r="I573" t="s">
        <v>17</v>
      </c>
      <c r="J573" t="s">
        <v>18</v>
      </c>
      <c r="K573" cm="1">
        <f t="array" aca="1" ref="K573" ca="1">_xlfn.IFS(EmployeeData[[#This Row],[Status]]="Active",_xlfn.DAYS(TODAY(),EmployeeData[[#This Row],[Join Date]]),EmployeeData[[#This Row],[Status]]="Exited",_xlfn.DAYS(EmployeeData[[#This Row],[Exit Date]],EmployeeData[[#This Row],[Join Date]]))</f>
        <v>616</v>
      </c>
      <c r="L573" cm="1">
        <f t="array" aca="1" ref="L573" ca="1">_xlfn.IFS(EmployeeData[[#This Row],[Status]]="Exited",DATEDIF(EmployeeData[[#This Row],[Join Date]], EmployeeData[[#This Row],[Exit Date]], "Y"),EmployeeData[[#This Row],[Status]]="Active",DATEDIF(EmployeeData[[#This Row],[Join Date]], TODAY(), "Y"))</f>
        <v>1</v>
      </c>
      <c r="Q573" t="str" cm="1">
        <f t="array" aca="1" ref="Q5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8 days</v>
      </c>
    </row>
    <row r="574" spans="1:17" hidden="1" x14ac:dyDescent="0.3">
      <c r="A574">
        <v>1573</v>
      </c>
      <c r="B574" t="s">
        <v>146</v>
      </c>
      <c r="C574" t="s">
        <v>10</v>
      </c>
      <c r="D574" t="s">
        <v>11</v>
      </c>
      <c r="E574">
        <v>51</v>
      </c>
      <c r="F574" t="str" cm="1">
        <f t="array" ref="F574">_xlfn.IFS(EmployeeData[[#This Row],[Age]]&lt;30,"20s",EmployeeData[[#This Row],[Age]]&lt;40,"30s",EmployeeData[[#This Row],[Age]]&lt;50,"40s",EmployeeData[[#This Row],[Age]]&lt;60,"50s",EmployeeData[[#This Row],[Age]]&gt;=60,"60s")</f>
        <v>50s</v>
      </c>
      <c r="G574" s="5">
        <v>43650</v>
      </c>
      <c r="I574" t="s">
        <v>17</v>
      </c>
      <c r="J574" t="s">
        <v>18</v>
      </c>
      <c r="K574" cm="1">
        <f t="array" aca="1" ref="K574" ca="1">_xlfn.IFS(EmployeeData[[#This Row],[Status]]="Active",_xlfn.DAYS(TODAY(),EmployeeData[[#This Row],[Join Date]]),EmployeeData[[#This Row],[Status]]="Exited",_xlfn.DAYS(EmployeeData[[#This Row],[Exit Date]],EmployeeData[[#This Row],[Join Date]]))</f>
        <v>2547</v>
      </c>
      <c r="L574" cm="1">
        <f t="array" aca="1" ref="L574" ca="1">_xlfn.IFS(EmployeeData[[#This Row],[Status]]="Exited",DATEDIF(EmployeeData[[#This Row],[Join Date]], EmployeeData[[#This Row],[Exit Date]], "Y"),EmployeeData[[#This Row],[Status]]="Active",DATEDIF(EmployeeData[[#This Row],[Join Date]], TODAY(), "Y"))</f>
        <v>6</v>
      </c>
      <c r="Q574" t="str" cm="1">
        <f t="array" aca="1" ref="Q5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20 days</v>
      </c>
    </row>
    <row r="575" spans="1:17" hidden="1" x14ac:dyDescent="0.3">
      <c r="A575">
        <v>1574</v>
      </c>
      <c r="B575" t="s">
        <v>761</v>
      </c>
      <c r="C575" t="s">
        <v>10</v>
      </c>
      <c r="D575" t="s">
        <v>11</v>
      </c>
      <c r="E575">
        <v>63</v>
      </c>
      <c r="F575" t="str" cm="1">
        <f t="array" ref="F575">_xlfn.IFS(EmployeeData[[#This Row],[Age]]&lt;30,"20s",EmployeeData[[#This Row],[Age]]&lt;40,"30s",EmployeeData[[#This Row],[Age]]&lt;50,"40s",EmployeeData[[#This Row],[Age]]&lt;60,"50s",EmployeeData[[#This Row],[Age]]&gt;=60,"60s")</f>
        <v>60s</v>
      </c>
      <c r="G575" s="5">
        <v>45041</v>
      </c>
      <c r="H575" s="5">
        <v>45526</v>
      </c>
      <c r="I575" t="s">
        <v>26</v>
      </c>
      <c r="J575" t="s">
        <v>13</v>
      </c>
      <c r="K575" cm="1">
        <f t="array" aca="1" ref="K575" ca="1">_xlfn.IFS(EmployeeData[[#This Row],[Status]]="Active",_xlfn.DAYS(TODAY(),EmployeeData[[#This Row],[Join Date]]),EmployeeData[[#This Row],[Status]]="Exited",_xlfn.DAYS(EmployeeData[[#This Row],[Exit Date]],EmployeeData[[#This Row],[Join Date]]))</f>
        <v>485</v>
      </c>
      <c r="L575" cm="1">
        <f t="array" aca="1" ref="L575" ca="1">_xlfn.IFS(EmployeeData[[#This Row],[Status]]="Exited",DATEDIF(EmployeeData[[#This Row],[Join Date]], EmployeeData[[#This Row],[Exit Date]], "Y"),EmployeeData[[#This Row],[Status]]="Active",DATEDIF(EmployeeData[[#This Row],[Join Date]], TODAY(), "Y"))</f>
        <v>1</v>
      </c>
      <c r="Q575" t="str" cm="1">
        <f t="array" aca="1" ref="Q5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28 days</v>
      </c>
    </row>
    <row r="576" spans="1:17" hidden="1" x14ac:dyDescent="0.3">
      <c r="A576">
        <v>1575</v>
      </c>
      <c r="B576" t="s">
        <v>288</v>
      </c>
      <c r="C576" t="s">
        <v>15</v>
      </c>
      <c r="D576" t="s">
        <v>24</v>
      </c>
      <c r="E576">
        <v>33</v>
      </c>
      <c r="F576" t="str" cm="1">
        <f t="array" ref="F576">_xlfn.IFS(EmployeeData[[#This Row],[Age]]&lt;30,"20s",EmployeeData[[#This Row],[Age]]&lt;40,"30s",EmployeeData[[#This Row],[Age]]&lt;50,"40s",EmployeeData[[#This Row],[Age]]&lt;60,"50s",EmployeeData[[#This Row],[Age]]&gt;=60,"60s")</f>
        <v>30s</v>
      </c>
      <c r="G576" s="5">
        <v>43938</v>
      </c>
      <c r="H576" s="5">
        <v>45827</v>
      </c>
      <c r="I576" t="s">
        <v>52</v>
      </c>
      <c r="J576" t="s">
        <v>13</v>
      </c>
      <c r="K576" cm="1">
        <f t="array" aca="1" ref="K576" ca="1">_xlfn.IFS(EmployeeData[[#This Row],[Status]]="Active",_xlfn.DAYS(TODAY(),EmployeeData[[#This Row],[Join Date]]),EmployeeData[[#This Row],[Status]]="Exited",_xlfn.DAYS(EmployeeData[[#This Row],[Exit Date]],EmployeeData[[#This Row],[Join Date]]))</f>
        <v>1889</v>
      </c>
      <c r="L576" cm="1">
        <f t="array" aca="1" ref="L576" ca="1">_xlfn.IFS(EmployeeData[[#This Row],[Status]]="Exited",DATEDIF(EmployeeData[[#This Row],[Join Date]], EmployeeData[[#This Row],[Exit Date]], "Y"),EmployeeData[[#This Row],[Status]]="Active",DATEDIF(EmployeeData[[#This Row],[Join Date]], TODAY(), "Y"))</f>
        <v>5</v>
      </c>
      <c r="Q576" t="str" cm="1">
        <f t="array" aca="1" ref="Q5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577" spans="1:17" hidden="1" x14ac:dyDescent="0.3">
      <c r="A577">
        <v>1576</v>
      </c>
      <c r="B577" t="s">
        <v>760</v>
      </c>
      <c r="C577" t="s">
        <v>33</v>
      </c>
      <c r="D577" t="s">
        <v>24</v>
      </c>
      <c r="E577">
        <v>23</v>
      </c>
      <c r="F577" t="str" cm="1">
        <f t="array" ref="F577">_xlfn.IFS(EmployeeData[[#This Row],[Age]]&lt;30,"20s",EmployeeData[[#This Row],[Age]]&lt;40,"30s",EmployeeData[[#This Row],[Age]]&lt;50,"40s",EmployeeData[[#This Row],[Age]]&lt;60,"50s",EmployeeData[[#This Row],[Age]]&gt;=60,"60s")</f>
        <v>20s</v>
      </c>
      <c r="G577" s="5">
        <v>45591</v>
      </c>
      <c r="I577" t="s">
        <v>17</v>
      </c>
      <c r="J577" t="s">
        <v>18</v>
      </c>
      <c r="K577" cm="1">
        <f t="array" aca="1" ref="K577" ca="1">_xlfn.IFS(EmployeeData[[#This Row],[Status]]="Active",_xlfn.DAYS(TODAY(),EmployeeData[[#This Row],[Join Date]]),EmployeeData[[#This Row],[Status]]="Exited",_xlfn.DAYS(EmployeeData[[#This Row],[Exit Date]],EmployeeData[[#This Row],[Join Date]]))</f>
        <v>606</v>
      </c>
      <c r="L577" cm="1">
        <f t="array" aca="1" ref="L577" ca="1">_xlfn.IFS(EmployeeData[[#This Row],[Status]]="Exited",DATEDIF(EmployeeData[[#This Row],[Join Date]], EmployeeData[[#This Row],[Exit Date]], "Y"),EmployeeData[[#This Row],[Status]]="Active",DATEDIF(EmployeeData[[#This Row],[Join Date]], TODAY(), "Y"))</f>
        <v>1</v>
      </c>
      <c r="Q577" t="str" cm="1">
        <f t="array" aca="1" ref="Q5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29 days</v>
      </c>
    </row>
    <row r="578" spans="1:17" hidden="1" x14ac:dyDescent="0.3">
      <c r="A578">
        <v>1577</v>
      </c>
      <c r="B578" t="s">
        <v>381</v>
      </c>
      <c r="C578" t="s">
        <v>23</v>
      </c>
      <c r="D578" t="s">
        <v>24</v>
      </c>
      <c r="E578">
        <v>23</v>
      </c>
      <c r="F578" t="str" cm="1">
        <f t="array" ref="F578">_xlfn.IFS(EmployeeData[[#This Row],[Age]]&lt;30,"20s",EmployeeData[[#This Row],[Age]]&lt;40,"30s",EmployeeData[[#This Row],[Age]]&lt;50,"40s",EmployeeData[[#This Row],[Age]]&lt;60,"50s",EmployeeData[[#This Row],[Age]]&gt;=60,"60s")</f>
        <v>20s</v>
      </c>
      <c r="G578" s="5">
        <v>44107</v>
      </c>
      <c r="I578" t="s">
        <v>17</v>
      </c>
      <c r="J578" t="s">
        <v>18</v>
      </c>
      <c r="K578" cm="1">
        <f t="array" aca="1" ref="K578" ca="1">_xlfn.IFS(EmployeeData[[#This Row],[Status]]="Active",_xlfn.DAYS(TODAY(),EmployeeData[[#This Row],[Join Date]]),EmployeeData[[#This Row],[Status]]="Exited",_xlfn.DAYS(EmployeeData[[#This Row],[Exit Date]],EmployeeData[[#This Row],[Join Date]]))</f>
        <v>2090</v>
      </c>
      <c r="L578" cm="1">
        <f t="array" aca="1" ref="L578" ca="1">_xlfn.IFS(EmployeeData[[#This Row],[Status]]="Exited",DATEDIF(EmployeeData[[#This Row],[Join Date]], EmployeeData[[#This Row],[Exit Date]], "Y"),EmployeeData[[#This Row],[Status]]="Active",DATEDIF(EmployeeData[[#This Row],[Join Date]], TODAY(), "Y"))</f>
        <v>5</v>
      </c>
      <c r="Q578" t="str" cm="1">
        <f t="array" aca="1" ref="Q5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21 days</v>
      </c>
    </row>
    <row r="579" spans="1:17" hidden="1" x14ac:dyDescent="0.3">
      <c r="A579">
        <v>1578</v>
      </c>
      <c r="B579" t="s">
        <v>954</v>
      </c>
      <c r="C579" t="s">
        <v>23</v>
      </c>
      <c r="D579" t="s">
        <v>24</v>
      </c>
      <c r="E579">
        <v>24</v>
      </c>
      <c r="F579" t="str" cm="1">
        <f t="array" ref="F579">_xlfn.IFS(EmployeeData[[#This Row],[Age]]&lt;30,"20s",EmployeeData[[#This Row],[Age]]&lt;40,"30s",EmployeeData[[#This Row],[Age]]&lt;50,"40s",EmployeeData[[#This Row],[Age]]&lt;60,"50s",EmployeeData[[#This Row],[Age]]&gt;=60,"60s")</f>
        <v>20s</v>
      </c>
      <c r="G579" s="5">
        <v>43878</v>
      </c>
      <c r="H579" s="5">
        <v>45598</v>
      </c>
      <c r="I579" t="s">
        <v>52</v>
      </c>
      <c r="J579" t="s">
        <v>13</v>
      </c>
      <c r="K579" cm="1">
        <f t="array" aca="1" ref="K579" ca="1">_xlfn.IFS(EmployeeData[[#This Row],[Status]]="Active",_xlfn.DAYS(TODAY(),EmployeeData[[#This Row],[Join Date]]),EmployeeData[[#This Row],[Status]]="Exited",_xlfn.DAYS(EmployeeData[[#This Row],[Exit Date]],EmployeeData[[#This Row],[Join Date]]))</f>
        <v>1720</v>
      </c>
      <c r="L579" cm="1">
        <f t="array" aca="1" ref="L579" ca="1">_xlfn.IFS(EmployeeData[[#This Row],[Status]]="Exited",DATEDIF(EmployeeData[[#This Row],[Join Date]], EmployeeData[[#This Row],[Exit Date]], "Y"),EmployeeData[[#This Row],[Status]]="Active",DATEDIF(EmployeeData[[#This Row],[Join Date]], TODAY(), "Y"))</f>
        <v>4</v>
      </c>
      <c r="Q579" t="str" cm="1">
        <f t="array" aca="1" ref="Q5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580" spans="1:17" hidden="1" x14ac:dyDescent="0.3">
      <c r="A580">
        <v>1579</v>
      </c>
      <c r="B580" t="s">
        <v>569</v>
      </c>
      <c r="C580" t="s">
        <v>23</v>
      </c>
      <c r="D580" t="s">
        <v>16</v>
      </c>
      <c r="E580">
        <v>54</v>
      </c>
      <c r="F580" t="str" cm="1">
        <f t="array" ref="F580">_xlfn.IFS(EmployeeData[[#This Row],[Age]]&lt;30,"20s",EmployeeData[[#This Row],[Age]]&lt;40,"30s",EmployeeData[[#This Row],[Age]]&lt;50,"40s",EmployeeData[[#This Row],[Age]]&lt;60,"50s",EmployeeData[[#This Row],[Age]]&gt;=60,"60s")</f>
        <v>50s</v>
      </c>
      <c r="G580" s="5">
        <v>43683</v>
      </c>
      <c r="I580" t="s">
        <v>17</v>
      </c>
      <c r="J580" t="s">
        <v>18</v>
      </c>
      <c r="K580" cm="1">
        <f t="array" aca="1" ref="K580" ca="1">_xlfn.IFS(EmployeeData[[#This Row],[Status]]="Active",_xlfn.DAYS(TODAY(),EmployeeData[[#This Row],[Join Date]]),EmployeeData[[#This Row],[Status]]="Exited",_xlfn.DAYS(EmployeeData[[#This Row],[Exit Date]],EmployeeData[[#This Row],[Join Date]]))</f>
        <v>2514</v>
      </c>
      <c r="L580" cm="1">
        <f t="array" aca="1" ref="L580" ca="1">_xlfn.IFS(EmployeeData[[#This Row],[Status]]="Exited",DATEDIF(EmployeeData[[#This Row],[Join Date]], EmployeeData[[#This Row],[Exit Date]], "Y"),EmployeeData[[#This Row],[Status]]="Active",DATEDIF(EmployeeData[[#This Row],[Join Date]], TODAY(), "Y"))</f>
        <v>6</v>
      </c>
      <c r="Q580" t="str" cm="1">
        <f t="array" aca="1" ref="Q5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18 days</v>
      </c>
    </row>
    <row r="581" spans="1:17" hidden="1" x14ac:dyDescent="0.3">
      <c r="A581">
        <v>1580</v>
      </c>
      <c r="B581" t="s">
        <v>983</v>
      </c>
      <c r="C581" t="s">
        <v>15</v>
      </c>
      <c r="D581" t="s">
        <v>11</v>
      </c>
      <c r="E581">
        <v>55</v>
      </c>
      <c r="F581" t="str" cm="1">
        <f t="array" ref="F581">_xlfn.IFS(EmployeeData[[#This Row],[Age]]&lt;30,"20s",EmployeeData[[#This Row],[Age]]&lt;40,"30s",EmployeeData[[#This Row],[Age]]&lt;50,"40s",EmployeeData[[#This Row],[Age]]&lt;60,"50s",EmployeeData[[#This Row],[Age]]&gt;=60,"60s")</f>
        <v>50s</v>
      </c>
      <c r="G581" s="5">
        <v>43655</v>
      </c>
      <c r="I581" t="s">
        <v>17</v>
      </c>
      <c r="J581" t="s">
        <v>18</v>
      </c>
      <c r="K581" cm="1">
        <f t="array" aca="1" ref="K581" ca="1">_xlfn.IFS(EmployeeData[[#This Row],[Status]]="Active",_xlfn.DAYS(TODAY(),EmployeeData[[#This Row],[Join Date]]),EmployeeData[[#This Row],[Status]]="Exited",_xlfn.DAYS(EmployeeData[[#This Row],[Exit Date]],EmployeeData[[#This Row],[Join Date]]))</f>
        <v>2542</v>
      </c>
      <c r="L581" cm="1">
        <f t="array" aca="1" ref="L581" ca="1">_xlfn.IFS(EmployeeData[[#This Row],[Status]]="Exited",DATEDIF(EmployeeData[[#This Row],[Join Date]], EmployeeData[[#This Row],[Exit Date]], "Y"),EmployeeData[[#This Row],[Status]]="Active",DATEDIF(EmployeeData[[#This Row],[Join Date]], TODAY(), "Y"))</f>
        <v>6</v>
      </c>
      <c r="Q581" t="str" cm="1">
        <f t="array" aca="1" ref="Q5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582" spans="1:17" hidden="1" x14ac:dyDescent="0.3">
      <c r="A582">
        <v>1581</v>
      </c>
      <c r="B582" t="s">
        <v>386</v>
      </c>
      <c r="C582" t="s">
        <v>23</v>
      </c>
      <c r="D582" t="s">
        <v>11</v>
      </c>
      <c r="E582">
        <v>33</v>
      </c>
      <c r="F582" t="str" cm="1">
        <f t="array" ref="F582">_xlfn.IFS(EmployeeData[[#This Row],[Age]]&lt;30,"20s",EmployeeData[[#This Row],[Age]]&lt;40,"30s",EmployeeData[[#This Row],[Age]]&lt;50,"40s",EmployeeData[[#This Row],[Age]]&lt;60,"50s",EmployeeData[[#This Row],[Age]]&gt;=60,"60s")</f>
        <v>30s</v>
      </c>
      <c r="G582" s="5">
        <v>44963</v>
      </c>
      <c r="H582" s="5">
        <v>45716</v>
      </c>
      <c r="I582" t="s">
        <v>34</v>
      </c>
      <c r="J582" t="s">
        <v>13</v>
      </c>
      <c r="K582" cm="1">
        <f t="array" aca="1" ref="K582" ca="1">_xlfn.IFS(EmployeeData[[#This Row],[Status]]="Active",_xlfn.DAYS(TODAY(),EmployeeData[[#This Row],[Join Date]]),EmployeeData[[#This Row],[Status]]="Exited",_xlfn.DAYS(EmployeeData[[#This Row],[Exit Date]],EmployeeData[[#This Row],[Join Date]]))</f>
        <v>753</v>
      </c>
      <c r="L582" cm="1">
        <f t="array" aca="1" ref="L582" ca="1">_xlfn.IFS(EmployeeData[[#This Row],[Status]]="Exited",DATEDIF(EmployeeData[[#This Row],[Join Date]], EmployeeData[[#This Row],[Exit Date]], "Y"),EmployeeData[[#This Row],[Status]]="Active",DATEDIF(EmployeeData[[#This Row],[Join Date]], TODAY(), "Y"))</f>
        <v>2</v>
      </c>
      <c r="Q582" t="str" cm="1">
        <f t="array" aca="1" ref="Q5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22 days</v>
      </c>
    </row>
    <row r="583" spans="1:17" x14ac:dyDescent="0.3">
      <c r="A583">
        <v>1582</v>
      </c>
      <c r="B583" t="s">
        <v>552</v>
      </c>
      <c r="C583" t="s">
        <v>15</v>
      </c>
      <c r="D583" t="s">
        <v>11</v>
      </c>
      <c r="E583">
        <v>44</v>
      </c>
      <c r="F583" t="str" cm="1">
        <f t="array" ref="F583">_xlfn.IFS(EmployeeData[[#This Row],[Age]]&lt;30,"20s",EmployeeData[[#This Row],[Age]]&lt;40,"30s",EmployeeData[[#This Row],[Age]]&lt;50,"40s",EmployeeData[[#This Row],[Age]]&lt;60,"50s",EmployeeData[[#This Row],[Age]]&gt;=60,"60s")</f>
        <v>40s</v>
      </c>
      <c r="G583" s="5">
        <v>43450</v>
      </c>
      <c r="I583" t="s">
        <v>17</v>
      </c>
      <c r="J583" t="s">
        <v>18</v>
      </c>
      <c r="K583" cm="1">
        <f t="array" aca="1" ref="K583" ca="1">_xlfn.IFS(EmployeeData[[#This Row],[Status]]="Active",_xlfn.DAYS(TODAY(),EmployeeData[[#This Row],[Join Date]]),EmployeeData[[#This Row],[Status]]="Exited",_xlfn.DAYS(EmployeeData[[#This Row],[Exit Date]],EmployeeData[[#This Row],[Join Date]]))</f>
        <v>2747</v>
      </c>
      <c r="L583" cm="1">
        <f t="array" aca="1" ref="L583" ca="1">_xlfn.IFS(EmployeeData[[#This Row],[Status]]="Exited",DATEDIF(EmployeeData[[#This Row],[Join Date]], EmployeeData[[#This Row],[Exit Date]], "Y"),EmployeeData[[#This Row],[Status]]="Active",DATEDIF(EmployeeData[[#This Row],[Join Date]], TODAY(), "Y"))</f>
        <v>7</v>
      </c>
      <c r="Q583" t="str" cm="1">
        <f t="array" aca="1" ref="Q5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8 days</v>
      </c>
    </row>
    <row r="584" spans="1:17" hidden="1" x14ac:dyDescent="0.3">
      <c r="A584">
        <v>1583</v>
      </c>
      <c r="B584" t="s">
        <v>463</v>
      </c>
      <c r="C584" t="s">
        <v>23</v>
      </c>
      <c r="D584" t="s">
        <v>11</v>
      </c>
      <c r="E584">
        <v>45</v>
      </c>
      <c r="F584" t="str" cm="1">
        <f t="array" ref="F584">_xlfn.IFS(EmployeeData[[#This Row],[Age]]&lt;30,"20s",EmployeeData[[#This Row],[Age]]&lt;40,"30s",EmployeeData[[#This Row],[Age]]&lt;50,"40s",EmployeeData[[#This Row],[Age]]&lt;60,"50s",EmployeeData[[#This Row],[Age]]&gt;=60,"60s")</f>
        <v>40s</v>
      </c>
      <c r="G584" s="5">
        <v>45355</v>
      </c>
      <c r="I584" t="s">
        <v>17</v>
      </c>
      <c r="J584" t="s">
        <v>18</v>
      </c>
      <c r="K584" cm="1">
        <f t="array" aca="1" ref="K584" ca="1">_xlfn.IFS(EmployeeData[[#This Row],[Status]]="Active",_xlfn.DAYS(TODAY(),EmployeeData[[#This Row],[Join Date]]),EmployeeData[[#This Row],[Status]]="Exited",_xlfn.DAYS(EmployeeData[[#This Row],[Exit Date]],EmployeeData[[#This Row],[Join Date]]))</f>
        <v>842</v>
      </c>
      <c r="L584" cm="1">
        <f t="array" aca="1" ref="L584" ca="1">_xlfn.IFS(EmployeeData[[#This Row],[Status]]="Exited",DATEDIF(EmployeeData[[#This Row],[Join Date]], EmployeeData[[#This Row],[Exit Date]], "Y"),EmployeeData[[#This Row],[Status]]="Active",DATEDIF(EmployeeData[[#This Row],[Join Date]], TODAY(), "Y"))</f>
        <v>2</v>
      </c>
      <c r="Q584" t="str" cm="1">
        <f t="array" aca="1" ref="Q5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585" spans="1:17" hidden="1" x14ac:dyDescent="0.3">
      <c r="A585">
        <v>1584</v>
      </c>
      <c r="B585" t="s">
        <v>71</v>
      </c>
      <c r="C585" t="s">
        <v>15</v>
      </c>
      <c r="D585" t="s">
        <v>16</v>
      </c>
      <c r="E585">
        <v>55</v>
      </c>
      <c r="F585" t="str" cm="1">
        <f t="array" ref="F585">_xlfn.IFS(EmployeeData[[#This Row],[Age]]&lt;30,"20s",EmployeeData[[#This Row],[Age]]&lt;40,"30s",EmployeeData[[#This Row],[Age]]&lt;50,"40s",EmployeeData[[#This Row],[Age]]&lt;60,"50s",EmployeeData[[#This Row],[Age]]&gt;=60,"60s")</f>
        <v>50s</v>
      </c>
      <c r="G585" s="5">
        <v>44819</v>
      </c>
      <c r="H585" s="5">
        <v>45822</v>
      </c>
      <c r="I585" t="s">
        <v>26</v>
      </c>
      <c r="J585" t="s">
        <v>13</v>
      </c>
      <c r="K585" cm="1">
        <f t="array" aca="1" ref="K585" ca="1">_xlfn.IFS(EmployeeData[[#This Row],[Status]]="Active",_xlfn.DAYS(TODAY(),EmployeeData[[#This Row],[Join Date]]),EmployeeData[[#This Row],[Status]]="Exited",_xlfn.DAYS(EmployeeData[[#This Row],[Exit Date]],EmployeeData[[#This Row],[Join Date]]))</f>
        <v>1003</v>
      </c>
      <c r="L585" cm="1">
        <f t="array" aca="1" ref="L585" ca="1">_xlfn.IFS(EmployeeData[[#This Row],[Status]]="Exited",DATEDIF(EmployeeData[[#This Row],[Join Date]], EmployeeData[[#This Row],[Exit Date]], "Y"),EmployeeData[[#This Row],[Status]]="Active",DATEDIF(EmployeeData[[#This Row],[Join Date]], TODAY(), "Y"))</f>
        <v>2</v>
      </c>
      <c r="Q585" t="str" cm="1">
        <f t="array" aca="1" ref="Q5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30 days</v>
      </c>
    </row>
    <row r="586" spans="1:17" hidden="1" x14ac:dyDescent="0.3">
      <c r="A586">
        <v>1585</v>
      </c>
      <c r="B586" t="s">
        <v>735</v>
      </c>
      <c r="C586" t="s">
        <v>15</v>
      </c>
      <c r="D586" t="s">
        <v>11</v>
      </c>
      <c r="E586">
        <v>21</v>
      </c>
      <c r="F586" t="str" cm="1">
        <f t="array" ref="F586">_xlfn.IFS(EmployeeData[[#This Row],[Age]]&lt;30,"20s",EmployeeData[[#This Row],[Age]]&lt;40,"30s",EmployeeData[[#This Row],[Age]]&lt;50,"40s",EmployeeData[[#This Row],[Age]]&lt;60,"50s",EmployeeData[[#This Row],[Age]]&gt;=60,"60s")</f>
        <v>20s</v>
      </c>
      <c r="G586" s="5">
        <v>44979</v>
      </c>
      <c r="I586" t="s">
        <v>17</v>
      </c>
      <c r="J586" t="s">
        <v>18</v>
      </c>
      <c r="K586" cm="1">
        <f t="array" aca="1" ref="K586" ca="1">_xlfn.IFS(EmployeeData[[#This Row],[Status]]="Active",_xlfn.DAYS(TODAY(),EmployeeData[[#This Row],[Join Date]]),EmployeeData[[#This Row],[Status]]="Exited",_xlfn.DAYS(EmployeeData[[#This Row],[Exit Date]],EmployeeData[[#This Row],[Join Date]]))</f>
        <v>1218</v>
      </c>
      <c r="L586" cm="1">
        <f t="array" aca="1" ref="L586" ca="1">_xlfn.IFS(EmployeeData[[#This Row],[Status]]="Exited",DATEDIF(EmployeeData[[#This Row],[Join Date]], EmployeeData[[#This Row],[Exit Date]], "Y"),EmployeeData[[#This Row],[Status]]="Active",DATEDIF(EmployeeData[[#This Row],[Join Date]], TODAY(), "Y"))</f>
        <v>3</v>
      </c>
      <c r="Q586" t="str" cm="1">
        <f t="array" aca="1" ref="Q5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 days</v>
      </c>
    </row>
    <row r="587" spans="1:17" hidden="1" x14ac:dyDescent="0.3">
      <c r="A587">
        <v>1586</v>
      </c>
      <c r="B587" t="s">
        <v>705</v>
      </c>
      <c r="C587" t="s">
        <v>23</v>
      </c>
      <c r="D587" t="s">
        <v>24</v>
      </c>
      <c r="E587">
        <v>34</v>
      </c>
      <c r="F587" t="str" cm="1">
        <f t="array" ref="F587">_xlfn.IFS(EmployeeData[[#This Row],[Age]]&lt;30,"20s",EmployeeData[[#This Row],[Age]]&lt;40,"30s",EmployeeData[[#This Row],[Age]]&lt;50,"40s",EmployeeData[[#This Row],[Age]]&lt;60,"50s",EmployeeData[[#This Row],[Age]]&gt;=60,"60s")</f>
        <v>30s</v>
      </c>
      <c r="G587" s="5">
        <v>45512</v>
      </c>
      <c r="I587" t="s">
        <v>17</v>
      </c>
      <c r="J587" t="s">
        <v>18</v>
      </c>
      <c r="K587" cm="1">
        <f t="array" aca="1" ref="K587" ca="1">_xlfn.IFS(EmployeeData[[#This Row],[Status]]="Active",_xlfn.DAYS(TODAY(),EmployeeData[[#This Row],[Join Date]]),EmployeeData[[#This Row],[Status]]="Exited",_xlfn.DAYS(EmployeeData[[#This Row],[Exit Date]],EmployeeData[[#This Row],[Join Date]]))</f>
        <v>685</v>
      </c>
      <c r="L587" cm="1">
        <f t="array" aca="1" ref="L587" ca="1">_xlfn.IFS(EmployeeData[[#This Row],[Status]]="Exited",DATEDIF(EmployeeData[[#This Row],[Join Date]], EmployeeData[[#This Row],[Exit Date]], "Y"),EmployeeData[[#This Row],[Status]]="Active",DATEDIF(EmployeeData[[#This Row],[Join Date]], TODAY(), "Y"))</f>
        <v>1</v>
      </c>
      <c r="Q587" t="str" cm="1">
        <f t="array" aca="1" ref="Q5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16 days</v>
      </c>
    </row>
    <row r="588" spans="1:17" hidden="1" x14ac:dyDescent="0.3">
      <c r="A588">
        <v>1587</v>
      </c>
      <c r="B588" t="s">
        <v>257</v>
      </c>
      <c r="C588" t="s">
        <v>10</v>
      </c>
      <c r="D588" t="s">
        <v>24</v>
      </c>
      <c r="E588">
        <v>56</v>
      </c>
      <c r="F588" t="str" cm="1">
        <f t="array" ref="F588">_xlfn.IFS(EmployeeData[[#This Row],[Age]]&lt;30,"20s",EmployeeData[[#This Row],[Age]]&lt;40,"30s",EmployeeData[[#This Row],[Age]]&lt;50,"40s",EmployeeData[[#This Row],[Age]]&lt;60,"50s",EmployeeData[[#This Row],[Age]]&gt;=60,"60s")</f>
        <v>50s</v>
      </c>
      <c r="G588" s="5">
        <v>43951</v>
      </c>
      <c r="H588" s="5">
        <v>44648</v>
      </c>
      <c r="I588" t="s">
        <v>31</v>
      </c>
      <c r="J588" t="s">
        <v>13</v>
      </c>
      <c r="K588" cm="1">
        <f t="array" aca="1" ref="K588" ca="1">_xlfn.IFS(EmployeeData[[#This Row],[Status]]="Active",_xlfn.DAYS(TODAY(),EmployeeData[[#This Row],[Join Date]]),EmployeeData[[#This Row],[Status]]="Exited",_xlfn.DAYS(EmployeeData[[#This Row],[Exit Date]],EmployeeData[[#This Row],[Join Date]]))</f>
        <v>697</v>
      </c>
      <c r="L588" cm="1">
        <f t="array" aca="1" ref="L588" ca="1">_xlfn.IFS(EmployeeData[[#This Row],[Status]]="Exited",DATEDIF(EmployeeData[[#This Row],[Join Date]], EmployeeData[[#This Row],[Exit Date]], "Y"),EmployeeData[[#This Row],[Status]]="Active",DATEDIF(EmployeeData[[#This Row],[Join Date]], TODAY(), "Y"))</f>
        <v>1</v>
      </c>
      <c r="Q588" t="str" cm="1">
        <f t="array" aca="1" ref="Q5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589" spans="1:17" hidden="1" x14ac:dyDescent="0.3">
      <c r="A589">
        <v>1588</v>
      </c>
      <c r="B589" t="s">
        <v>206</v>
      </c>
      <c r="C589" t="s">
        <v>20</v>
      </c>
      <c r="D589" t="s">
        <v>11</v>
      </c>
      <c r="E589">
        <v>40</v>
      </c>
      <c r="F589" t="str" cm="1">
        <f t="array" ref="F589">_xlfn.IFS(EmployeeData[[#This Row],[Age]]&lt;30,"20s",EmployeeData[[#This Row],[Age]]&lt;40,"30s",EmployeeData[[#This Row],[Age]]&lt;50,"40s",EmployeeData[[#This Row],[Age]]&lt;60,"50s",EmployeeData[[#This Row],[Age]]&gt;=60,"60s")</f>
        <v>40s</v>
      </c>
      <c r="G589" s="5">
        <v>44457</v>
      </c>
      <c r="I589" t="s">
        <v>17</v>
      </c>
      <c r="J589" t="s">
        <v>18</v>
      </c>
      <c r="K589" cm="1">
        <f t="array" aca="1" ref="K589" ca="1">_xlfn.IFS(EmployeeData[[#This Row],[Status]]="Active",_xlfn.DAYS(TODAY(),EmployeeData[[#This Row],[Join Date]]),EmployeeData[[#This Row],[Status]]="Exited",_xlfn.DAYS(EmployeeData[[#This Row],[Exit Date]],EmployeeData[[#This Row],[Join Date]]))</f>
        <v>1740</v>
      </c>
      <c r="L589" cm="1">
        <f t="array" aca="1" ref="L589" ca="1">_xlfn.IFS(EmployeeData[[#This Row],[Status]]="Exited",DATEDIF(EmployeeData[[#This Row],[Join Date]], EmployeeData[[#This Row],[Exit Date]], "Y"),EmployeeData[[#This Row],[Status]]="Active",DATEDIF(EmployeeData[[#This Row],[Join Date]], TODAY(), "Y"))</f>
        <v>4</v>
      </c>
      <c r="Q589" t="str" cm="1">
        <f t="array" aca="1" ref="Q5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6 days</v>
      </c>
    </row>
    <row r="590" spans="1:17" hidden="1" x14ac:dyDescent="0.3">
      <c r="A590">
        <v>1589</v>
      </c>
      <c r="B590" t="s">
        <v>195</v>
      </c>
      <c r="C590" t="s">
        <v>15</v>
      </c>
      <c r="D590" t="s">
        <v>16</v>
      </c>
      <c r="E590">
        <v>57</v>
      </c>
      <c r="F590" t="str" cm="1">
        <f t="array" ref="F590">_xlfn.IFS(EmployeeData[[#This Row],[Age]]&lt;30,"20s",EmployeeData[[#This Row],[Age]]&lt;40,"30s",EmployeeData[[#This Row],[Age]]&lt;50,"40s",EmployeeData[[#This Row],[Age]]&lt;60,"50s",EmployeeData[[#This Row],[Age]]&gt;=60,"60s")</f>
        <v>50s</v>
      </c>
      <c r="G590" s="5">
        <v>45403</v>
      </c>
      <c r="H590" s="5">
        <v>45959</v>
      </c>
      <c r="I590" t="s">
        <v>34</v>
      </c>
      <c r="J590" t="s">
        <v>13</v>
      </c>
      <c r="K590" cm="1">
        <f t="array" aca="1" ref="K590" ca="1">_xlfn.IFS(EmployeeData[[#This Row],[Status]]="Active",_xlfn.DAYS(TODAY(),EmployeeData[[#This Row],[Join Date]]),EmployeeData[[#This Row],[Status]]="Exited",_xlfn.DAYS(EmployeeData[[#This Row],[Exit Date]],EmployeeData[[#This Row],[Join Date]]))</f>
        <v>556</v>
      </c>
      <c r="L590" cm="1">
        <f t="array" aca="1" ref="L590" ca="1">_xlfn.IFS(EmployeeData[[#This Row],[Status]]="Exited",DATEDIF(EmployeeData[[#This Row],[Join Date]], EmployeeData[[#This Row],[Exit Date]], "Y"),EmployeeData[[#This Row],[Status]]="Active",DATEDIF(EmployeeData[[#This Row],[Join Date]], TODAY(), "Y"))</f>
        <v>1</v>
      </c>
      <c r="Q590" t="str" cm="1">
        <f t="array" aca="1" ref="Q5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591" spans="1:17" hidden="1" x14ac:dyDescent="0.3">
      <c r="A591">
        <v>1590</v>
      </c>
      <c r="B591" t="s">
        <v>1013</v>
      </c>
      <c r="C591" t="s">
        <v>10</v>
      </c>
      <c r="D591" t="s">
        <v>11</v>
      </c>
      <c r="E591">
        <v>25</v>
      </c>
      <c r="F591" t="str" cm="1">
        <f t="array" ref="F591">_xlfn.IFS(EmployeeData[[#This Row],[Age]]&lt;30,"20s",EmployeeData[[#This Row],[Age]]&lt;40,"30s",EmployeeData[[#This Row],[Age]]&lt;50,"40s",EmployeeData[[#This Row],[Age]]&lt;60,"50s",EmployeeData[[#This Row],[Age]]&gt;=60,"60s")</f>
        <v>20s</v>
      </c>
      <c r="G591" s="5">
        <v>44851</v>
      </c>
      <c r="I591" t="s">
        <v>17</v>
      </c>
      <c r="J591" t="s">
        <v>18</v>
      </c>
      <c r="K591" cm="1">
        <f t="array" aca="1" ref="K591" ca="1">_xlfn.IFS(EmployeeData[[#This Row],[Status]]="Active",_xlfn.DAYS(TODAY(),EmployeeData[[#This Row],[Join Date]]),EmployeeData[[#This Row],[Status]]="Exited",_xlfn.DAYS(EmployeeData[[#This Row],[Exit Date]],EmployeeData[[#This Row],[Join Date]]))</f>
        <v>1346</v>
      </c>
      <c r="L591" cm="1">
        <f t="array" aca="1" ref="L591" ca="1">_xlfn.IFS(EmployeeData[[#This Row],[Status]]="Exited",DATEDIF(EmployeeData[[#This Row],[Join Date]], EmployeeData[[#This Row],[Exit Date]], "Y"),EmployeeData[[#This Row],[Status]]="Active",DATEDIF(EmployeeData[[#This Row],[Join Date]], TODAY(), "Y"))</f>
        <v>3</v>
      </c>
      <c r="Q591" t="str" cm="1">
        <f t="array" aca="1" ref="Q5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7 days</v>
      </c>
    </row>
    <row r="592" spans="1:17" hidden="1" x14ac:dyDescent="0.3">
      <c r="A592">
        <v>1591</v>
      </c>
      <c r="B592" t="s">
        <v>256</v>
      </c>
      <c r="C592" t="s">
        <v>20</v>
      </c>
      <c r="D592" t="s">
        <v>16</v>
      </c>
      <c r="E592">
        <v>54</v>
      </c>
      <c r="F592" t="str" cm="1">
        <f t="array" ref="F592">_xlfn.IFS(EmployeeData[[#This Row],[Age]]&lt;30,"20s",EmployeeData[[#This Row],[Age]]&lt;40,"30s",EmployeeData[[#This Row],[Age]]&lt;50,"40s",EmployeeData[[#This Row],[Age]]&lt;60,"50s",EmployeeData[[#This Row],[Age]]&gt;=60,"60s")</f>
        <v>50s</v>
      </c>
      <c r="G592" s="5">
        <v>44795</v>
      </c>
      <c r="I592" t="s">
        <v>17</v>
      </c>
      <c r="J592" t="s">
        <v>18</v>
      </c>
      <c r="K592" cm="1">
        <f t="array" aca="1" ref="K592" ca="1">_xlfn.IFS(EmployeeData[[#This Row],[Status]]="Active",_xlfn.DAYS(TODAY(),EmployeeData[[#This Row],[Join Date]]),EmployeeData[[#This Row],[Status]]="Exited",_xlfn.DAYS(EmployeeData[[#This Row],[Exit Date]],EmployeeData[[#This Row],[Join Date]]))</f>
        <v>1402</v>
      </c>
      <c r="L592" cm="1">
        <f t="array" aca="1" ref="L592" ca="1">_xlfn.IFS(EmployeeData[[#This Row],[Status]]="Exited",DATEDIF(EmployeeData[[#This Row],[Join Date]], EmployeeData[[#This Row],[Exit Date]], "Y"),EmployeeData[[#This Row],[Status]]="Active",DATEDIF(EmployeeData[[#This Row],[Join Date]], TODAY(), "Y"))</f>
        <v>3</v>
      </c>
      <c r="Q592" t="str" cm="1">
        <f t="array" aca="1" ref="Q5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 days</v>
      </c>
    </row>
    <row r="593" spans="1:17" hidden="1" x14ac:dyDescent="0.3">
      <c r="A593">
        <v>1592</v>
      </c>
      <c r="B593" t="s">
        <v>1085</v>
      </c>
      <c r="C593" t="s">
        <v>23</v>
      </c>
      <c r="D593" t="s">
        <v>11</v>
      </c>
      <c r="E593">
        <v>39</v>
      </c>
      <c r="F593" t="str" cm="1">
        <f t="array" ref="F593">_xlfn.IFS(EmployeeData[[#This Row],[Age]]&lt;30,"20s",EmployeeData[[#This Row],[Age]]&lt;40,"30s",EmployeeData[[#This Row],[Age]]&lt;50,"40s",EmployeeData[[#This Row],[Age]]&lt;60,"50s",EmployeeData[[#This Row],[Age]]&gt;=60,"60s")</f>
        <v>30s</v>
      </c>
      <c r="G593" s="5">
        <v>44850</v>
      </c>
      <c r="I593" t="s">
        <v>17</v>
      </c>
      <c r="J593" t="s">
        <v>18</v>
      </c>
      <c r="K593" cm="1">
        <f t="array" aca="1" ref="K593" ca="1">_xlfn.IFS(EmployeeData[[#This Row],[Status]]="Active",_xlfn.DAYS(TODAY(),EmployeeData[[#This Row],[Join Date]]),EmployeeData[[#This Row],[Status]]="Exited",_xlfn.DAYS(EmployeeData[[#This Row],[Exit Date]],EmployeeData[[#This Row],[Join Date]]))</f>
        <v>1347</v>
      </c>
      <c r="L593" cm="1">
        <f t="array" aca="1" ref="L593" ca="1">_xlfn.IFS(EmployeeData[[#This Row],[Status]]="Exited",DATEDIF(EmployeeData[[#This Row],[Join Date]], EmployeeData[[#This Row],[Exit Date]], "Y"),EmployeeData[[#This Row],[Status]]="Active",DATEDIF(EmployeeData[[#This Row],[Join Date]], TODAY(), "Y"))</f>
        <v>3</v>
      </c>
      <c r="Q593" t="str" cm="1">
        <f t="array" aca="1" ref="Q5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8 days</v>
      </c>
    </row>
    <row r="594" spans="1:17" hidden="1" x14ac:dyDescent="0.3">
      <c r="A594">
        <v>1593</v>
      </c>
      <c r="B594" t="s">
        <v>755</v>
      </c>
      <c r="C594" t="s">
        <v>46</v>
      </c>
      <c r="D594" t="s">
        <v>24</v>
      </c>
      <c r="E594">
        <v>52</v>
      </c>
      <c r="F594" t="str" cm="1">
        <f t="array" ref="F594">_xlfn.IFS(EmployeeData[[#This Row],[Age]]&lt;30,"20s",EmployeeData[[#This Row],[Age]]&lt;40,"30s",EmployeeData[[#This Row],[Age]]&lt;50,"40s",EmployeeData[[#This Row],[Age]]&lt;60,"50s",EmployeeData[[#This Row],[Age]]&gt;=60,"60s")</f>
        <v>50s</v>
      </c>
      <c r="G594" s="5">
        <v>45229</v>
      </c>
      <c r="I594" t="s">
        <v>17</v>
      </c>
      <c r="J594" t="s">
        <v>18</v>
      </c>
      <c r="K594" cm="1">
        <f t="array" aca="1" ref="K594" ca="1">_xlfn.IFS(EmployeeData[[#This Row],[Status]]="Active",_xlfn.DAYS(TODAY(),EmployeeData[[#This Row],[Join Date]]),EmployeeData[[#This Row],[Status]]="Exited",_xlfn.DAYS(EmployeeData[[#This Row],[Exit Date]],EmployeeData[[#This Row],[Join Date]]))</f>
        <v>968</v>
      </c>
      <c r="L594" cm="1">
        <f t="array" aca="1" ref="L594" ca="1">_xlfn.IFS(EmployeeData[[#This Row],[Status]]="Exited",DATEDIF(EmployeeData[[#This Row],[Join Date]], EmployeeData[[#This Row],[Exit Date]], "Y"),EmployeeData[[#This Row],[Status]]="Active",DATEDIF(EmployeeData[[#This Row],[Join Date]], TODAY(), "Y"))</f>
        <v>2</v>
      </c>
      <c r="Q594" t="str" cm="1">
        <f t="array" aca="1" ref="Q5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25 days</v>
      </c>
    </row>
    <row r="595" spans="1:17" hidden="1" x14ac:dyDescent="0.3">
      <c r="A595">
        <v>1594</v>
      </c>
      <c r="B595" t="s">
        <v>573</v>
      </c>
      <c r="C595" t="s">
        <v>33</v>
      </c>
      <c r="D595" t="s">
        <v>16</v>
      </c>
      <c r="E595">
        <v>39</v>
      </c>
      <c r="F595" t="str" cm="1">
        <f t="array" ref="F595">_xlfn.IFS(EmployeeData[[#This Row],[Age]]&lt;30,"20s",EmployeeData[[#This Row],[Age]]&lt;40,"30s",EmployeeData[[#This Row],[Age]]&lt;50,"40s",EmployeeData[[#This Row],[Age]]&lt;60,"50s",EmployeeData[[#This Row],[Age]]&gt;=60,"60s")</f>
        <v>30s</v>
      </c>
      <c r="G595" s="5">
        <v>43893</v>
      </c>
      <c r="H595" s="5">
        <v>44081</v>
      </c>
      <c r="I595" t="s">
        <v>12</v>
      </c>
      <c r="J595" t="s">
        <v>13</v>
      </c>
      <c r="K595" cm="1">
        <f t="array" aca="1" ref="K595" ca="1">_xlfn.IFS(EmployeeData[[#This Row],[Status]]="Active",_xlfn.DAYS(TODAY(),EmployeeData[[#This Row],[Join Date]]),EmployeeData[[#This Row],[Status]]="Exited",_xlfn.DAYS(EmployeeData[[#This Row],[Exit Date]],EmployeeData[[#This Row],[Join Date]]))</f>
        <v>188</v>
      </c>
      <c r="L595" cm="1">
        <f t="array" aca="1" ref="L595" ca="1">_xlfn.IFS(EmployeeData[[#This Row],[Status]]="Exited",DATEDIF(EmployeeData[[#This Row],[Join Date]], EmployeeData[[#This Row],[Exit Date]], "Y"),EmployeeData[[#This Row],[Status]]="Active",DATEDIF(EmployeeData[[#This Row],[Join Date]], TODAY(), "Y"))</f>
        <v>0</v>
      </c>
      <c r="Q595" t="str" cm="1">
        <f t="array" aca="1" ref="Q5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4 days</v>
      </c>
    </row>
    <row r="596" spans="1:17" x14ac:dyDescent="0.3">
      <c r="A596">
        <v>1595</v>
      </c>
      <c r="B596" t="s">
        <v>518</v>
      </c>
      <c r="C596" t="s">
        <v>33</v>
      </c>
      <c r="D596" t="s">
        <v>11</v>
      </c>
      <c r="E596">
        <v>47</v>
      </c>
      <c r="F596" t="str" cm="1">
        <f t="array" ref="F596">_xlfn.IFS(EmployeeData[[#This Row],[Age]]&lt;30,"20s",EmployeeData[[#This Row],[Age]]&lt;40,"30s",EmployeeData[[#This Row],[Age]]&lt;50,"40s",EmployeeData[[#This Row],[Age]]&lt;60,"50s",EmployeeData[[#This Row],[Age]]&gt;=60,"60s")</f>
        <v>40s</v>
      </c>
      <c r="G596" s="5">
        <v>43287</v>
      </c>
      <c r="H596" s="5">
        <v>44246</v>
      </c>
      <c r="I596" t="s">
        <v>31</v>
      </c>
      <c r="J596" t="s">
        <v>13</v>
      </c>
      <c r="K596" cm="1">
        <f t="array" aca="1" ref="K596" ca="1">_xlfn.IFS(EmployeeData[[#This Row],[Status]]="Active",_xlfn.DAYS(TODAY(),EmployeeData[[#This Row],[Join Date]]),EmployeeData[[#This Row],[Status]]="Exited",_xlfn.DAYS(EmployeeData[[#This Row],[Exit Date]],EmployeeData[[#This Row],[Join Date]]))</f>
        <v>959</v>
      </c>
      <c r="L596" cm="1">
        <f t="array" aca="1" ref="L596" ca="1">_xlfn.IFS(EmployeeData[[#This Row],[Status]]="Exited",DATEDIF(EmployeeData[[#This Row],[Join Date]], EmployeeData[[#This Row],[Exit Date]], "Y"),EmployeeData[[#This Row],[Status]]="Active",DATEDIF(EmployeeData[[#This Row],[Join Date]], TODAY(), "Y"))</f>
        <v>2</v>
      </c>
      <c r="Q596" t="str" cm="1">
        <f t="array" aca="1" ref="Q5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597" spans="1:17" x14ac:dyDescent="0.3">
      <c r="A597">
        <v>1596</v>
      </c>
      <c r="B597" t="s">
        <v>521</v>
      </c>
      <c r="C597" t="s">
        <v>10</v>
      </c>
      <c r="D597" t="s">
        <v>24</v>
      </c>
      <c r="E597">
        <v>41</v>
      </c>
      <c r="F597" t="str" cm="1">
        <f t="array" ref="F597">_xlfn.IFS(EmployeeData[[#This Row],[Age]]&lt;30,"20s",EmployeeData[[#This Row],[Age]]&lt;40,"30s",EmployeeData[[#This Row],[Age]]&lt;50,"40s",EmployeeData[[#This Row],[Age]]&lt;60,"50s",EmployeeData[[#This Row],[Age]]&gt;=60,"60s")</f>
        <v>40s</v>
      </c>
      <c r="G597" s="5">
        <v>43126</v>
      </c>
      <c r="H597" s="5">
        <v>44581</v>
      </c>
      <c r="I597" t="s">
        <v>12</v>
      </c>
      <c r="J597" t="s">
        <v>13</v>
      </c>
      <c r="K597" cm="1">
        <f t="array" aca="1" ref="K597" ca="1">_xlfn.IFS(EmployeeData[[#This Row],[Status]]="Active",_xlfn.DAYS(TODAY(),EmployeeData[[#This Row],[Join Date]]),EmployeeData[[#This Row],[Status]]="Exited",_xlfn.DAYS(EmployeeData[[#This Row],[Exit Date]],EmployeeData[[#This Row],[Join Date]]))</f>
        <v>1455</v>
      </c>
      <c r="L597" cm="1">
        <f t="array" aca="1" ref="L597" ca="1">_xlfn.IFS(EmployeeData[[#This Row],[Status]]="Exited",DATEDIF(EmployeeData[[#This Row],[Join Date]], EmployeeData[[#This Row],[Exit Date]], "Y"),EmployeeData[[#This Row],[Status]]="Active",DATEDIF(EmployeeData[[#This Row],[Join Date]], TODAY(), "Y"))</f>
        <v>3</v>
      </c>
      <c r="Q597" t="str" cm="1">
        <f t="array" aca="1" ref="Q5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598" spans="1:17" hidden="1" x14ac:dyDescent="0.3">
      <c r="A598">
        <v>1597</v>
      </c>
      <c r="B598" t="s">
        <v>473</v>
      </c>
      <c r="C598" t="s">
        <v>33</v>
      </c>
      <c r="D598" t="s">
        <v>16</v>
      </c>
      <c r="E598">
        <v>42</v>
      </c>
      <c r="F598" t="str" cm="1">
        <f t="array" ref="F598">_xlfn.IFS(EmployeeData[[#This Row],[Age]]&lt;30,"20s",EmployeeData[[#This Row],[Age]]&lt;40,"30s",EmployeeData[[#This Row],[Age]]&lt;50,"40s",EmployeeData[[#This Row],[Age]]&lt;60,"50s",EmployeeData[[#This Row],[Age]]&gt;=60,"60s")</f>
        <v>40s</v>
      </c>
      <c r="G598" s="5">
        <v>45855</v>
      </c>
      <c r="I598" t="s">
        <v>17</v>
      </c>
      <c r="J598" t="s">
        <v>18</v>
      </c>
      <c r="K598" cm="1">
        <f t="array" aca="1" ref="K598" ca="1">_xlfn.IFS(EmployeeData[[#This Row],[Status]]="Active",_xlfn.DAYS(TODAY(),EmployeeData[[#This Row],[Join Date]]),EmployeeData[[#This Row],[Status]]="Exited",_xlfn.DAYS(EmployeeData[[#This Row],[Exit Date]],EmployeeData[[#This Row],[Join Date]]))</f>
        <v>342</v>
      </c>
      <c r="L598" cm="1">
        <f t="array" aca="1" ref="L598" ca="1">_xlfn.IFS(EmployeeData[[#This Row],[Status]]="Exited",DATEDIF(EmployeeData[[#This Row],[Join Date]], EmployeeData[[#This Row],[Exit Date]], "Y"),EmployeeData[[#This Row],[Status]]="Active",DATEDIF(EmployeeData[[#This Row],[Join Date]], TODAY(), "Y"))</f>
        <v>0</v>
      </c>
      <c r="Q598" t="str" cm="1">
        <f t="array" aca="1" ref="Q5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599" spans="1:17" hidden="1" x14ac:dyDescent="0.3">
      <c r="A599">
        <v>1598</v>
      </c>
      <c r="B599" t="s">
        <v>160</v>
      </c>
      <c r="C599" t="s">
        <v>23</v>
      </c>
      <c r="D599" t="s">
        <v>24</v>
      </c>
      <c r="E599">
        <v>55</v>
      </c>
      <c r="F599" t="str" cm="1">
        <f t="array" ref="F599">_xlfn.IFS(EmployeeData[[#This Row],[Age]]&lt;30,"20s",EmployeeData[[#This Row],[Age]]&lt;40,"30s",EmployeeData[[#This Row],[Age]]&lt;50,"40s",EmployeeData[[#This Row],[Age]]&lt;60,"50s",EmployeeData[[#This Row],[Age]]&gt;=60,"60s")</f>
        <v>50s</v>
      </c>
      <c r="G599" s="5">
        <v>44473</v>
      </c>
      <c r="I599" t="s">
        <v>17</v>
      </c>
      <c r="J599" t="s">
        <v>18</v>
      </c>
      <c r="K599" cm="1">
        <f t="array" aca="1" ref="K599" ca="1">_xlfn.IFS(EmployeeData[[#This Row],[Status]]="Active",_xlfn.DAYS(TODAY(),EmployeeData[[#This Row],[Join Date]]),EmployeeData[[#This Row],[Status]]="Exited",_xlfn.DAYS(EmployeeData[[#This Row],[Exit Date]],EmployeeData[[#This Row],[Join Date]]))</f>
        <v>1724</v>
      </c>
      <c r="L599" cm="1">
        <f t="array" aca="1" ref="L599" ca="1">_xlfn.IFS(EmployeeData[[#This Row],[Status]]="Exited",DATEDIF(EmployeeData[[#This Row],[Join Date]], EmployeeData[[#This Row],[Exit Date]], "Y"),EmployeeData[[#This Row],[Status]]="Active",DATEDIF(EmployeeData[[#This Row],[Join Date]], TODAY(), "Y"))</f>
        <v>4</v>
      </c>
      <c r="Q599" t="str" cm="1">
        <f t="array" aca="1" ref="Q5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20 days</v>
      </c>
    </row>
    <row r="600" spans="1:17" hidden="1" x14ac:dyDescent="0.3">
      <c r="A600">
        <v>1599</v>
      </c>
      <c r="B600" t="s">
        <v>277</v>
      </c>
      <c r="C600" t="s">
        <v>23</v>
      </c>
      <c r="D600" t="s">
        <v>24</v>
      </c>
      <c r="E600">
        <v>56</v>
      </c>
      <c r="F600" t="str" cm="1">
        <f t="array" ref="F600">_xlfn.IFS(EmployeeData[[#This Row],[Age]]&lt;30,"20s",EmployeeData[[#This Row],[Age]]&lt;40,"30s",EmployeeData[[#This Row],[Age]]&lt;50,"40s",EmployeeData[[#This Row],[Age]]&lt;60,"50s",EmployeeData[[#This Row],[Age]]&gt;=60,"60s")</f>
        <v>50s</v>
      </c>
      <c r="G600" s="5">
        <v>45295</v>
      </c>
      <c r="H600" s="5">
        <v>45976</v>
      </c>
      <c r="I600" t="s">
        <v>34</v>
      </c>
      <c r="J600" t="s">
        <v>13</v>
      </c>
      <c r="K600" cm="1">
        <f t="array" aca="1" ref="K600" ca="1">_xlfn.IFS(EmployeeData[[#This Row],[Status]]="Active",_xlfn.DAYS(TODAY(),EmployeeData[[#This Row],[Join Date]]),EmployeeData[[#This Row],[Status]]="Exited",_xlfn.DAYS(EmployeeData[[#This Row],[Exit Date]],EmployeeData[[#This Row],[Join Date]]))</f>
        <v>681</v>
      </c>
      <c r="L600" cm="1">
        <f t="array" aca="1" ref="L600" ca="1">_xlfn.IFS(EmployeeData[[#This Row],[Status]]="Exited",DATEDIF(EmployeeData[[#This Row],[Join Date]], EmployeeData[[#This Row],[Exit Date]], "Y"),EmployeeData[[#This Row],[Status]]="Active",DATEDIF(EmployeeData[[#This Row],[Join Date]], TODAY(), "Y"))</f>
        <v>1</v>
      </c>
      <c r="Q600" t="str" cm="1">
        <f t="array" aca="1" ref="Q6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601" spans="1:17" hidden="1" x14ac:dyDescent="0.3">
      <c r="A601">
        <v>1600</v>
      </c>
      <c r="B601" t="s">
        <v>889</v>
      </c>
      <c r="C601" t="s">
        <v>10</v>
      </c>
      <c r="D601" t="s">
        <v>16</v>
      </c>
      <c r="E601">
        <v>45</v>
      </c>
      <c r="F601" t="str" cm="1">
        <f t="array" ref="F601">_xlfn.IFS(EmployeeData[[#This Row],[Age]]&lt;30,"20s",EmployeeData[[#This Row],[Age]]&lt;40,"30s",EmployeeData[[#This Row],[Age]]&lt;50,"40s",EmployeeData[[#This Row],[Age]]&lt;60,"50s",EmployeeData[[#This Row],[Age]]&gt;=60,"60s")</f>
        <v>40s</v>
      </c>
      <c r="G601" s="5">
        <v>45667</v>
      </c>
      <c r="I601" t="s">
        <v>17</v>
      </c>
      <c r="J601" t="s">
        <v>18</v>
      </c>
      <c r="K601" cm="1">
        <f t="array" aca="1" ref="K601" ca="1">_xlfn.IFS(EmployeeData[[#This Row],[Status]]="Active",_xlfn.DAYS(TODAY(),EmployeeData[[#This Row],[Join Date]]),EmployeeData[[#This Row],[Status]]="Exited",_xlfn.DAYS(EmployeeData[[#This Row],[Exit Date]],EmployeeData[[#This Row],[Join Date]]))</f>
        <v>530</v>
      </c>
      <c r="L601" cm="1">
        <f t="array" aca="1" ref="L601" ca="1">_xlfn.IFS(EmployeeData[[#This Row],[Status]]="Exited",DATEDIF(EmployeeData[[#This Row],[Join Date]], EmployeeData[[#This Row],[Exit Date]], "Y"),EmployeeData[[#This Row],[Status]]="Active",DATEDIF(EmployeeData[[#This Row],[Join Date]], TODAY(), "Y"))</f>
        <v>1</v>
      </c>
      <c r="Q601" t="str" cm="1">
        <f t="array" aca="1" ref="Q6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14 days</v>
      </c>
    </row>
    <row r="602" spans="1:17" hidden="1" x14ac:dyDescent="0.3">
      <c r="A602">
        <v>1601</v>
      </c>
      <c r="B602" t="s">
        <v>279</v>
      </c>
      <c r="C602" t="s">
        <v>15</v>
      </c>
      <c r="D602" t="s">
        <v>16</v>
      </c>
      <c r="E602">
        <v>40</v>
      </c>
      <c r="F602" t="str" cm="1">
        <f t="array" ref="F602">_xlfn.IFS(EmployeeData[[#This Row],[Age]]&lt;30,"20s",EmployeeData[[#This Row],[Age]]&lt;40,"30s",EmployeeData[[#This Row],[Age]]&lt;50,"40s",EmployeeData[[#This Row],[Age]]&lt;60,"50s",EmployeeData[[#This Row],[Age]]&gt;=60,"60s")</f>
        <v>40s</v>
      </c>
      <c r="G602" s="5">
        <v>45989</v>
      </c>
      <c r="I602" t="s">
        <v>17</v>
      </c>
      <c r="J602" t="s">
        <v>18</v>
      </c>
      <c r="K602" cm="1">
        <f t="array" aca="1" ref="K602" ca="1">_xlfn.IFS(EmployeeData[[#This Row],[Status]]="Active",_xlfn.DAYS(TODAY(),EmployeeData[[#This Row],[Join Date]]),EmployeeData[[#This Row],[Status]]="Exited",_xlfn.DAYS(EmployeeData[[#This Row],[Exit Date]],EmployeeData[[#This Row],[Join Date]]))</f>
        <v>208</v>
      </c>
      <c r="L602" cm="1">
        <f t="array" aca="1" ref="L602" ca="1">_xlfn.IFS(EmployeeData[[#This Row],[Status]]="Exited",DATEDIF(EmployeeData[[#This Row],[Join Date]], EmployeeData[[#This Row],[Exit Date]], "Y"),EmployeeData[[#This Row],[Status]]="Active",DATEDIF(EmployeeData[[#This Row],[Join Date]], TODAY(), "Y"))</f>
        <v>0</v>
      </c>
      <c r="Q602" t="str" cm="1">
        <f t="array" aca="1" ref="Q6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27 days</v>
      </c>
    </row>
    <row r="603" spans="1:17" hidden="1" x14ac:dyDescent="0.3">
      <c r="A603">
        <v>1602</v>
      </c>
      <c r="B603" t="s">
        <v>914</v>
      </c>
      <c r="C603" t="s">
        <v>33</v>
      </c>
      <c r="D603" t="s">
        <v>24</v>
      </c>
      <c r="E603">
        <v>40</v>
      </c>
      <c r="F603" t="str" cm="1">
        <f t="array" ref="F603">_xlfn.IFS(EmployeeData[[#This Row],[Age]]&lt;30,"20s",EmployeeData[[#This Row],[Age]]&lt;40,"30s",EmployeeData[[#This Row],[Age]]&lt;50,"40s",EmployeeData[[#This Row],[Age]]&lt;60,"50s",EmployeeData[[#This Row],[Age]]&gt;=60,"60s")</f>
        <v>40s</v>
      </c>
      <c r="G603" s="5">
        <v>43986</v>
      </c>
      <c r="I603" t="s">
        <v>17</v>
      </c>
      <c r="J603" t="s">
        <v>18</v>
      </c>
      <c r="K603" cm="1">
        <f t="array" aca="1" ref="K603" ca="1">_xlfn.IFS(EmployeeData[[#This Row],[Status]]="Active",_xlfn.DAYS(TODAY(),EmployeeData[[#This Row],[Join Date]]),EmployeeData[[#This Row],[Status]]="Exited",_xlfn.DAYS(EmployeeData[[#This Row],[Exit Date]],EmployeeData[[#This Row],[Join Date]]))</f>
        <v>2211</v>
      </c>
      <c r="L603" cm="1">
        <f t="array" aca="1" ref="L603" ca="1">_xlfn.IFS(EmployeeData[[#This Row],[Status]]="Exited",DATEDIF(EmployeeData[[#This Row],[Join Date]], EmployeeData[[#This Row],[Exit Date]], "Y"),EmployeeData[[#This Row],[Status]]="Active",DATEDIF(EmployeeData[[#This Row],[Join Date]], TODAY(), "Y"))</f>
        <v>6</v>
      </c>
      <c r="Q603" t="str" cm="1">
        <f t="array" aca="1" ref="Q6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604" spans="1:17" hidden="1" x14ac:dyDescent="0.3">
      <c r="A604">
        <v>1603</v>
      </c>
      <c r="B604" t="s">
        <v>62</v>
      </c>
      <c r="C604" t="s">
        <v>20</v>
      </c>
      <c r="D604" t="s">
        <v>11</v>
      </c>
      <c r="E604">
        <v>49</v>
      </c>
      <c r="F604" t="str" cm="1">
        <f t="array" ref="F604">_xlfn.IFS(EmployeeData[[#This Row],[Age]]&lt;30,"20s",EmployeeData[[#This Row],[Age]]&lt;40,"30s",EmployeeData[[#This Row],[Age]]&lt;50,"40s",EmployeeData[[#This Row],[Age]]&lt;60,"50s",EmployeeData[[#This Row],[Age]]&gt;=60,"60s")</f>
        <v>40s</v>
      </c>
      <c r="G604" s="5">
        <v>45173</v>
      </c>
      <c r="H604" s="5">
        <v>45757</v>
      </c>
      <c r="I604" t="s">
        <v>52</v>
      </c>
      <c r="J604" t="s">
        <v>13</v>
      </c>
      <c r="K604" cm="1">
        <f t="array" aca="1" ref="K604" ca="1">_xlfn.IFS(EmployeeData[[#This Row],[Status]]="Active",_xlfn.DAYS(TODAY(),EmployeeData[[#This Row],[Join Date]]),EmployeeData[[#This Row],[Status]]="Exited",_xlfn.DAYS(EmployeeData[[#This Row],[Exit Date]],EmployeeData[[#This Row],[Join Date]]))</f>
        <v>584</v>
      </c>
      <c r="L604" cm="1">
        <f t="array" aca="1" ref="L604" ca="1">_xlfn.IFS(EmployeeData[[#This Row],[Status]]="Exited",DATEDIF(EmployeeData[[#This Row],[Join Date]], EmployeeData[[#This Row],[Exit Date]], "Y"),EmployeeData[[#This Row],[Status]]="Active",DATEDIF(EmployeeData[[#This Row],[Join Date]], TODAY(), "Y"))</f>
        <v>1</v>
      </c>
      <c r="Q604" t="str" cm="1">
        <f t="array" aca="1" ref="Q6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605" spans="1:17" hidden="1" x14ac:dyDescent="0.3">
      <c r="A605">
        <v>1604</v>
      </c>
      <c r="B605" t="s">
        <v>428</v>
      </c>
      <c r="C605" t="s">
        <v>20</v>
      </c>
      <c r="D605" t="s">
        <v>24</v>
      </c>
      <c r="E605">
        <v>41</v>
      </c>
      <c r="F605" t="str" cm="1">
        <f t="array" ref="F605">_xlfn.IFS(EmployeeData[[#This Row],[Age]]&lt;30,"20s",EmployeeData[[#This Row],[Age]]&lt;40,"30s",EmployeeData[[#This Row],[Age]]&lt;50,"40s",EmployeeData[[#This Row],[Age]]&lt;60,"50s",EmployeeData[[#This Row],[Age]]&gt;=60,"60s")</f>
        <v>40s</v>
      </c>
      <c r="G605" s="5">
        <v>43687</v>
      </c>
      <c r="I605" t="s">
        <v>17</v>
      </c>
      <c r="J605" t="s">
        <v>18</v>
      </c>
      <c r="K605" cm="1">
        <f t="array" aca="1" ref="K605" ca="1">_xlfn.IFS(EmployeeData[[#This Row],[Status]]="Active",_xlfn.DAYS(TODAY(),EmployeeData[[#This Row],[Join Date]]),EmployeeData[[#This Row],[Status]]="Exited",_xlfn.DAYS(EmployeeData[[#This Row],[Exit Date]],EmployeeData[[#This Row],[Join Date]]))</f>
        <v>2510</v>
      </c>
      <c r="L605" cm="1">
        <f t="array" aca="1" ref="L605" ca="1">_xlfn.IFS(EmployeeData[[#This Row],[Status]]="Exited",DATEDIF(EmployeeData[[#This Row],[Join Date]], EmployeeData[[#This Row],[Exit Date]], "Y"),EmployeeData[[#This Row],[Status]]="Active",DATEDIF(EmployeeData[[#This Row],[Join Date]], TODAY(), "Y"))</f>
        <v>6</v>
      </c>
      <c r="Q605" t="str" cm="1">
        <f t="array" aca="1" ref="Q6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14 days</v>
      </c>
    </row>
    <row r="606" spans="1:17" hidden="1" x14ac:dyDescent="0.3">
      <c r="A606">
        <v>1605</v>
      </c>
      <c r="B606" t="s">
        <v>810</v>
      </c>
      <c r="C606" t="s">
        <v>15</v>
      </c>
      <c r="D606" t="s">
        <v>11</v>
      </c>
      <c r="E606">
        <v>50</v>
      </c>
      <c r="F606" t="str" cm="1">
        <f t="array" ref="F606">_xlfn.IFS(EmployeeData[[#This Row],[Age]]&lt;30,"20s",EmployeeData[[#This Row],[Age]]&lt;40,"30s",EmployeeData[[#This Row],[Age]]&lt;50,"40s",EmployeeData[[#This Row],[Age]]&lt;60,"50s",EmployeeData[[#This Row],[Age]]&gt;=60,"60s")</f>
        <v>50s</v>
      </c>
      <c r="G606" s="5">
        <v>44688</v>
      </c>
      <c r="I606" t="s">
        <v>17</v>
      </c>
      <c r="J606" t="s">
        <v>18</v>
      </c>
      <c r="K606" cm="1">
        <f t="array" aca="1" ref="K606" ca="1">_xlfn.IFS(EmployeeData[[#This Row],[Status]]="Active",_xlfn.DAYS(TODAY(),EmployeeData[[#This Row],[Join Date]]),EmployeeData[[#This Row],[Status]]="Exited",_xlfn.DAYS(EmployeeData[[#This Row],[Exit Date]],EmployeeData[[#This Row],[Join Date]]))</f>
        <v>1509</v>
      </c>
      <c r="L606" cm="1">
        <f t="array" aca="1" ref="L606" ca="1">_xlfn.IFS(EmployeeData[[#This Row],[Status]]="Exited",DATEDIF(EmployeeData[[#This Row],[Join Date]], EmployeeData[[#This Row],[Exit Date]], "Y"),EmployeeData[[#This Row],[Status]]="Active",DATEDIF(EmployeeData[[#This Row],[Join Date]], TODAY(), "Y"))</f>
        <v>4</v>
      </c>
      <c r="Q606" t="str" cm="1">
        <f t="array" aca="1" ref="Q6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607" spans="1:17" hidden="1" x14ac:dyDescent="0.3">
      <c r="A607">
        <v>1606</v>
      </c>
      <c r="B607" t="s">
        <v>49</v>
      </c>
      <c r="C607" t="s">
        <v>20</v>
      </c>
      <c r="D607" t="s">
        <v>24</v>
      </c>
      <c r="E607">
        <v>26</v>
      </c>
      <c r="F607" t="str" cm="1">
        <f t="array" ref="F607">_xlfn.IFS(EmployeeData[[#This Row],[Age]]&lt;30,"20s",EmployeeData[[#This Row],[Age]]&lt;40,"30s",EmployeeData[[#This Row],[Age]]&lt;50,"40s",EmployeeData[[#This Row],[Age]]&lt;60,"50s",EmployeeData[[#This Row],[Age]]&gt;=60,"60s")</f>
        <v>20s</v>
      </c>
      <c r="G607" s="5">
        <v>44466</v>
      </c>
      <c r="I607" t="s">
        <v>17</v>
      </c>
      <c r="J607" t="s">
        <v>18</v>
      </c>
      <c r="K607" cm="1">
        <f t="array" aca="1" ref="K607" ca="1">_xlfn.IFS(EmployeeData[[#This Row],[Status]]="Active",_xlfn.DAYS(TODAY(),EmployeeData[[#This Row],[Join Date]]),EmployeeData[[#This Row],[Status]]="Exited",_xlfn.DAYS(EmployeeData[[#This Row],[Exit Date]],EmployeeData[[#This Row],[Join Date]]))</f>
        <v>1731</v>
      </c>
      <c r="L607" cm="1">
        <f t="array" aca="1" ref="L607" ca="1">_xlfn.IFS(EmployeeData[[#This Row],[Status]]="Exited",DATEDIF(EmployeeData[[#This Row],[Join Date]], EmployeeData[[#This Row],[Exit Date]], "Y"),EmployeeData[[#This Row],[Status]]="Active",DATEDIF(EmployeeData[[#This Row],[Join Date]], TODAY(), "Y"))</f>
        <v>4</v>
      </c>
      <c r="Q607" t="str" cm="1">
        <f t="array" aca="1" ref="Q6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28 days</v>
      </c>
    </row>
    <row r="608" spans="1:17" hidden="1" x14ac:dyDescent="0.3">
      <c r="A608">
        <v>1607</v>
      </c>
      <c r="B608" t="s">
        <v>320</v>
      </c>
      <c r="C608" t="s">
        <v>15</v>
      </c>
      <c r="D608" t="s">
        <v>11</v>
      </c>
      <c r="E608">
        <v>60</v>
      </c>
      <c r="F608" t="str" cm="1">
        <f t="array" ref="F608">_xlfn.IFS(EmployeeData[[#This Row],[Age]]&lt;30,"20s",EmployeeData[[#This Row],[Age]]&lt;40,"30s",EmployeeData[[#This Row],[Age]]&lt;50,"40s",EmployeeData[[#This Row],[Age]]&lt;60,"50s",EmployeeData[[#This Row],[Age]]&gt;=60,"60s")</f>
        <v>60s</v>
      </c>
      <c r="G608" s="5">
        <v>44415</v>
      </c>
      <c r="H608" s="5">
        <v>45091</v>
      </c>
      <c r="I608" t="s">
        <v>26</v>
      </c>
      <c r="J608" t="s">
        <v>13</v>
      </c>
      <c r="K608" cm="1">
        <f t="array" aca="1" ref="K608" ca="1">_xlfn.IFS(EmployeeData[[#This Row],[Status]]="Active",_xlfn.DAYS(TODAY(),EmployeeData[[#This Row],[Join Date]]),EmployeeData[[#This Row],[Status]]="Exited",_xlfn.DAYS(EmployeeData[[#This Row],[Exit Date]],EmployeeData[[#This Row],[Join Date]]))</f>
        <v>676</v>
      </c>
      <c r="L608" cm="1">
        <f t="array" aca="1" ref="L608" ca="1">_xlfn.IFS(EmployeeData[[#This Row],[Status]]="Exited",DATEDIF(EmployeeData[[#This Row],[Join Date]], EmployeeData[[#This Row],[Exit Date]], "Y"),EmployeeData[[#This Row],[Status]]="Active",DATEDIF(EmployeeData[[#This Row],[Join Date]], TODAY(), "Y"))</f>
        <v>1</v>
      </c>
      <c r="Q608" t="str" cm="1">
        <f t="array" aca="1" ref="Q6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609" spans="1:17" hidden="1" x14ac:dyDescent="0.3">
      <c r="A609">
        <v>1608</v>
      </c>
      <c r="B609" t="s">
        <v>720</v>
      </c>
      <c r="C609" t="s">
        <v>15</v>
      </c>
      <c r="D609" t="s">
        <v>16</v>
      </c>
      <c r="E609">
        <v>56</v>
      </c>
      <c r="F609" t="str" cm="1">
        <f t="array" ref="F609">_xlfn.IFS(EmployeeData[[#This Row],[Age]]&lt;30,"20s",EmployeeData[[#This Row],[Age]]&lt;40,"30s",EmployeeData[[#This Row],[Age]]&lt;50,"40s",EmployeeData[[#This Row],[Age]]&lt;60,"50s",EmployeeData[[#This Row],[Age]]&gt;=60,"60s")</f>
        <v>50s</v>
      </c>
      <c r="G609" s="5">
        <v>45206</v>
      </c>
      <c r="H609" s="5">
        <v>45851</v>
      </c>
      <c r="I609" t="s">
        <v>12</v>
      </c>
      <c r="J609" t="s">
        <v>13</v>
      </c>
      <c r="K609" cm="1">
        <f t="array" aca="1" ref="K609" ca="1">_xlfn.IFS(EmployeeData[[#This Row],[Status]]="Active",_xlfn.DAYS(TODAY(),EmployeeData[[#This Row],[Join Date]]),EmployeeData[[#This Row],[Status]]="Exited",_xlfn.DAYS(EmployeeData[[#This Row],[Exit Date]],EmployeeData[[#This Row],[Join Date]]))</f>
        <v>645</v>
      </c>
      <c r="L609" cm="1">
        <f t="array" aca="1" ref="L609" ca="1">_xlfn.IFS(EmployeeData[[#This Row],[Status]]="Exited",DATEDIF(EmployeeData[[#This Row],[Join Date]], EmployeeData[[#This Row],[Exit Date]], "Y"),EmployeeData[[#This Row],[Status]]="Active",DATEDIF(EmployeeData[[#This Row],[Join Date]], TODAY(), "Y"))</f>
        <v>1</v>
      </c>
      <c r="Q609" t="str" cm="1">
        <f t="array" aca="1" ref="Q6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6 days</v>
      </c>
    </row>
    <row r="610" spans="1:17" hidden="1" x14ac:dyDescent="0.3">
      <c r="A610">
        <v>1609</v>
      </c>
      <c r="B610" t="s">
        <v>694</v>
      </c>
      <c r="C610" t="s">
        <v>23</v>
      </c>
      <c r="D610" t="s">
        <v>16</v>
      </c>
      <c r="E610">
        <v>40</v>
      </c>
      <c r="F610" t="str" cm="1">
        <f t="array" ref="F610">_xlfn.IFS(EmployeeData[[#This Row],[Age]]&lt;30,"20s",EmployeeData[[#This Row],[Age]]&lt;40,"30s",EmployeeData[[#This Row],[Age]]&lt;50,"40s",EmployeeData[[#This Row],[Age]]&lt;60,"50s",EmployeeData[[#This Row],[Age]]&gt;=60,"60s")</f>
        <v>40s</v>
      </c>
      <c r="G610" s="5">
        <v>45612</v>
      </c>
      <c r="I610" t="s">
        <v>17</v>
      </c>
      <c r="J610" t="s">
        <v>18</v>
      </c>
      <c r="K610" cm="1">
        <f t="array" aca="1" ref="K610" ca="1">_xlfn.IFS(EmployeeData[[#This Row],[Status]]="Active",_xlfn.DAYS(TODAY(),EmployeeData[[#This Row],[Join Date]]),EmployeeData[[#This Row],[Status]]="Exited",_xlfn.DAYS(EmployeeData[[#This Row],[Exit Date]],EmployeeData[[#This Row],[Join Date]]))</f>
        <v>585</v>
      </c>
      <c r="L610" cm="1">
        <f t="array" aca="1" ref="L610" ca="1">_xlfn.IFS(EmployeeData[[#This Row],[Status]]="Exited",DATEDIF(EmployeeData[[#This Row],[Join Date]], EmployeeData[[#This Row],[Exit Date]], "Y"),EmployeeData[[#This Row],[Status]]="Active",DATEDIF(EmployeeData[[#This Row],[Join Date]], TODAY(), "Y"))</f>
        <v>1</v>
      </c>
      <c r="Q610" t="str" cm="1">
        <f t="array" aca="1" ref="Q6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8 days</v>
      </c>
    </row>
    <row r="611" spans="1:17" hidden="1" x14ac:dyDescent="0.3">
      <c r="A611">
        <v>1610</v>
      </c>
      <c r="B611" t="s">
        <v>737</v>
      </c>
      <c r="C611" t="s">
        <v>23</v>
      </c>
      <c r="D611" t="s">
        <v>24</v>
      </c>
      <c r="E611">
        <v>27</v>
      </c>
      <c r="F611" t="str" cm="1">
        <f t="array" ref="F611">_xlfn.IFS(EmployeeData[[#This Row],[Age]]&lt;30,"20s",EmployeeData[[#This Row],[Age]]&lt;40,"30s",EmployeeData[[#This Row],[Age]]&lt;50,"40s",EmployeeData[[#This Row],[Age]]&lt;60,"50s",EmployeeData[[#This Row],[Age]]&gt;=60,"60s")</f>
        <v>20s</v>
      </c>
      <c r="G611" s="5">
        <v>44672</v>
      </c>
      <c r="H611" s="5">
        <v>45635</v>
      </c>
      <c r="I611" t="s">
        <v>12</v>
      </c>
      <c r="J611" t="s">
        <v>13</v>
      </c>
      <c r="K611" cm="1">
        <f t="array" aca="1" ref="K611" ca="1">_xlfn.IFS(EmployeeData[[#This Row],[Status]]="Active",_xlfn.DAYS(TODAY(),EmployeeData[[#This Row],[Join Date]]),EmployeeData[[#This Row],[Status]]="Exited",_xlfn.DAYS(EmployeeData[[#This Row],[Exit Date]],EmployeeData[[#This Row],[Join Date]]))</f>
        <v>963</v>
      </c>
      <c r="L611" cm="1">
        <f t="array" aca="1" ref="L611" ca="1">_xlfn.IFS(EmployeeData[[#This Row],[Status]]="Exited",DATEDIF(EmployeeData[[#This Row],[Join Date]], EmployeeData[[#This Row],[Exit Date]], "Y"),EmployeeData[[#This Row],[Status]]="Active",DATEDIF(EmployeeData[[#This Row],[Join Date]], TODAY(), "Y"))</f>
        <v>2</v>
      </c>
      <c r="Q611" t="str" cm="1">
        <f t="array" aca="1" ref="Q6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612" spans="1:17" hidden="1" x14ac:dyDescent="0.3">
      <c r="A612">
        <v>1611</v>
      </c>
      <c r="B612" t="s">
        <v>292</v>
      </c>
      <c r="C612" t="s">
        <v>20</v>
      </c>
      <c r="D612" t="s">
        <v>24</v>
      </c>
      <c r="E612">
        <v>43</v>
      </c>
      <c r="F612" t="str" cm="1">
        <f t="array" ref="F612">_xlfn.IFS(EmployeeData[[#This Row],[Age]]&lt;30,"20s",EmployeeData[[#This Row],[Age]]&lt;40,"30s",EmployeeData[[#This Row],[Age]]&lt;50,"40s",EmployeeData[[#This Row],[Age]]&lt;60,"50s",EmployeeData[[#This Row],[Age]]&gt;=60,"60s")</f>
        <v>40s</v>
      </c>
      <c r="G612" s="5">
        <v>44380</v>
      </c>
      <c r="H612" s="5">
        <v>44875</v>
      </c>
      <c r="I612" t="s">
        <v>34</v>
      </c>
      <c r="J612" t="s">
        <v>13</v>
      </c>
      <c r="K612" cm="1">
        <f t="array" aca="1" ref="K612" ca="1">_xlfn.IFS(EmployeeData[[#This Row],[Status]]="Active",_xlfn.DAYS(TODAY(),EmployeeData[[#This Row],[Join Date]]),EmployeeData[[#This Row],[Status]]="Exited",_xlfn.DAYS(EmployeeData[[#This Row],[Exit Date]],EmployeeData[[#This Row],[Join Date]]))</f>
        <v>495</v>
      </c>
      <c r="L612" cm="1">
        <f t="array" aca="1" ref="L612" ca="1">_xlfn.IFS(EmployeeData[[#This Row],[Status]]="Exited",DATEDIF(EmployeeData[[#This Row],[Join Date]], EmployeeData[[#This Row],[Exit Date]], "Y"),EmployeeData[[#This Row],[Status]]="Active",DATEDIF(EmployeeData[[#This Row],[Join Date]], TODAY(), "Y"))</f>
        <v>1</v>
      </c>
      <c r="Q612" t="str" cm="1">
        <f t="array" aca="1" ref="Q6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7 days</v>
      </c>
    </row>
    <row r="613" spans="1:17" hidden="1" x14ac:dyDescent="0.3">
      <c r="A613">
        <v>1612</v>
      </c>
      <c r="B613" t="s">
        <v>87</v>
      </c>
      <c r="C613" t="s">
        <v>20</v>
      </c>
      <c r="D613" t="s">
        <v>24</v>
      </c>
      <c r="E613">
        <v>29</v>
      </c>
      <c r="F613" t="str" cm="1">
        <f t="array" ref="F613">_xlfn.IFS(EmployeeData[[#This Row],[Age]]&lt;30,"20s",EmployeeData[[#This Row],[Age]]&lt;40,"30s",EmployeeData[[#This Row],[Age]]&lt;50,"40s",EmployeeData[[#This Row],[Age]]&lt;60,"50s",EmployeeData[[#This Row],[Age]]&gt;=60,"60s")</f>
        <v>20s</v>
      </c>
      <c r="G613" s="5">
        <v>43481</v>
      </c>
      <c r="I613" t="s">
        <v>17</v>
      </c>
      <c r="J613" t="s">
        <v>18</v>
      </c>
      <c r="K613" cm="1">
        <f t="array" aca="1" ref="K613" ca="1">_xlfn.IFS(EmployeeData[[#This Row],[Status]]="Active",_xlfn.DAYS(TODAY(),EmployeeData[[#This Row],[Join Date]]),EmployeeData[[#This Row],[Status]]="Exited",_xlfn.DAYS(EmployeeData[[#This Row],[Exit Date]],EmployeeData[[#This Row],[Join Date]]))</f>
        <v>2716</v>
      </c>
      <c r="L613" cm="1">
        <f t="array" aca="1" ref="L613" ca="1">_xlfn.IFS(EmployeeData[[#This Row],[Status]]="Exited",DATEDIF(EmployeeData[[#This Row],[Join Date]], EmployeeData[[#This Row],[Exit Date]], "Y"),EmployeeData[[#This Row],[Status]]="Active",DATEDIF(EmployeeData[[#This Row],[Join Date]], TODAY(), "Y"))</f>
        <v>7</v>
      </c>
      <c r="Q613" t="str" cm="1">
        <f t="array" aca="1" ref="Q6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8 days</v>
      </c>
    </row>
    <row r="614" spans="1:17" hidden="1" x14ac:dyDescent="0.3">
      <c r="A614">
        <v>1613</v>
      </c>
      <c r="B614" t="s">
        <v>392</v>
      </c>
      <c r="C614" t="s">
        <v>23</v>
      </c>
      <c r="D614" t="s">
        <v>11</v>
      </c>
      <c r="E614">
        <v>30</v>
      </c>
      <c r="F614" t="str" cm="1">
        <f t="array" ref="F614">_xlfn.IFS(EmployeeData[[#This Row],[Age]]&lt;30,"20s",EmployeeData[[#This Row],[Age]]&lt;40,"30s",EmployeeData[[#This Row],[Age]]&lt;50,"40s",EmployeeData[[#This Row],[Age]]&lt;60,"50s",EmployeeData[[#This Row],[Age]]&gt;=60,"60s")</f>
        <v>30s</v>
      </c>
      <c r="G614" s="5">
        <v>45627</v>
      </c>
      <c r="H614" s="5">
        <v>45903</v>
      </c>
      <c r="I614" t="s">
        <v>12</v>
      </c>
      <c r="J614" t="s">
        <v>13</v>
      </c>
      <c r="K614" cm="1">
        <f t="array" aca="1" ref="K614" ca="1">_xlfn.IFS(EmployeeData[[#This Row],[Status]]="Active",_xlfn.DAYS(TODAY(),EmployeeData[[#This Row],[Join Date]]),EmployeeData[[#This Row],[Status]]="Exited",_xlfn.DAYS(EmployeeData[[#This Row],[Exit Date]],EmployeeData[[#This Row],[Join Date]]))</f>
        <v>276</v>
      </c>
      <c r="L614" cm="1">
        <f t="array" aca="1" ref="L614" ca="1">_xlfn.IFS(EmployeeData[[#This Row],[Status]]="Exited",DATEDIF(EmployeeData[[#This Row],[Join Date]], EmployeeData[[#This Row],[Exit Date]], "Y"),EmployeeData[[#This Row],[Status]]="Active",DATEDIF(EmployeeData[[#This Row],[Join Date]], TODAY(), "Y"))</f>
        <v>0</v>
      </c>
      <c r="Q614" t="str" cm="1">
        <f t="array" aca="1" ref="Q6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615" spans="1:17" hidden="1" x14ac:dyDescent="0.3">
      <c r="A615">
        <v>1614</v>
      </c>
      <c r="B615" t="s">
        <v>302</v>
      </c>
      <c r="C615" t="s">
        <v>15</v>
      </c>
      <c r="D615" t="s">
        <v>16</v>
      </c>
      <c r="E615">
        <v>51</v>
      </c>
      <c r="F615" t="str" cm="1">
        <f t="array" ref="F615">_xlfn.IFS(EmployeeData[[#This Row],[Age]]&lt;30,"20s",EmployeeData[[#This Row],[Age]]&lt;40,"30s",EmployeeData[[#This Row],[Age]]&lt;50,"40s",EmployeeData[[#This Row],[Age]]&lt;60,"50s",EmployeeData[[#This Row],[Age]]&gt;=60,"60s")</f>
        <v>50s</v>
      </c>
      <c r="G615" s="5">
        <v>44990</v>
      </c>
      <c r="I615" t="s">
        <v>17</v>
      </c>
      <c r="J615" t="s">
        <v>18</v>
      </c>
      <c r="K615" cm="1">
        <f t="array" aca="1" ref="K615" ca="1">_xlfn.IFS(EmployeeData[[#This Row],[Status]]="Active",_xlfn.DAYS(TODAY(),EmployeeData[[#This Row],[Join Date]]),EmployeeData[[#This Row],[Status]]="Exited",_xlfn.DAYS(EmployeeData[[#This Row],[Exit Date]],EmployeeData[[#This Row],[Join Date]]))</f>
        <v>1207</v>
      </c>
      <c r="L615" cm="1">
        <f t="array" aca="1" ref="L615" ca="1">_xlfn.IFS(EmployeeData[[#This Row],[Status]]="Exited",DATEDIF(EmployeeData[[#This Row],[Join Date]], EmployeeData[[#This Row],[Exit Date]], "Y"),EmployeeData[[#This Row],[Status]]="Active",DATEDIF(EmployeeData[[#This Row],[Join Date]], TODAY(), "Y"))</f>
        <v>3</v>
      </c>
      <c r="Q615" t="str" cm="1">
        <f t="array" aca="1" ref="Q6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19 days</v>
      </c>
    </row>
    <row r="616" spans="1:17" hidden="1" x14ac:dyDescent="0.3">
      <c r="A616">
        <v>1615</v>
      </c>
      <c r="B616" t="s">
        <v>669</v>
      </c>
      <c r="C616" t="s">
        <v>15</v>
      </c>
      <c r="D616" t="s">
        <v>16</v>
      </c>
      <c r="E616">
        <v>27</v>
      </c>
      <c r="F616" t="str" cm="1">
        <f t="array" ref="F616">_xlfn.IFS(EmployeeData[[#This Row],[Age]]&lt;30,"20s",EmployeeData[[#This Row],[Age]]&lt;40,"30s",EmployeeData[[#This Row],[Age]]&lt;50,"40s",EmployeeData[[#This Row],[Age]]&lt;60,"50s",EmployeeData[[#This Row],[Age]]&gt;=60,"60s")</f>
        <v>20s</v>
      </c>
      <c r="G616" s="5">
        <v>44435</v>
      </c>
      <c r="I616" t="s">
        <v>17</v>
      </c>
      <c r="J616" t="s">
        <v>18</v>
      </c>
      <c r="K616" cm="1">
        <f t="array" aca="1" ref="K616" ca="1">_xlfn.IFS(EmployeeData[[#This Row],[Status]]="Active",_xlfn.DAYS(TODAY(),EmployeeData[[#This Row],[Join Date]]),EmployeeData[[#This Row],[Status]]="Exited",_xlfn.DAYS(EmployeeData[[#This Row],[Exit Date]],EmployeeData[[#This Row],[Join Date]]))</f>
        <v>1762</v>
      </c>
      <c r="L616" cm="1">
        <f t="array" aca="1" ref="L616" ca="1">_xlfn.IFS(EmployeeData[[#This Row],[Status]]="Exited",DATEDIF(EmployeeData[[#This Row],[Join Date]], EmployeeData[[#This Row],[Exit Date]], "Y"),EmployeeData[[#This Row],[Status]]="Active",DATEDIF(EmployeeData[[#This Row],[Join Date]], TODAY(), "Y"))</f>
        <v>4</v>
      </c>
      <c r="Q616" t="str" cm="1">
        <f t="array" aca="1" ref="Q6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28 days</v>
      </c>
    </row>
    <row r="617" spans="1:17" hidden="1" x14ac:dyDescent="0.3">
      <c r="A617">
        <v>1616</v>
      </c>
      <c r="B617" t="s">
        <v>315</v>
      </c>
      <c r="C617" t="s">
        <v>23</v>
      </c>
      <c r="D617" t="s">
        <v>16</v>
      </c>
      <c r="E617">
        <v>36</v>
      </c>
      <c r="F617" t="str" cm="1">
        <f t="array" ref="F617">_xlfn.IFS(EmployeeData[[#This Row],[Age]]&lt;30,"20s",EmployeeData[[#This Row],[Age]]&lt;40,"30s",EmployeeData[[#This Row],[Age]]&lt;50,"40s",EmployeeData[[#This Row],[Age]]&lt;60,"50s",EmployeeData[[#This Row],[Age]]&gt;=60,"60s")</f>
        <v>30s</v>
      </c>
      <c r="G617" s="5">
        <v>45345</v>
      </c>
      <c r="H617" s="5">
        <v>45928</v>
      </c>
      <c r="I617" t="s">
        <v>12</v>
      </c>
      <c r="J617" t="s">
        <v>13</v>
      </c>
      <c r="K617" cm="1">
        <f t="array" aca="1" ref="K617" ca="1">_xlfn.IFS(EmployeeData[[#This Row],[Status]]="Active",_xlfn.DAYS(TODAY(),EmployeeData[[#This Row],[Join Date]]),EmployeeData[[#This Row],[Status]]="Exited",_xlfn.DAYS(EmployeeData[[#This Row],[Exit Date]],EmployeeData[[#This Row],[Join Date]]))</f>
        <v>583</v>
      </c>
      <c r="L617" cm="1">
        <f t="array" aca="1" ref="L617" ca="1">_xlfn.IFS(EmployeeData[[#This Row],[Status]]="Exited",DATEDIF(EmployeeData[[#This Row],[Join Date]], EmployeeData[[#This Row],[Exit Date]], "Y"),EmployeeData[[#This Row],[Status]]="Active",DATEDIF(EmployeeData[[#This Row],[Join Date]], TODAY(), "Y"))</f>
        <v>1</v>
      </c>
      <c r="Q617" t="str" cm="1">
        <f t="array" aca="1" ref="Q6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8" spans="1:17" hidden="1" x14ac:dyDescent="0.3">
      <c r="A618">
        <v>1617</v>
      </c>
      <c r="B618" t="s">
        <v>442</v>
      </c>
      <c r="C618" t="s">
        <v>23</v>
      </c>
      <c r="D618" t="s">
        <v>11</v>
      </c>
      <c r="E618">
        <v>48</v>
      </c>
      <c r="F618" t="str" cm="1">
        <f t="array" ref="F618">_xlfn.IFS(EmployeeData[[#This Row],[Age]]&lt;30,"20s",EmployeeData[[#This Row],[Age]]&lt;40,"30s",EmployeeData[[#This Row],[Age]]&lt;50,"40s",EmployeeData[[#This Row],[Age]]&lt;60,"50s",EmployeeData[[#This Row],[Age]]&gt;=60,"60s")</f>
        <v>40s</v>
      </c>
      <c r="G618" s="5">
        <v>45424</v>
      </c>
      <c r="I618" t="s">
        <v>17</v>
      </c>
      <c r="J618" t="s">
        <v>18</v>
      </c>
      <c r="K618" cm="1">
        <f t="array" aca="1" ref="K618" ca="1">_xlfn.IFS(EmployeeData[[#This Row],[Status]]="Active",_xlfn.DAYS(TODAY(),EmployeeData[[#This Row],[Join Date]]),EmployeeData[[#This Row],[Status]]="Exited",_xlfn.DAYS(EmployeeData[[#This Row],[Exit Date]],EmployeeData[[#This Row],[Join Date]]))</f>
        <v>773</v>
      </c>
      <c r="L618" cm="1">
        <f t="array" aca="1" ref="L618" ca="1">_xlfn.IFS(EmployeeData[[#This Row],[Status]]="Exited",DATEDIF(EmployeeData[[#This Row],[Join Date]], EmployeeData[[#This Row],[Exit Date]], "Y"),EmployeeData[[#This Row],[Status]]="Active",DATEDIF(EmployeeData[[#This Row],[Join Date]], TODAY(), "Y"))</f>
        <v>2</v>
      </c>
      <c r="Q618" t="str" cm="1">
        <f t="array" aca="1" ref="Q6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12 days</v>
      </c>
    </row>
    <row r="619" spans="1:17" hidden="1" x14ac:dyDescent="0.3">
      <c r="A619">
        <v>1618</v>
      </c>
      <c r="B619" t="s">
        <v>450</v>
      </c>
      <c r="C619" t="s">
        <v>20</v>
      </c>
      <c r="D619" t="s">
        <v>11</v>
      </c>
      <c r="E619">
        <v>52</v>
      </c>
      <c r="F619" t="str" cm="1">
        <f t="array" ref="F619">_xlfn.IFS(EmployeeData[[#This Row],[Age]]&lt;30,"20s",EmployeeData[[#This Row],[Age]]&lt;40,"30s",EmployeeData[[#This Row],[Age]]&lt;50,"40s",EmployeeData[[#This Row],[Age]]&lt;60,"50s",EmployeeData[[#This Row],[Age]]&gt;=60,"60s")</f>
        <v>50s</v>
      </c>
      <c r="G619" s="5">
        <v>43569</v>
      </c>
      <c r="I619" t="s">
        <v>17</v>
      </c>
      <c r="J619" t="s">
        <v>18</v>
      </c>
      <c r="K619" cm="1">
        <f t="array" aca="1" ref="K619" ca="1">_xlfn.IFS(EmployeeData[[#This Row],[Status]]="Active",_xlfn.DAYS(TODAY(),EmployeeData[[#This Row],[Join Date]]),EmployeeData[[#This Row],[Status]]="Exited",_xlfn.DAYS(EmployeeData[[#This Row],[Exit Date]],EmployeeData[[#This Row],[Join Date]]))</f>
        <v>2628</v>
      </c>
      <c r="L619" cm="1">
        <f t="array" aca="1" ref="L619" ca="1">_xlfn.IFS(EmployeeData[[#This Row],[Status]]="Exited",DATEDIF(EmployeeData[[#This Row],[Join Date]], EmployeeData[[#This Row],[Exit Date]], "Y"),EmployeeData[[#This Row],[Status]]="Active",DATEDIF(EmployeeData[[#This Row],[Join Date]], TODAY(), "Y"))</f>
        <v>7</v>
      </c>
      <c r="Q619" t="str" cm="1">
        <f t="array" aca="1" ref="Q6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10 days</v>
      </c>
    </row>
    <row r="620" spans="1:17" hidden="1" x14ac:dyDescent="0.3">
      <c r="A620">
        <v>1619</v>
      </c>
      <c r="B620" t="s">
        <v>72</v>
      </c>
      <c r="C620" t="s">
        <v>15</v>
      </c>
      <c r="D620" t="s">
        <v>11</v>
      </c>
      <c r="E620">
        <v>51</v>
      </c>
      <c r="F620" t="str" cm="1">
        <f t="array" ref="F620">_xlfn.IFS(EmployeeData[[#This Row],[Age]]&lt;30,"20s",EmployeeData[[#This Row],[Age]]&lt;40,"30s",EmployeeData[[#This Row],[Age]]&lt;50,"40s",EmployeeData[[#This Row],[Age]]&lt;60,"50s",EmployeeData[[#This Row],[Age]]&gt;=60,"60s")</f>
        <v>50s</v>
      </c>
      <c r="G620" s="5">
        <v>45551</v>
      </c>
      <c r="H620" s="5">
        <v>46029</v>
      </c>
      <c r="I620" t="s">
        <v>26</v>
      </c>
      <c r="J620" t="s">
        <v>13</v>
      </c>
      <c r="K620" cm="1">
        <f t="array" aca="1" ref="K620" ca="1">_xlfn.IFS(EmployeeData[[#This Row],[Status]]="Active",_xlfn.DAYS(TODAY(),EmployeeData[[#This Row],[Join Date]]),EmployeeData[[#This Row],[Status]]="Exited",_xlfn.DAYS(EmployeeData[[#This Row],[Exit Date]],EmployeeData[[#This Row],[Join Date]]))</f>
        <v>478</v>
      </c>
      <c r="L620" cm="1">
        <f t="array" aca="1" ref="L620" ca="1">_xlfn.IFS(EmployeeData[[#This Row],[Status]]="Exited",DATEDIF(EmployeeData[[#This Row],[Join Date]], EmployeeData[[#This Row],[Exit Date]], "Y"),EmployeeData[[#This Row],[Status]]="Active",DATEDIF(EmployeeData[[#This Row],[Join Date]], TODAY(), "Y"))</f>
        <v>1</v>
      </c>
      <c r="Q620" t="str" cm="1">
        <f t="array" aca="1" ref="Q6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621" spans="1:17" hidden="1" x14ac:dyDescent="0.3">
      <c r="A621">
        <v>1620</v>
      </c>
      <c r="B621" t="s">
        <v>265</v>
      </c>
      <c r="C621" t="s">
        <v>33</v>
      </c>
      <c r="D621" t="s">
        <v>11</v>
      </c>
      <c r="E621">
        <v>21</v>
      </c>
      <c r="F621" t="str" cm="1">
        <f t="array" ref="F621">_xlfn.IFS(EmployeeData[[#This Row],[Age]]&lt;30,"20s",EmployeeData[[#This Row],[Age]]&lt;40,"30s",EmployeeData[[#This Row],[Age]]&lt;50,"40s",EmployeeData[[#This Row],[Age]]&lt;60,"50s",EmployeeData[[#This Row],[Age]]&gt;=60,"60s")</f>
        <v>20s</v>
      </c>
      <c r="G621" s="5">
        <v>43701</v>
      </c>
      <c r="I621" t="s">
        <v>17</v>
      </c>
      <c r="J621" t="s">
        <v>18</v>
      </c>
      <c r="K621" cm="1">
        <f t="array" aca="1" ref="K621" ca="1">_xlfn.IFS(EmployeeData[[#This Row],[Status]]="Active",_xlfn.DAYS(TODAY(),EmployeeData[[#This Row],[Join Date]]),EmployeeData[[#This Row],[Status]]="Exited",_xlfn.DAYS(EmployeeData[[#This Row],[Exit Date]],EmployeeData[[#This Row],[Join Date]]))</f>
        <v>2496</v>
      </c>
      <c r="L621" cm="1">
        <f t="array" aca="1" ref="L621" ca="1">_xlfn.IFS(EmployeeData[[#This Row],[Status]]="Exited",DATEDIF(EmployeeData[[#This Row],[Join Date]], EmployeeData[[#This Row],[Exit Date]], "Y"),EmployeeData[[#This Row],[Status]]="Active",DATEDIF(EmployeeData[[#This Row],[Join Date]], TODAY(), "Y"))</f>
        <v>6</v>
      </c>
      <c r="Q621" t="str" cm="1">
        <f t="array" aca="1" ref="Q6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0 days</v>
      </c>
    </row>
    <row r="622" spans="1:17" hidden="1" x14ac:dyDescent="0.3">
      <c r="A622">
        <v>1621</v>
      </c>
      <c r="B622" t="s">
        <v>1016</v>
      </c>
      <c r="C622" t="s">
        <v>15</v>
      </c>
      <c r="D622" t="s">
        <v>11</v>
      </c>
      <c r="E622">
        <v>41</v>
      </c>
      <c r="F622" t="str" cm="1">
        <f t="array" ref="F622">_xlfn.IFS(EmployeeData[[#This Row],[Age]]&lt;30,"20s",EmployeeData[[#This Row],[Age]]&lt;40,"30s",EmployeeData[[#This Row],[Age]]&lt;50,"40s",EmployeeData[[#This Row],[Age]]&lt;60,"50s",EmployeeData[[#This Row],[Age]]&gt;=60,"60s")</f>
        <v>40s</v>
      </c>
      <c r="G622" s="5">
        <v>44328</v>
      </c>
      <c r="I622" t="s">
        <v>17</v>
      </c>
      <c r="J622" t="s">
        <v>18</v>
      </c>
      <c r="K622" cm="1">
        <f t="array" aca="1" ref="K622" ca="1">_xlfn.IFS(EmployeeData[[#This Row],[Status]]="Active",_xlfn.DAYS(TODAY(),EmployeeData[[#This Row],[Join Date]]),EmployeeData[[#This Row],[Status]]="Exited",_xlfn.DAYS(EmployeeData[[#This Row],[Exit Date]],EmployeeData[[#This Row],[Join Date]]))</f>
        <v>1869</v>
      </c>
      <c r="L622" cm="1">
        <f t="array" aca="1" ref="L622" ca="1">_xlfn.IFS(EmployeeData[[#This Row],[Status]]="Exited",DATEDIF(EmployeeData[[#This Row],[Join Date]], EmployeeData[[#This Row],[Exit Date]], "Y"),EmployeeData[[#This Row],[Status]]="Active",DATEDIF(EmployeeData[[#This Row],[Join Date]], TODAY(), "Y"))</f>
        <v>5</v>
      </c>
      <c r="Q622" t="str" cm="1">
        <f t="array" aca="1" ref="Q6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623" spans="1:17" x14ac:dyDescent="0.3">
      <c r="A623">
        <v>1622</v>
      </c>
      <c r="B623" t="s">
        <v>1052</v>
      </c>
      <c r="C623" t="s">
        <v>46</v>
      </c>
      <c r="D623" t="s">
        <v>11</v>
      </c>
      <c r="E623">
        <v>58</v>
      </c>
      <c r="F623" t="str" cm="1">
        <f t="array" ref="F623">_xlfn.IFS(EmployeeData[[#This Row],[Age]]&lt;30,"20s",EmployeeData[[#This Row],[Age]]&lt;40,"30s",EmployeeData[[#This Row],[Age]]&lt;50,"40s",EmployeeData[[#This Row],[Age]]&lt;60,"50s",EmployeeData[[#This Row],[Age]]&gt;=60,"60s")</f>
        <v>50s</v>
      </c>
      <c r="G623" s="5">
        <v>43134</v>
      </c>
      <c r="I623" t="s">
        <v>17</v>
      </c>
      <c r="J623" t="s">
        <v>18</v>
      </c>
      <c r="K623" cm="1">
        <f t="array" aca="1" ref="K623" ca="1">_xlfn.IFS(EmployeeData[[#This Row],[Status]]="Active",_xlfn.DAYS(TODAY(),EmployeeData[[#This Row],[Join Date]]),EmployeeData[[#This Row],[Status]]="Exited",_xlfn.DAYS(EmployeeData[[#This Row],[Exit Date]],EmployeeData[[#This Row],[Join Date]]))</f>
        <v>3063</v>
      </c>
      <c r="L623" cm="1">
        <f t="array" aca="1" ref="L623" ca="1">_xlfn.IFS(EmployeeData[[#This Row],[Status]]="Exited",DATEDIF(EmployeeData[[#This Row],[Join Date]], EmployeeData[[#This Row],[Exit Date]], "Y"),EmployeeData[[#This Row],[Status]]="Active",DATEDIF(EmployeeData[[#This Row],[Join Date]], TODAY(), "Y"))</f>
        <v>8</v>
      </c>
      <c r="Q623" t="str" cm="1">
        <f t="array" aca="1" ref="Q6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21 days</v>
      </c>
    </row>
    <row r="624" spans="1:17" x14ac:dyDescent="0.3">
      <c r="A624">
        <v>1623</v>
      </c>
      <c r="B624" t="s">
        <v>877</v>
      </c>
      <c r="C624" t="s">
        <v>33</v>
      </c>
      <c r="D624" t="s">
        <v>16</v>
      </c>
      <c r="E624">
        <v>56</v>
      </c>
      <c r="F624" t="str" cm="1">
        <f t="array" ref="F624">_xlfn.IFS(EmployeeData[[#This Row],[Age]]&lt;30,"20s",EmployeeData[[#This Row],[Age]]&lt;40,"30s",EmployeeData[[#This Row],[Age]]&lt;50,"40s",EmployeeData[[#This Row],[Age]]&lt;60,"50s",EmployeeData[[#This Row],[Age]]&gt;=60,"60s")</f>
        <v>50s</v>
      </c>
      <c r="G624" s="5">
        <v>43318</v>
      </c>
      <c r="H624" s="5">
        <v>44879</v>
      </c>
      <c r="I624" t="s">
        <v>31</v>
      </c>
      <c r="J624" t="s">
        <v>13</v>
      </c>
      <c r="K624" cm="1">
        <f t="array" aca="1" ref="K624" ca="1">_xlfn.IFS(EmployeeData[[#This Row],[Status]]="Active",_xlfn.DAYS(TODAY(),EmployeeData[[#This Row],[Join Date]]),EmployeeData[[#This Row],[Status]]="Exited",_xlfn.DAYS(EmployeeData[[#This Row],[Exit Date]],EmployeeData[[#This Row],[Join Date]]))</f>
        <v>1561</v>
      </c>
      <c r="L624" cm="1">
        <f t="array" aca="1" ref="L624" ca="1">_xlfn.IFS(EmployeeData[[#This Row],[Status]]="Exited",DATEDIF(EmployeeData[[#This Row],[Join Date]], EmployeeData[[#This Row],[Exit Date]], "Y"),EmployeeData[[#This Row],[Status]]="Active",DATEDIF(EmployeeData[[#This Row],[Join Date]], TODAY(), "Y"))</f>
        <v>4</v>
      </c>
      <c r="Q624" t="str" cm="1">
        <f t="array" aca="1" ref="Q6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625" spans="1:17" hidden="1" x14ac:dyDescent="0.3">
      <c r="A625">
        <v>1624</v>
      </c>
      <c r="B625" t="s">
        <v>339</v>
      </c>
      <c r="C625" t="s">
        <v>23</v>
      </c>
      <c r="D625" t="s">
        <v>11</v>
      </c>
      <c r="E625">
        <v>46</v>
      </c>
      <c r="F625" t="str" cm="1">
        <f t="array" ref="F625">_xlfn.IFS(EmployeeData[[#This Row],[Age]]&lt;30,"20s",EmployeeData[[#This Row],[Age]]&lt;40,"30s",EmployeeData[[#This Row],[Age]]&lt;50,"40s",EmployeeData[[#This Row],[Age]]&lt;60,"50s",EmployeeData[[#This Row],[Age]]&gt;=60,"60s")</f>
        <v>40s</v>
      </c>
      <c r="G625" s="5">
        <v>44663</v>
      </c>
      <c r="I625" t="s">
        <v>17</v>
      </c>
      <c r="J625" t="s">
        <v>18</v>
      </c>
      <c r="K625" cm="1">
        <f t="array" aca="1" ref="K625" ca="1">_xlfn.IFS(EmployeeData[[#This Row],[Status]]="Active",_xlfn.DAYS(TODAY(),EmployeeData[[#This Row],[Join Date]]),EmployeeData[[#This Row],[Status]]="Exited",_xlfn.DAYS(EmployeeData[[#This Row],[Exit Date]],EmployeeData[[#This Row],[Join Date]]))</f>
        <v>1534</v>
      </c>
      <c r="L625" cm="1">
        <f t="array" aca="1" ref="L625" ca="1">_xlfn.IFS(EmployeeData[[#This Row],[Status]]="Exited",DATEDIF(EmployeeData[[#This Row],[Join Date]], EmployeeData[[#This Row],[Exit Date]], "Y"),EmployeeData[[#This Row],[Status]]="Active",DATEDIF(EmployeeData[[#This Row],[Join Date]], TODAY(), "Y"))</f>
        <v>4</v>
      </c>
      <c r="Q625" t="str" cm="1">
        <f t="array" aca="1" ref="Q6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12 days</v>
      </c>
    </row>
    <row r="626" spans="1:17" hidden="1" x14ac:dyDescent="0.3">
      <c r="A626">
        <v>1625</v>
      </c>
      <c r="B626" t="s">
        <v>869</v>
      </c>
      <c r="C626" t="s">
        <v>15</v>
      </c>
      <c r="D626" t="s">
        <v>24</v>
      </c>
      <c r="E626">
        <v>44</v>
      </c>
      <c r="F626" t="str" cm="1">
        <f t="array" ref="F626">_xlfn.IFS(EmployeeData[[#This Row],[Age]]&lt;30,"20s",EmployeeData[[#This Row],[Age]]&lt;40,"30s",EmployeeData[[#This Row],[Age]]&lt;50,"40s",EmployeeData[[#This Row],[Age]]&lt;60,"50s",EmployeeData[[#This Row],[Age]]&gt;=60,"60s")</f>
        <v>40s</v>
      </c>
      <c r="G626" s="5">
        <v>44809</v>
      </c>
      <c r="H626" s="5">
        <v>45156</v>
      </c>
      <c r="I626" t="s">
        <v>31</v>
      </c>
      <c r="J626" t="s">
        <v>13</v>
      </c>
      <c r="K626" cm="1">
        <f t="array" aca="1" ref="K626" ca="1">_xlfn.IFS(EmployeeData[[#This Row],[Status]]="Active",_xlfn.DAYS(TODAY(),EmployeeData[[#This Row],[Join Date]]),EmployeeData[[#This Row],[Status]]="Exited",_xlfn.DAYS(EmployeeData[[#This Row],[Exit Date]],EmployeeData[[#This Row],[Join Date]]))</f>
        <v>347</v>
      </c>
      <c r="L626" cm="1">
        <f t="array" aca="1" ref="L626" ca="1">_xlfn.IFS(EmployeeData[[#This Row],[Status]]="Exited",DATEDIF(EmployeeData[[#This Row],[Join Date]], EmployeeData[[#This Row],[Exit Date]], "Y"),EmployeeData[[#This Row],[Status]]="Active",DATEDIF(EmployeeData[[#This Row],[Join Date]], TODAY(), "Y"))</f>
        <v>0</v>
      </c>
      <c r="Q626" t="str" cm="1">
        <f t="array" aca="1" ref="Q6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13 days</v>
      </c>
    </row>
    <row r="627" spans="1:17" x14ac:dyDescent="0.3">
      <c r="A627">
        <v>1626</v>
      </c>
      <c r="B627" t="s">
        <v>420</v>
      </c>
      <c r="C627" t="s">
        <v>20</v>
      </c>
      <c r="D627" t="s">
        <v>11</v>
      </c>
      <c r="E627">
        <v>29</v>
      </c>
      <c r="F627" t="str" cm="1">
        <f t="array" ref="F627">_xlfn.IFS(EmployeeData[[#This Row],[Age]]&lt;30,"20s",EmployeeData[[#This Row],[Age]]&lt;40,"30s",EmployeeData[[#This Row],[Age]]&lt;50,"40s",EmployeeData[[#This Row],[Age]]&lt;60,"50s",EmployeeData[[#This Row],[Age]]&gt;=60,"60s")</f>
        <v>20s</v>
      </c>
      <c r="G627" s="5">
        <v>43447</v>
      </c>
      <c r="H627" s="5">
        <v>45240</v>
      </c>
      <c r="I627" t="s">
        <v>52</v>
      </c>
      <c r="J627" t="s">
        <v>13</v>
      </c>
      <c r="K627" cm="1">
        <f t="array" aca="1" ref="K627" ca="1">_xlfn.IFS(EmployeeData[[#This Row],[Status]]="Active",_xlfn.DAYS(TODAY(),EmployeeData[[#This Row],[Join Date]]),EmployeeData[[#This Row],[Status]]="Exited",_xlfn.DAYS(EmployeeData[[#This Row],[Exit Date]],EmployeeData[[#This Row],[Join Date]]))</f>
        <v>1793</v>
      </c>
      <c r="L627" cm="1">
        <f t="array" aca="1" ref="L627" ca="1">_xlfn.IFS(EmployeeData[[#This Row],[Status]]="Exited",DATEDIF(EmployeeData[[#This Row],[Join Date]], EmployeeData[[#This Row],[Exit Date]], "Y"),EmployeeData[[#This Row],[Status]]="Active",DATEDIF(EmployeeData[[#This Row],[Join Date]], TODAY(), "Y"))</f>
        <v>4</v>
      </c>
      <c r="Q627" t="str" cm="1">
        <f t="array" aca="1" ref="Q6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28 days</v>
      </c>
    </row>
    <row r="628" spans="1:17" hidden="1" x14ac:dyDescent="0.3">
      <c r="A628">
        <v>1627</v>
      </c>
      <c r="B628" t="s">
        <v>1065</v>
      </c>
      <c r="C628" t="s">
        <v>10</v>
      </c>
      <c r="D628" t="s">
        <v>24</v>
      </c>
      <c r="E628">
        <v>49</v>
      </c>
      <c r="F628" t="str" cm="1">
        <f t="array" ref="F628">_xlfn.IFS(EmployeeData[[#This Row],[Age]]&lt;30,"20s",EmployeeData[[#This Row],[Age]]&lt;40,"30s",EmployeeData[[#This Row],[Age]]&lt;50,"40s",EmployeeData[[#This Row],[Age]]&lt;60,"50s",EmployeeData[[#This Row],[Age]]&gt;=60,"60s")</f>
        <v>40s</v>
      </c>
      <c r="G628" s="5">
        <v>44676</v>
      </c>
      <c r="H628" s="5">
        <v>45146</v>
      </c>
      <c r="I628" t="s">
        <v>12</v>
      </c>
      <c r="J628" t="s">
        <v>13</v>
      </c>
      <c r="K628" cm="1">
        <f t="array" aca="1" ref="K628" ca="1">_xlfn.IFS(EmployeeData[[#This Row],[Status]]="Active",_xlfn.DAYS(TODAY(),EmployeeData[[#This Row],[Join Date]]),EmployeeData[[#This Row],[Status]]="Exited",_xlfn.DAYS(EmployeeData[[#This Row],[Exit Date]],EmployeeData[[#This Row],[Join Date]]))</f>
        <v>470</v>
      </c>
      <c r="L628" cm="1">
        <f t="array" aca="1" ref="L628" ca="1">_xlfn.IFS(EmployeeData[[#This Row],[Status]]="Exited",DATEDIF(EmployeeData[[#This Row],[Join Date]], EmployeeData[[#This Row],[Exit Date]], "Y"),EmployeeData[[#This Row],[Status]]="Active",DATEDIF(EmployeeData[[#This Row],[Join Date]], TODAY(), "Y"))</f>
        <v>1</v>
      </c>
      <c r="Q628" t="str" cm="1">
        <f t="array" aca="1" ref="Q6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14 days</v>
      </c>
    </row>
    <row r="629" spans="1:17" hidden="1" x14ac:dyDescent="0.3">
      <c r="A629">
        <v>1628</v>
      </c>
      <c r="B629" t="s">
        <v>626</v>
      </c>
      <c r="C629" t="s">
        <v>20</v>
      </c>
      <c r="D629" t="s">
        <v>16</v>
      </c>
      <c r="E629">
        <v>55</v>
      </c>
      <c r="F629" t="str" cm="1">
        <f t="array" ref="F629">_xlfn.IFS(EmployeeData[[#This Row],[Age]]&lt;30,"20s",EmployeeData[[#This Row],[Age]]&lt;40,"30s",EmployeeData[[#This Row],[Age]]&lt;50,"40s",EmployeeData[[#This Row],[Age]]&lt;60,"50s",EmployeeData[[#This Row],[Age]]&gt;=60,"60s")</f>
        <v>50s</v>
      </c>
      <c r="G629" s="5">
        <v>45461</v>
      </c>
      <c r="H629" s="5">
        <v>45589</v>
      </c>
      <c r="I629" t="s">
        <v>65</v>
      </c>
      <c r="J629" t="s">
        <v>13</v>
      </c>
      <c r="K629" cm="1">
        <f t="array" aca="1" ref="K629" ca="1">_xlfn.IFS(EmployeeData[[#This Row],[Status]]="Active",_xlfn.DAYS(TODAY(),EmployeeData[[#This Row],[Join Date]]),EmployeeData[[#This Row],[Status]]="Exited",_xlfn.DAYS(EmployeeData[[#This Row],[Exit Date]],EmployeeData[[#This Row],[Join Date]]))</f>
        <v>128</v>
      </c>
      <c r="L629" cm="1">
        <f t="array" aca="1" ref="L629" ca="1">_xlfn.IFS(EmployeeData[[#This Row],[Status]]="Exited",DATEDIF(EmployeeData[[#This Row],[Join Date]], EmployeeData[[#This Row],[Exit Date]], "Y"),EmployeeData[[#This Row],[Status]]="Active",DATEDIF(EmployeeData[[#This Row],[Join Date]], TODAY(), "Y"))</f>
        <v>0</v>
      </c>
      <c r="Q629" t="str" cm="1">
        <f t="array" aca="1" ref="Q6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6 days</v>
      </c>
    </row>
    <row r="630" spans="1:17" hidden="1" x14ac:dyDescent="0.3">
      <c r="A630">
        <v>1629</v>
      </c>
      <c r="B630" t="s">
        <v>443</v>
      </c>
      <c r="C630" t="s">
        <v>15</v>
      </c>
      <c r="D630" t="s">
        <v>11</v>
      </c>
      <c r="E630">
        <v>38</v>
      </c>
      <c r="F630" t="str" cm="1">
        <f t="array" ref="F630">_xlfn.IFS(EmployeeData[[#This Row],[Age]]&lt;30,"20s",EmployeeData[[#This Row],[Age]]&lt;40,"30s",EmployeeData[[#This Row],[Age]]&lt;50,"40s",EmployeeData[[#This Row],[Age]]&lt;60,"50s",EmployeeData[[#This Row],[Age]]&gt;=60,"60s")</f>
        <v>30s</v>
      </c>
      <c r="G630" s="5">
        <v>45005</v>
      </c>
      <c r="I630" t="s">
        <v>17</v>
      </c>
      <c r="J630" t="s">
        <v>18</v>
      </c>
      <c r="K630" cm="1">
        <f t="array" aca="1" ref="K630" ca="1">_xlfn.IFS(EmployeeData[[#This Row],[Status]]="Active",_xlfn.DAYS(TODAY(),EmployeeData[[#This Row],[Join Date]]),EmployeeData[[#This Row],[Status]]="Exited",_xlfn.DAYS(EmployeeData[[#This Row],[Exit Date]],EmployeeData[[#This Row],[Join Date]]))</f>
        <v>1192</v>
      </c>
      <c r="L630" cm="1">
        <f t="array" aca="1" ref="L630" ca="1">_xlfn.IFS(EmployeeData[[#This Row],[Status]]="Exited",DATEDIF(EmployeeData[[#This Row],[Join Date]], EmployeeData[[#This Row],[Exit Date]], "Y"),EmployeeData[[#This Row],[Status]]="Active",DATEDIF(EmployeeData[[#This Row],[Join Date]], TODAY(), "Y"))</f>
        <v>3</v>
      </c>
      <c r="Q630" t="str" cm="1">
        <f t="array" aca="1" ref="Q6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631" spans="1:17" hidden="1" x14ac:dyDescent="0.3">
      <c r="A631">
        <v>1630</v>
      </c>
      <c r="B631" t="s">
        <v>990</v>
      </c>
      <c r="C631" t="s">
        <v>23</v>
      </c>
      <c r="D631" t="s">
        <v>24</v>
      </c>
      <c r="E631">
        <v>25</v>
      </c>
      <c r="F631" t="str" cm="1">
        <f t="array" ref="F631">_xlfn.IFS(EmployeeData[[#This Row],[Age]]&lt;30,"20s",EmployeeData[[#This Row],[Age]]&lt;40,"30s",EmployeeData[[#This Row],[Age]]&lt;50,"40s",EmployeeData[[#This Row],[Age]]&lt;60,"50s",EmployeeData[[#This Row],[Age]]&gt;=60,"60s")</f>
        <v>20s</v>
      </c>
      <c r="G631" s="5">
        <v>45902</v>
      </c>
      <c r="I631" t="s">
        <v>17</v>
      </c>
      <c r="J631" t="s">
        <v>18</v>
      </c>
      <c r="K631" cm="1">
        <f t="array" aca="1" ref="K631" ca="1">_xlfn.IFS(EmployeeData[[#This Row],[Status]]="Active",_xlfn.DAYS(TODAY(),EmployeeData[[#This Row],[Join Date]]),EmployeeData[[#This Row],[Status]]="Exited",_xlfn.DAYS(EmployeeData[[#This Row],[Exit Date]],EmployeeData[[#This Row],[Join Date]]))</f>
        <v>295</v>
      </c>
      <c r="L631" cm="1">
        <f t="array" aca="1" ref="L631" ca="1">_xlfn.IFS(EmployeeData[[#This Row],[Status]]="Exited",DATEDIF(EmployeeData[[#This Row],[Join Date]], EmployeeData[[#This Row],[Exit Date]], "Y"),EmployeeData[[#This Row],[Status]]="Active",DATEDIF(EmployeeData[[#This Row],[Join Date]], TODAY(), "Y"))</f>
        <v>0</v>
      </c>
      <c r="Q631" t="str" cm="1">
        <f t="array" aca="1" ref="Q6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22 days</v>
      </c>
    </row>
    <row r="632" spans="1:17" hidden="1" x14ac:dyDescent="0.3">
      <c r="A632">
        <v>1631</v>
      </c>
      <c r="B632" t="s">
        <v>82</v>
      </c>
      <c r="C632" t="s">
        <v>46</v>
      </c>
      <c r="D632" t="s">
        <v>24</v>
      </c>
      <c r="E632">
        <v>21</v>
      </c>
      <c r="F632" t="str" cm="1">
        <f t="array" ref="F632">_xlfn.IFS(EmployeeData[[#This Row],[Age]]&lt;30,"20s",EmployeeData[[#This Row],[Age]]&lt;40,"30s",EmployeeData[[#This Row],[Age]]&lt;50,"40s",EmployeeData[[#This Row],[Age]]&lt;60,"50s",EmployeeData[[#This Row],[Age]]&gt;=60,"60s")</f>
        <v>20s</v>
      </c>
      <c r="G632" s="5">
        <v>45021</v>
      </c>
      <c r="I632" t="s">
        <v>17</v>
      </c>
      <c r="J632" t="s">
        <v>18</v>
      </c>
      <c r="K632" cm="1">
        <f t="array" aca="1" ref="K632" ca="1">_xlfn.IFS(EmployeeData[[#This Row],[Status]]="Active",_xlfn.DAYS(TODAY(),EmployeeData[[#This Row],[Join Date]]),EmployeeData[[#This Row],[Status]]="Exited",_xlfn.DAYS(EmployeeData[[#This Row],[Exit Date]],EmployeeData[[#This Row],[Join Date]]))</f>
        <v>1176</v>
      </c>
      <c r="L632" cm="1">
        <f t="array" aca="1" ref="L632" ca="1">_xlfn.IFS(EmployeeData[[#This Row],[Status]]="Exited",DATEDIF(EmployeeData[[#This Row],[Join Date]], EmployeeData[[#This Row],[Exit Date]], "Y"),EmployeeData[[#This Row],[Status]]="Active",DATEDIF(EmployeeData[[#This Row],[Join Date]], TODAY(), "Y"))</f>
        <v>3</v>
      </c>
      <c r="Q632" t="str" cm="1">
        <f t="array" aca="1" ref="Q6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19 days</v>
      </c>
    </row>
    <row r="633" spans="1:17" hidden="1" x14ac:dyDescent="0.3">
      <c r="A633">
        <v>1632</v>
      </c>
      <c r="B633" t="s">
        <v>951</v>
      </c>
      <c r="C633" t="s">
        <v>10</v>
      </c>
      <c r="D633" t="s">
        <v>11</v>
      </c>
      <c r="E633">
        <v>39</v>
      </c>
      <c r="F633" t="str" cm="1">
        <f t="array" ref="F633">_xlfn.IFS(EmployeeData[[#This Row],[Age]]&lt;30,"20s",EmployeeData[[#This Row],[Age]]&lt;40,"30s",EmployeeData[[#This Row],[Age]]&lt;50,"40s",EmployeeData[[#This Row],[Age]]&lt;60,"50s",EmployeeData[[#This Row],[Age]]&gt;=60,"60s")</f>
        <v>30s</v>
      </c>
      <c r="G633" s="5">
        <v>44285</v>
      </c>
      <c r="H633" s="5">
        <v>45798</v>
      </c>
      <c r="I633" t="s">
        <v>21</v>
      </c>
      <c r="J633" t="s">
        <v>13</v>
      </c>
      <c r="K633" cm="1">
        <f t="array" aca="1" ref="K633" ca="1">_xlfn.IFS(EmployeeData[[#This Row],[Status]]="Active",_xlfn.DAYS(TODAY(),EmployeeData[[#This Row],[Join Date]]),EmployeeData[[#This Row],[Status]]="Exited",_xlfn.DAYS(EmployeeData[[#This Row],[Exit Date]],EmployeeData[[#This Row],[Join Date]]))</f>
        <v>1513</v>
      </c>
      <c r="L633" cm="1">
        <f t="array" aca="1" ref="L633" ca="1">_xlfn.IFS(EmployeeData[[#This Row],[Status]]="Exited",DATEDIF(EmployeeData[[#This Row],[Join Date]], EmployeeData[[#This Row],[Exit Date]], "Y"),EmployeeData[[#This Row],[Status]]="Active",DATEDIF(EmployeeData[[#This Row],[Join Date]], TODAY(), "Y"))</f>
        <v>4</v>
      </c>
      <c r="Q633" t="str" cm="1">
        <f t="array" aca="1" ref="Q6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634" spans="1:17" hidden="1" x14ac:dyDescent="0.3">
      <c r="A634">
        <v>1633</v>
      </c>
      <c r="B634" t="s">
        <v>666</v>
      </c>
      <c r="C634" t="s">
        <v>10</v>
      </c>
      <c r="D634" t="s">
        <v>24</v>
      </c>
      <c r="E634">
        <v>58</v>
      </c>
      <c r="F634" t="str" cm="1">
        <f t="array" ref="F634">_xlfn.IFS(EmployeeData[[#This Row],[Age]]&lt;30,"20s",EmployeeData[[#This Row],[Age]]&lt;40,"30s",EmployeeData[[#This Row],[Age]]&lt;50,"40s",EmployeeData[[#This Row],[Age]]&lt;60,"50s",EmployeeData[[#This Row],[Age]]&gt;=60,"60s")</f>
        <v>50s</v>
      </c>
      <c r="G634" s="5">
        <v>43793</v>
      </c>
      <c r="I634" t="s">
        <v>17</v>
      </c>
      <c r="J634" t="s">
        <v>18</v>
      </c>
      <c r="K634" cm="1">
        <f t="array" aca="1" ref="K634" ca="1">_xlfn.IFS(EmployeeData[[#This Row],[Status]]="Active",_xlfn.DAYS(TODAY(),EmployeeData[[#This Row],[Join Date]]),EmployeeData[[#This Row],[Status]]="Exited",_xlfn.DAYS(EmployeeData[[#This Row],[Exit Date]],EmployeeData[[#This Row],[Join Date]]))</f>
        <v>2404</v>
      </c>
      <c r="L634" cm="1">
        <f t="array" aca="1" ref="L634" ca="1">_xlfn.IFS(EmployeeData[[#This Row],[Status]]="Exited",DATEDIF(EmployeeData[[#This Row],[Join Date]], EmployeeData[[#This Row],[Exit Date]], "Y"),EmployeeData[[#This Row],[Status]]="Active",DATEDIF(EmployeeData[[#This Row],[Join Date]], TODAY(), "Y"))</f>
        <v>6</v>
      </c>
      <c r="Q634" t="str" cm="1">
        <f t="array" aca="1" ref="Q6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0 days</v>
      </c>
    </row>
    <row r="635" spans="1:17" x14ac:dyDescent="0.3">
      <c r="A635">
        <v>1634</v>
      </c>
      <c r="B635" t="s">
        <v>782</v>
      </c>
      <c r="C635" t="s">
        <v>10</v>
      </c>
      <c r="D635" t="s">
        <v>16</v>
      </c>
      <c r="E635">
        <v>53</v>
      </c>
      <c r="F635" t="str" cm="1">
        <f t="array" ref="F635">_xlfn.IFS(EmployeeData[[#This Row],[Age]]&lt;30,"20s",EmployeeData[[#This Row],[Age]]&lt;40,"30s",EmployeeData[[#This Row],[Age]]&lt;50,"40s",EmployeeData[[#This Row],[Age]]&lt;60,"50s",EmployeeData[[#This Row],[Age]]&gt;=60,"60s")</f>
        <v>50s</v>
      </c>
      <c r="G635" s="5">
        <v>43415</v>
      </c>
      <c r="I635" t="s">
        <v>17</v>
      </c>
      <c r="J635" t="s">
        <v>18</v>
      </c>
      <c r="K635" cm="1">
        <f t="array" aca="1" ref="K635" ca="1">_xlfn.IFS(EmployeeData[[#This Row],[Status]]="Active",_xlfn.DAYS(TODAY(),EmployeeData[[#This Row],[Join Date]]),EmployeeData[[#This Row],[Status]]="Exited",_xlfn.DAYS(EmployeeData[[#This Row],[Exit Date]],EmployeeData[[#This Row],[Join Date]]))</f>
        <v>2782</v>
      </c>
      <c r="L635" cm="1">
        <f t="array" aca="1" ref="L635" ca="1">_xlfn.IFS(EmployeeData[[#This Row],[Status]]="Exited",DATEDIF(EmployeeData[[#This Row],[Join Date]], EmployeeData[[#This Row],[Exit Date]], "Y"),EmployeeData[[#This Row],[Status]]="Active",DATEDIF(EmployeeData[[#This Row],[Join Date]], TODAY(), "Y"))</f>
        <v>7</v>
      </c>
      <c r="Q635" t="str" cm="1">
        <f t="array" aca="1" ref="Q6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13 days</v>
      </c>
    </row>
    <row r="636" spans="1:17" hidden="1" x14ac:dyDescent="0.3">
      <c r="A636">
        <v>1635</v>
      </c>
      <c r="B636" t="s">
        <v>1053</v>
      </c>
      <c r="C636" t="s">
        <v>10</v>
      </c>
      <c r="D636" t="s">
        <v>16</v>
      </c>
      <c r="E636">
        <v>28</v>
      </c>
      <c r="F636" t="str" cm="1">
        <f t="array" ref="F636">_xlfn.IFS(EmployeeData[[#This Row],[Age]]&lt;30,"20s",EmployeeData[[#This Row],[Age]]&lt;40,"30s",EmployeeData[[#This Row],[Age]]&lt;50,"40s",EmployeeData[[#This Row],[Age]]&lt;60,"50s",EmployeeData[[#This Row],[Age]]&gt;=60,"60s")</f>
        <v>20s</v>
      </c>
      <c r="G636" s="5">
        <v>45574</v>
      </c>
      <c r="H636" s="5">
        <v>45818</v>
      </c>
      <c r="I636" t="s">
        <v>28</v>
      </c>
      <c r="J636" t="s">
        <v>13</v>
      </c>
      <c r="K636" cm="1">
        <f t="array" aca="1" ref="K636" ca="1">_xlfn.IFS(EmployeeData[[#This Row],[Status]]="Active",_xlfn.DAYS(TODAY(),EmployeeData[[#This Row],[Join Date]]),EmployeeData[[#This Row],[Status]]="Exited",_xlfn.DAYS(EmployeeData[[#This Row],[Exit Date]],EmployeeData[[#This Row],[Join Date]]))</f>
        <v>244</v>
      </c>
      <c r="L636" cm="1">
        <f t="array" aca="1" ref="L636" ca="1">_xlfn.IFS(EmployeeData[[#This Row],[Status]]="Exited",DATEDIF(EmployeeData[[#This Row],[Join Date]], EmployeeData[[#This Row],[Exit Date]], "Y"),EmployeeData[[#This Row],[Status]]="Active",DATEDIF(EmployeeData[[#This Row],[Join Date]], TODAY(), "Y"))</f>
        <v>0</v>
      </c>
      <c r="Q636" t="str" cm="1">
        <f t="array" aca="1" ref="Q6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637" spans="1:17" hidden="1" x14ac:dyDescent="0.3">
      <c r="A637">
        <v>1636</v>
      </c>
      <c r="B637" t="s">
        <v>674</v>
      </c>
      <c r="C637" t="s">
        <v>23</v>
      </c>
      <c r="D637" t="s">
        <v>11</v>
      </c>
      <c r="E637">
        <v>23</v>
      </c>
      <c r="F637" t="str" cm="1">
        <f t="array" ref="F637">_xlfn.IFS(EmployeeData[[#This Row],[Age]]&lt;30,"20s",EmployeeData[[#This Row],[Age]]&lt;40,"30s",EmployeeData[[#This Row],[Age]]&lt;50,"40s",EmployeeData[[#This Row],[Age]]&lt;60,"50s",EmployeeData[[#This Row],[Age]]&gt;=60,"60s")</f>
        <v>20s</v>
      </c>
      <c r="G637" s="5">
        <v>44505</v>
      </c>
      <c r="I637" t="s">
        <v>17</v>
      </c>
      <c r="J637" t="s">
        <v>18</v>
      </c>
      <c r="K637" cm="1">
        <f t="array" aca="1" ref="K637" ca="1">_xlfn.IFS(EmployeeData[[#This Row],[Status]]="Active",_xlfn.DAYS(TODAY(),EmployeeData[[#This Row],[Join Date]]),EmployeeData[[#This Row],[Status]]="Exited",_xlfn.DAYS(EmployeeData[[#This Row],[Exit Date]],EmployeeData[[#This Row],[Join Date]]))</f>
        <v>1692</v>
      </c>
      <c r="L637" cm="1">
        <f t="array" aca="1" ref="L637" ca="1">_xlfn.IFS(EmployeeData[[#This Row],[Status]]="Exited",DATEDIF(EmployeeData[[#This Row],[Join Date]], EmployeeData[[#This Row],[Exit Date]], "Y"),EmployeeData[[#This Row],[Status]]="Active",DATEDIF(EmployeeData[[#This Row],[Join Date]], TODAY(), "Y"))</f>
        <v>4</v>
      </c>
      <c r="Q637" t="str" cm="1">
        <f t="array" aca="1" ref="Q6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19 days</v>
      </c>
    </row>
    <row r="638" spans="1:17" hidden="1" x14ac:dyDescent="0.3">
      <c r="A638">
        <v>1637</v>
      </c>
      <c r="B638" t="s">
        <v>183</v>
      </c>
      <c r="C638" t="s">
        <v>15</v>
      </c>
      <c r="D638" t="s">
        <v>24</v>
      </c>
      <c r="E638">
        <v>47</v>
      </c>
      <c r="F638" t="str" cm="1">
        <f t="array" ref="F638">_xlfn.IFS(EmployeeData[[#This Row],[Age]]&lt;30,"20s",EmployeeData[[#This Row],[Age]]&lt;40,"30s",EmployeeData[[#This Row],[Age]]&lt;50,"40s",EmployeeData[[#This Row],[Age]]&lt;60,"50s",EmployeeData[[#This Row],[Age]]&gt;=60,"60s")</f>
        <v>40s</v>
      </c>
      <c r="G638" s="5">
        <v>44670</v>
      </c>
      <c r="H638" s="5">
        <v>45661</v>
      </c>
      <c r="I638" t="s">
        <v>34</v>
      </c>
      <c r="J638" t="s">
        <v>13</v>
      </c>
      <c r="K638" cm="1">
        <f t="array" aca="1" ref="K638" ca="1">_xlfn.IFS(EmployeeData[[#This Row],[Status]]="Active",_xlfn.DAYS(TODAY(),EmployeeData[[#This Row],[Join Date]]),EmployeeData[[#This Row],[Status]]="Exited",_xlfn.DAYS(EmployeeData[[#This Row],[Exit Date]],EmployeeData[[#This Row],[Join Date]]))</f>
        <v>991</v>
      </c>
      <c r="L638" cm="1">
        <f t="array" aca="1" ref="L638" ca="1">_xlfn.IFS(EmployeeData[[#This Row],[Status]]="Exited",DATEDIF(EmployeeData[[#This Row],[Join Date]], EmployeeData[[#This Row],[Exit Date]], "Y"),EmployeeData[[#This Row],[Status]]="Active",DATEDIF(EmployeeData[[#This Row],[Join Date]], TODAY(), "Y"))</f>
        <v>2</v>
      </c>
      <c r="Q638" t="str" cm="1">
        <f t="array" aca="1" ref="Q6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16 days</v>
      </c>
    </row>
    <row r="639" spans="1:17" x14ac:dyDescent="0.3">
      <c r="A639">
        <v>1638</v>
      </c>
      <c r="B639" t="s">
        <v>291</v>
      </c>
      <c r="C639" t="s">
        <v>15</v>
      </c>
      <c r="D639" t="s">
        <v>16</v>
      </c>
      <c r="E639">
        <v>28</v>
      </c>
      <c r="F639" t="str" cm="1">
        <f t="array" ref="F639">_xlfn.IFS(EmployeeData[[#This Row],[Age]]&lt;30,"20s",EmployeeData[[#This Row],[Age]]&lt;40,"30s",EmployeeData[[#This Row],[Age]]&lt;50,"40s",EmployeeData[[#This Row],[Age]]&lt;60,"50s",EmployeeData[[#This Row],[Age]]&gt;=60,"60s")</f>
        <v>20s</v>
      </c>
      <c r="G639" s="5">
        <v>43316</v>
      </c>
      <c r="H639" s="5">
        <v>45039</v>
      </c>
      <c r="I639" t="s">
        <v>12</v>
      </c>
      <c r="J639" t="s">
        <v>13</v>
      </c>
      <c r="K639" cm="1">
        <f t="array" aca="1" ref="K639" ca="1">_xlfn.IFS(EmployeeData[[#This Row],[Status]]="Active",_xlfn.DAYS(TODAY(),EmployeeData[[#This Row],[Join Date]]),EmployeeData[[#This Row],[Status]]="Exited",_xlfn.DAYS(EmployeeData[[#This Row],[Exit Date]],EmployeeData[[#This Row],[Join Date]]))</f>
        <v>1723</v>
      </c>
      <c r="L639" cm="1">
        <f t="array" aca="1" ref="L639" ca="1">_xlfn.IFS(EmployeeData[[#This Row],[Status]]="Exited",DATEDIF(EmployeeData[[#This Row],[Join Date]], EmployeeData[[#This Row],[Exit Date]], "Y"),EmployeeData[[#This Row],[Status]]="Active",DATEDIF(EmployeeData[[#This Row],[Join Date]], TODAY(), "Y"))</f>
        <v>4</v>
      </c>
      <c r="Q639" t="str" cm="1">
        <f t="array" aca="1" ref="Q6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19 days</v>
      </c>
    </row>
    <row r="640" spans="1:17" hidden="1" x14ac:dyDescent="0.3">
      <c r="A640">
        <v>1639</v>
      </c>
      <c r="B640" t="s">
        <v>382</v>
      </c>
      <c r="C640" t="s">
        <v>46</v>
      </c>
      <c r="D640" t="s">
        <v>16</v>
      </c>
      <c r="E640">
        <v>45</v>
      </c>
      <c r="F640" t="str" cm="1">
        <f t="array" ref="F640">_xlfn.IFS(EmployeeData[[#This Row],[Age]]&lt;30,"20s",EmployeeData[[#This Row],[Age]]&lt;40,"30s",EmployeeData[[#This Row],[Age]]&lt;50,"40s",EmployeeData[[#This Row],[Age]]&lt;60,"50s",EmployeeData[[#This Row],[Age]]&gt;=60,"60s")</f>
        <v>40s</v>
      </c>
      <c r="G640" s="5">
        <v>45044</v>
      </c>
      <c r="H640" s="5">
        <v>46024</v>
      </c>
      <c r="I640" t="s">
        <v>31</v>
      </c>
      <c r="J640" t="s">
        <v>13</v>
      </c>
      <c r="K640" cm="1">
        <f t="array" aca="1" ref="K640" ca="1">_xlfn.IFS(EmployeeData[[#This Row],[Status]]="Active",_xlfn.DAYS(TODAY(),EmployeeData[[#This Row],[Join Date]]),EmployeeData[[#This Row],[Status]]="Exited",_xlfn.DAYS(EmployeeData[[#This Row],[Exit Date]],EmployeeData[[#This Row],[Join Date]]))</f>
        <v>980</v>
      </c>
      <c r="L640" cm="1">
        <f t="array" aca="1" ref="L640" ca="1">_xlfn.IFS(EmployeeData[[#This Row],[Status]]="Exited",DATEDIF(EmployeeData[[#This Row],[Join Date]], EmployeeData[[#This Row],[Exit Date]], "Y"),EmployeeData[[#This Row],[Status]]="Active",DATEDIF(EmployeeData[[#This Row],[Join Date]], TODAY(), "Y"))</f>
        <v>2</v>
      </c>
      <c r="Q640" t="str" cm="1">
        <f t="array" aca="1" ref="Q6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641" spans="1:17" hidden="1" x14ac:dyDescent="0.3">
      <c r="A641">
        <v>1640</v>
      </c>
      <c r="B641" t="s">
        <v>571</v>
      </c>
      <c r="C641" t="s">
        <v>46</v>
      </c>
      <c r="D641" t="s">
        <v>11</v>
      </c>
      <c r="E641">
        <v>23</v>
      </c>
      <c r="F641" t="str" cm="1">
        <f t="array" ref="F641">_xlfn.IFS(EmployeeData[[#This Row],[Age]]&lt;30,"20s",EmployeeData[[#This Row],[Age]]&lt;40,"30s",EmployeeData[[#This Row],[Age]]&lt;50,"40s",EmployeeData[[#This Row],[Age]]&lt;60,"50s",EmployeeData[[#This Row],[Age]]&gt;=60,"60s")</f>
        <v>20s</v>
      </c>
      <c r="G641" s="5">
        <v>43499</v>
      </c>
      <c r="I641" t="s">
        <v>17</v>
      </c>
      <c r="J641" t="s">
        <v>18</v>
      </c>
      <c r="K641" cm="1">
        <f t="array" aca="1" ref="K641" ca="1">_xlfn.IFS(EmployeeData[[#This Row],[Status]]="Active",_xlfn.DAYS(TODAY(),EmployeeData[[#This Row],[Join Date]]),EmployeeData[[#This Row],[Status]]="Exited",_xlfn.DAYS(EmployeeData[[#This Row],[Exit Date]],EmployeeData[[#This Row],[Join Date]]))</f>
        <v>2698</v>
      </c>
      <c r="L641" cm="1">
        <f t="array" aca="1" ref="L641" ca="1">_xlfn.IFS(EmployeeData[[#This Row],[Status]]="Exited",DATEDIF(EmployeeData[[#This Row],[Join Date]], EmployeeData[[#This Row],[Exit Date]], "Y"),EmployeeData[[#This Row],[Status]]="Active",DATEDIF(EmployeeData[[#This Row],[Join Date]], TODAY(), "Y"))</f>
        <v>7</v>
      </c>
      <c r="Q641" t="str" cm="1">
        <f t="array" aca="1" ref="Q6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642" spans="1:17" hidden="1" x14ac:dyDescent="0.3">
      <c r="A642">
        <v>1641</v>
      </c>
      <c r="B642" t="s">
        <v>997</v>
      </c>
      <c r="C642" t="s">
        <v>20</v>
      </c>
      <c r="D642" t="s">
        <v>16</v>
      </c>
      <c r="E642">
        <v>38</v>
      </c>
      <c r="F642" t="str" cm="1">
        <f t="array" ref="F642">_xlfn.IFS(EmployeeData[[#This Row],[Age]]&lt;30,"20s",EmployeeData[[#This Row],[Age]]&lt;40,"30s",EmployeeData[[#This Row],[Age]]&lt;50,"40s",EmployeeData[[#This Row],[Age]]&lt;60,"50s",EmployeeData[[#This Row],[Age]]&gt;=60,"60s")</f>
        <v>30s</v>
      </c>
      <c r="G642" s="5">
        <v>44194</v>
      </c>
      <c r="I642" t="s">
        <v>17</v>
      </c>
      <c r="J642" t="s">
        <v>18</v>
      </c>
      <c r="K642" cm="1">
        <f t="array" aca="1" ref="K642" ca="1">_xlfn.IFS(EmployeeData[[#This Row],[Status]]="Active",_xlfn.DAYS(TODAY(),EmployeeData[[#This Row],[Join Date]]),EmployeeData[[#This Row],[Status]]="Exited",_xlfn.DAYS(EmployeeData[[#This Row],[Exit Date]],EmployeeData[[#This Row],[Join Date]]))</f>
        <v>2003</v>
      </c>
      <c r="L642" cm="1">
        <f t="array" aca="1" ref="L642" ca="1">_xlfn.IFS(EmployeeData[[#This Row],[Status]]="Exited",DATEDIF(EmployeeData[[#This Row],[Join Date]], EmployeeData[[#This Row],[Exit Date]], "Y"),EmployeeData[[#This Row],[Status]]="Active",DATEDIF(EmployeeData[[#This Row],[Join Date]], TODAY(), "Y"))</f>
        <v>5</v>
      </c>
      <c r="Q642" t="str" cm="1">
        <f t="array" aca="1" ref="Q6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26 days</v>
      </c>
    </row>
    <row r="643" spans="1:17" hidden="1" x14ac:dyDescent="0.3">
      <c r="A643">
        <v>1642</v>
      </c>
      <c r="B643" t="s">
        <v>1098</v>
      </c>
      <c r="C643" t="s">
        <v>20</v>
      </c>
      <c r="D643" t="s">
        <v>11</v>
      </c>
      <c r="E643">
        <v>58</v>
      </c>
      <c r="F643" t="str" cm="1">
        <f t="array" ref="F643">_xlfn.IFS(EmployeeData[[#This Row],[Age]]&lt;30,"20s",EmployeeData[[#This Row],[Age]]&lt;40,"30s",EmployeeData[[#This Row],[Age]]&lt;50,"40s",EmployeeData[[#This Row],[Age]]&lt;60,"50s",EmployeeData[[#This Row],[Age]]&gt;=60,"60s")</f>
        <v>50s</v>
      </c>
      <c r="G643" s="5">
        <v>43899</v>
      </c>
      <c r="I643" t="s">
        <v>17</v>
      </c>
      <c r="J643" t="s">
        <v>18</v>
      </c>
      <c r="K643" cm="1">
        <f t="array" aca="1" ref="K643" ca="1">_xlfn.IFS(EmployeeData[[#This Row],[Status]]="Active",_xlfn.DAYS(TODAY(),EmployeeData[[#This Row],[Join Date]]),EmployeeData[[#This Row],[Status]]="Exited",_xlfn.DAYS(EmployeeData[[#This Row],[Exit Date]],EmployeeData[[#This Row],[Join Date]]))</f>
        <v>2298</v>
      </c>
      <c r="L643" cm="1">
        <f t="array" aca="1" ref="L643" ca="1">_xlfn.IFS(EmployeeData[[#This Row],[Status]]="Exited",DATEDIF(EmployeeData[[#This Row],[Join Date]], EmployeeData[[#This Row],[Exit Date]], "Y"),EmployeeData[[#This Row],[Status]]="Active",DATEDIF(EmployeeData[[#This Row],[Join Date]], TODAY(), "Y"))</f>
        <v>6</v>
      </c>
      <c r="Q643" t="str" cm="1">
        <f t="array" aca="1" ref="Q6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15 days</v>
      </c>
    </row>
    <row r="644" spans="1:17" hidden="1" x14ac:dyDescent="0.3">
      <c r="A644">
        <v>1643</v>
      </c>
      <c r="B644" t="s">
        <v>747</v>
      </c>
      <c r="C644" t="s">
        <v>33</v>
      </c>
      <c r="D644" t="s">
        <v>16</v>
      </c>
      <c r="E644">
        <v>27</v>
      </c>
      <c r="F644" t="str" cm="1">
        <f t="array" ref="F644">_xlfn.IFS(EmployeeData[[#This Row],[Age]]&lt;30,"20s",EmployeeData[[#This Row],[Age]]&lt;40,"30s",EmployeeData[[#This Row],[Age]]&lt;50,"40s",EmployeeData[[#This Row],[Age]]&lt;60,"50s",EmployeeData[[#This Row],[Age]]&gt;=60,"60s")</f>
        <v>20s</v>
      </c>
      <c r="G644" s="5">
        <v>45252</v>
      </c>
      <c r="H644" s="5">
        <v>45798</v>
      </c>
      <c r="I644" t="s">
        <v>12</v>
      </c>
      <c r="J644" t="s">
        <v>13</v>
      </c>
      <c r="K644" cm="1">
        <f t="array" aca="1" ref="K644" ca="1">_xlfn.IFS(EmployeeData[[#This Row],[Status]]="Active",_xlfn.DAYS(TODAY(),EmployeeData[[#This Row],[Join Date]]),EmployeeData[[#This Row],[Status]]="Exited",_xlfn.DAYS(EmployeeData[[#This Row],[Exit Date]],EmployeeData[[#This Row],[Join Date]]))</f>
        <v>546</v>
      </c>
      <c r="L644" cm="1">
        <f t="array" aca="1" ref="L644" ca="1">_xlfn.IFS(EmployeeData[[#This Row],[Status]]="Exited",DATEDIF(EmployeeData[[#This Row],[Join Date]], EmployeeData[[#This Row],[Exit Date]], "Y"),EmployeeData[[#This Row],[Status]]="Active",DATEDIF(EmployeeData[[#This Row],[Join Date]], TODAY(), "Y"))</f>
        <v>1</v>
      </c>
      <c r="Q644" t="str" cm="1">
        <f t="array" aca="1" ref="Q6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645" spans="1:17" hidden="1" x14ac:dyDescent="0.3">
      <c r="A645">
        <v>1644</v>
      </c>
      <c r="B645" t="s">
        <v>163</v>
      </c>
      <c r="C645" t="s">
        <v>23</v>
      </c>
      <c r="D645" t="s">
        <v>16</v>
      </c>
      <c r="E645">
        <v>34</v>
      </c>
      <c r="F645" t="str" cm="1">
        <f t="array" ref="F645">_xlfn.IFS(EmployeeData[[#This Row],[Age]]&lt;30,"20s",EmployeeData[[#This Row],[Age]]&lt;40,"30s",EmployeeData[[#This Row],[Age]]&lt;50,"40s",EmployeeData[[#This Row],[Age]]&lt;60,"50s",EmployeeData[[#This Row],[Age]]&gt;=60,"60s")</f>
        <v>30s</v>
      </c>
      <c r="G645" s="5">
        <v>45556</v>
      </c>
      <c r="I645" t="s">
        <v>17</v>
      </c>
      <c r="J645" t="s">
        <v>18</v>
      </c>
      <c r="K645" cm="1">
        <f t="array" aca="1" ref="K645" ca="1">_xlfn.IFS(EmployeeData[[#This Row],[Status]]="Active",_xlfn.DAYS(TODAY(),EmployeeData[[#This Row],[Join Date]]),EmployeeData[[#This Row],[Status]]="Exited",_xlfn.DAYS(EmployeeData[[#This Row],[Exit Date]],EmployeeData[[#This Row],[Join Date]]))</f>
        <v>641</v>
      </c>
      <c r="L645" cm="1">
        <f t="array" aca="1" ref="L645" ca="1">_xlfn.IFS(EmployeeData[[#This Row],[Status]]="Exited",DATEDIF(EmployeeData[[#This Row],[Join Date]], EmployeeData[[#This Row],[Exit Date]], "Y"),EmployeeData[[#This Row],[Status]]="Active",DATEDIF(EmployeeData[[#This Row],[Join Date]], TODAY(), "Y"))</f>
        <v>1</v>
      </c>
      <c r="Q645" t="str" cm="1">
        <f t="array" aca="1" ref="Q6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3 days</v>
      </c>
    </row>
    <row r="646" spans="1:17" hidden="1" x14ac:dyDescent="0.3">
      <c r="A646">
        <v>1645</v>
      </c>
      <c r="B646" t="s">
        <v>467</v>
      </c>
      <c r="C646" t="s">
        <v>15</v>
      </c>
      <c r="D646" t="s">
        <v>24</v>
      </c>
      <c r="E646">
        <v>57</v>
      </c>
      <c r="F646" t="str" cm="1">
        <f t="array" ref="F646">_xlfn.IFS(EmployeeData[[#This Row],[Age]]&lt;30,"20s",EmployeeData[[#This Row],[Age]]&lt;40,"30s",EmployeeData[[#This Row],[Age]]&lt;50,"40s",EmployeeData[[#This Row],[Age]]&lt;60,"50s",EmployeeData[[#This Row],[Age]]&gt;=60,"60s")</f>
        <v>50s</v>
      </c>
      <c r="G646" s="5">
        <v>43857</v>
      </c>
      <c r="I646" t="s">
        <v>17</v>
      </c>
      <c r="J646" t="s">
        <v>18</v>
      </c>
      <c r="K646" cm="1">
        <f t="array" aca="1" ref="K646" ca="1">_xlfn.IFS(EmployeeData[[#This Row],[Status]]="Active",_xlfn.DAYS(TODAY(),EmployeeData[[#This Row],[Join Date]]),EmployeeData[[#This Row],[Status]]="Exited",_xlfn.DAYS(EmployeeData[[#This Row],[Exit Date]],EmployeeData[[#This Row],[Join Date]]))</f>
        <v>2340</v>
      </c>
      <c r="L646" cm="1">
        <f t="array" aca="1" ref="L646" ca="1">_xlfn.IFS(EmployeeData[[#This Row],[Status]]="Exited",DATEDIF(EmployeeData[[#This Row],[Join Date]], EmployeeData[[#This Row],[Exit Date]], "Y"),EmployeeData[[#This Row],[Status]]="Active",DATEDIF(EmployeeData[[#This Row],[Join Date]], TODAY(), "Y"))</f>
        <v>6</v>
      </c>
      <c r="Q646" t="str" cm="1">
        <f t="array" aca="1" ref="Q6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28 days</v>
      </c>
    </row>
    <row r="647" spans="1:17" hidden="1" x14ac:dyDescent="0.3">
      <c r="A647">
        <v>1646</v>
      </c>
      <c r="B647" t="s">
        <v>935</v>
      </c>
      <c r="C647" t="s">
        <v>23</v>
      </c>
      <c r="D647" t="s">
        <v>11</v>
      </c>
      <c r="E647">
        <v>38</v>
      </c>
      <c r="F647" t="str" cm="1">
        <f t="array" ref="F647">_xlfn.IFS(EmployeeData[[#This Row],[Age]]&lt;30,"20s",EmployeeData[[#This Row],[Age]]&lt;40,"30s",EmployeeData[[#This Row],[Age]]&lt;50,"40s",EmployeeData[[#This Row],[Age]]&lt;60,"50s",EmployeeData[[#This Row],[Age]]&gt;=60,"60s")</f>
        <v>30s</v>
      </c>
      <c r="G647" s="5">
        <v>44849</v>
      </c>
      <c r="I647" t="s">
        <v>17</v>
      </c>
      <c r="J647" t="s">
        <v>18</v>
      </c>
      <c r="K647" cm="1">
        <f t="array" aca="1" ref="K647" ca="1">_xlfn.IFS(EmployeeData[[#This Row],[Status]]="Active",_xlfn.DAYS(TODAY(),EmployeeData[[#This Row],[Join Date]]),EmployeeData[[#This Row],[Status]]="Exited",_xlfn.DAYS(EmployeeData[[#This Row],[Exit Date]],EmployeeData[[#This Row],[Join Date]]))</f>
        <v>1348</v>
      </c>
      <c r="L647" cm="1">
        <f t="array" aca="1" ref="L647" ca="1">_xlfn.IFS(EmployeeData[[#This Row],[Status]]="Exited",DATEDIF(EmployeeData[[#This Row],[Join Date]], EmployeeData[[#This Row],[Exit Date]], "Y"),EmployeeData[[#This Row],[Status]]="Active",DATEDIF(EmployeeData[[#This Row],[Join Date]], TODAY(), "Y"))</f>
        <v>3</v>
      </c>
      <c r="Q647" t="str" cm="1">
        <f t="array" aca="1" ref="Q6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9 days</v>
      </c>
    </row>
    <row r="648" spans="1:17" hidden="1" x14ac:dyDescent="0.3">
      <c r="A648">
        <v>1647</v>
      </c>
      <c r="B648" t="s">
        <v>172</v>
      </c>
      <c r="C648" t="s">
        <v>10</v>
      </c>
      <c r="D648" t="s">
        <v>16</v>
      </c>
      <c r="E648">
        <v>45</v>
      </c>
      <c r="F648" t="str" cm="1">
        <f t="array" ref="F648">_xlfn.IFS(EmployeeData[[#This Row],[Age]]&lt;30,"20s",EmployeeData[[#This Row],[Age]]&lt;40,"30s",EmployeeData[[#This Row],[Age]]&lt;50,"40s",EmployeeData[[#This Row],[Age]]&lt;60,"50s",EmployeeData[[#This Row],[Age]]&gt;=60,"60s")</f>
        <v>40s</v>
      </c>
      <c r="G648" s="5">
        <v>44463</v>
      </c>
      <c r="I648" t="s">
        <v>17</v>
      </c>
      <c r="J648" t="s">
        <v>18</v>
      </c>
      <c r="K648" cm="1">
        <f t="array" aca="1" ref="K648" ca="1">_xlfn.IFS(EmployeeData[[#This Row],[Status]]="Active",_xlfn.DAYS(TODAY(),EmployeeData[[#This Row],[Join Date]]),EmployeeData[[#This Row],[Status]]="Exited",_xlfn.DAYS(EmployeeData[[#This Row],[Exit Date]],EmployeeData[[#This Row],[Join Date]]))</f>
        <v>1734</v>
      </c>
      <c r="L648" cm="1">
        <f t="array" aca="1" ref="L648" ca="1">_xlfn.IFS(EmployeeData[[#This Row],[Status]]="Exited",DATEDIF(EmployeeData[[#This Row],[Join Date]], EmployeeData[[#This Row],[Exit Date]], "Y"),EmployeeData[[#This Row],[Status]]="Active",DATEDIF(EmployeeData[[#This Row],[Join Date]], TODAY(), "Y"))</f>
        <v>4</v>
      </c>
      <c r="Q648" t="str" cm="1">
        <f t="array" aca="1" ref="Q6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0 days</v>
      </c>
    </row>
    <row r="649" spans="1:17" hidden="1" x14ac:dyDescent="0.3">
      <c r="A649">
        <v>1648</v>
      </c>
      <c r="B649" t="s">
        <v>269</v>
      </c>
      <c r="C649" t="s">
        <v>23</v>
      </c>
      <c r="D649" t="s">
        <v>11</v>
      </c>
      <c r="E649">
        <v>46</v>
      </c>
      <c r="F649" t="str" cm="1">
        <f t="array" ref="F649">_xlfn.IFS(EmployeeData[[#This Row],[Age]]&lt;30,"20s",EmployeeData[[#This Row],[Age]]&lt;40,"30s",EmployeeData[[#This Row],[Age]]&lt;50,"40s",EmployeeData[[#This Row],[Age]]&lt;60,"50s",EmployeeData[[#This Row],[Age]]&gt;=60,"60s")</f>
        <v>40s</v>
      </c>
      <c r="G649" s="5">
        <v>43831</v>
      </c>
      <c r="I649" t="s">
        <v>17</v>
      </c>
      <c r="J649" t="s">
        <v>18</v>
      </c>
      <c r="K649" cm="1">
        <f t="array" aca="1" ref="K649" ca="1">_xlfn.IFS(EmployeeData[[#This Row],[Status]]="Active",_xlfn.DAYS(TODAY(),EmployeeData[[#This Row],[Join Date]]),EmployeeData[[#This Row],[Status]]="Exited",_xlfn.DAYS(EmployeeData[[#This Row],[Exit Date]],EmployeeData[[#This Row],[Join Date]]))</f>
        <v>2366</v>
      </c>
      <c r="L649" cm="1">
        <f t="array" aca="1" ref="L649" ca="1">_xlfn.IFS(EmployeeData[[#This Row],[Status]]="Exited",DATEDIF(EmployeeData[[#This Row],[Join Date]], EmployeeData[[#This Row],[Exit Date]], "Y"),EmployeeData[[#This Row],[Status]]="Active",DATEDIF(EmployeeData[[#This Row],[Join Date]], TODAY(), "Y"))</f>
        <v>6</v>
      </c>
      <c r="Q649" t="str" cm="1">
        <f t="array" aca="1" ref="Q6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23 days</v>
      </c>
    </row>
    <row r="650" spans="1:17" hidden="1" x14ac:dyDescent="0.3">
      <c r="A650">
        <v>1649</v>
      </c>
      <c r="B650" t="s">
        <v>55</v>
      </c>
      <c r="C650" t="s">
        <v>15</v>
      </c>
      <c r="D650" t="s">
        <v>24</v>
      </c>
      <c r="E650">
        <v>49</v>
      </c>
      <c r="F650" t="str" cm="1">
        <f t="array" ref="F650">_xlfn.IFS(EmployeeData[[#This Row],[Age]]&lt;30,"20s",EmployeeData[[#This Row],[Age]]&lt;40,"30s",EmployeeData[[#This Row],[Age]]&lt;50,"40s",EmployeeData[[#This Row],[Age]]&lt;60,"50s",EmployeeData[[#This Row],[Age]]&gt;=60,"60s")</f>
        <v>40s</v>
      </c>
      <c r="G650" s="5">
        <v>44161</v>
      </c>
      <c r="H650" s="5">
        <v>44400</v>
      </c>
      <c r="I650" t="s">
        <v>31</v>
      </c>
      <c r="J650" t="s">
        <v>13</v>
      </c>
      <c r="K650" cm="1">
        <f t="array" aca="1" ref="K650" ca="1">_xlfn.IFS(EmployeeData[[#This Row],[Status]]="Active",_xlfn.DAYS(TODAY(),EmployeeData[[#This Row],[Join Date]]),EmployeeData[[#This Row],[Status]]="Exited",_xlfn.DAYS(EmployeeData[[#This Row],[Exit Date]],EmployeeData[[#This Row],[Join Date]]))</f>
        <v>239</v>
      </c>
      <c r="L650" cm="1">
        <f t="array" aca="1" ref="L650" ca="1">_xlfn.IFS(EmployeeData[[#This Row],[Status]]="Exited",DATEDIF(EmployeeData[[#This Row],[Join Date]], EmployeeData[[#This Row],[Exit Date]], "Y"),EmployeeData[[#This Row],[Status]]="Active",DATEDIF(EmployeeData[[#This Row],[Join Date]], TODAY(), "Y"))</f>
        <v>0</v>
      </c>
      <c r="Q650" t="str" cm="1">
        <f t="array" aca="1" ref="Q6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651" spans="1:17" hidden="1" x14ac:dyDescent="0.3">
      <c r="A651">
        <v>1650</v>
      </c>
      <c r="B651" t="s">
        <v>352</v>
      </c>
      <c r="C651" t="s">
        <v>15</v>
      </c>
      <c r="D651" t="s">
        <v>24</v>
      </c>
      <c r="E651">
        <v>23</v>
      </c>
      <c r="F651" t="str" cm="1">
        <f t="array" ref="F651">_xlfn.IFS(EmployeeData[[#This Row],[Age]]&lt;30,"20s",EmployeeData[[#This Row],[Age]]&lt;40,"30s",EmployeeData[[#This Row],[Age]]&lt;50,"40s",EmployeeData[[#This Row],[Age]]&lt;60,"50s",EmployeeData[[#This Row],[Age]]&gt;=60,"60s")</f>
        <v>20s</v>
      </c>
      <c r="G651" s="5">
        <v>45823</v>
      </c>
      <c r="I651" t="s">
        <v>17</v>
      </c>
      <c r="J651" t="s">
        <v>18</v>
      </c>
      <c r="K651" cm="1">
        <f t="array" aca="1" ref="K651" ca="1">_xlfn.IFS(EmployeeData[[#This Row],[Status]]="Active",_xlfn.DAYS(TODAY(),EmployeeData[[#This Row],[Join Date]]),EmployeeData[[#This Row],[Status]]="Exited",_xlfn.DAYS(EmployeeData[[#This Row],[Exit Date]],EmployeeData[[#This Row],[Join Date]]))</f>
        <v>374</v>
      </c>
      <c r="L651" cm="1">
        <f t="array" aca="1" ref="L651" ca="1">_xlfn.IFS(EmployeeData[[#This Row],[Status]]="Exited",DATEDIF(EmployeeData[[#This Row],[Join Date]], EmployeeData[[#This Row],[Exit Date]], "Y"),EmployeeData[[#This Row],[Status]]="Active",DATEDIF(EmployeeData[[#This Row],[Join Date]], TODAY(), "Y"))</f>
        <v>1</v>
      </c>
      <c r="Q651" t="str" cm="1">
        <f t="array" aca="1" ref="Q6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9 days</v>
      </c>
    </row>
    <row r="652" spans="1:17" hidden="1" x14ac:dyDescent="0.3">
      <c r="A652">
        <v>1651</v>
      </c>
      <c r="B652" t="s">
        <v>1017</v>
      </c>
      <c r="C652" t="s">
        <v>23</v>
      </c>
      <c r="D652" t="s">
        <v>24</v>
      </c>
      <c r="E652">
        <v>52</v>
      </c>
      <c r="F652" t="str" cm="1">
        <f t="array" ref="F652">_xlfn.IFS(EmployeeData[[#This Row],[Age]]&lt;30,"20s",EmployeeData[[#This Row],[Age]]&lt;40,"30s",EmployeeData[[#This Row],[Age]]&lt;50,"40s",EmployeeData[[#This Row],[Age]]&lt;60,"50s",EmployeeData[[#This Row],[Age]]&gt;=60,"60s")</f>
        <v>50s</v>
      </c>
      <c r="G652" s="5">
        <v>45059</v>
      </c>
      <c r="I652" t="s">
        <v>17</v>
      </c>
      <c r="J652" t="s">
        <v>18</v>
      </c>
      <c r="K652" cm="1">
        <f t="array" aca="1" ref="K652" ca="1">_xlfn.IFS(EmployeeData[[#This Row],[Status]]="Active",_xlfn.DAYS(TODAY(),EmployeeData[[#This Row],[Join Date]]),EmployeeData[[#This Row],[Status]]="Exited",_xlfn.DAYS(EmployeeData[[#This Row],[Exit Date]],EmployeeData[[#This Row],[Join Date]]))</f>
        <v>1138</v>
      </c>
      <c r="L652" cm="1">
        <f t="array" aca="1" ref="L652" ca="1">_xlfn.IFS(EmployeeData[[#This Row],[Status]]="Exited",DATEDIF(EmployeeData[[#This Row],[Join Date]], EmployeeData[[#This Row],[Exit Date]], "Y"),EmployeeData[[#This Row],[Status]]="Active",DATEDIF(EmployeeData[[#This Row],[Join Date]], TODAY(), "Y"))</f>
        <v>3</v>
      </c>
      <c r="Q652" t="str" cm="1">
        <f t="array" aca="1" ref="Q6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11 days</v>
      </c>
    </row>
    <row r="653" spans="1:17" hidden="1" x14ac:dyDescent="0.3">
      <c r="A653">
        <v>1652</v>
      </c>
      <c r="B653" t="s">
        <v>723</v>
      </c>
      <c r="C653" t="s">
        <v>46</v>
      </c>
      <c r="D653" t="s">
        <v>11</v>
      </c>
      <c r="E653">
        <v>51</v>
      </c>
      <c r="F653" t="str" cm="1">
        <f t="array" ref="F653">_xlfn.IFS(EmployeeData[[#This Row],[Age]]&lt;30,"20s",EmployeeData[[#This Row],[Age]]&lt;40,"30s",EmployeeData[[#This Row],[Age]]&lt;50,"40s",EmployeeData[[#This Row],[Age]]&lt;60,"50s",EmployeeData[[#This Row],[Age]]&gt;=60,"60s")</f>
        <v>50s</v>
      </c>
      <c r="G653" s="5">
        <v>43597</v>
      </c>
      <c r="I653" t="s">
        <v>17</v>
      </c>
      <c r="J653" t="s">
        <v>18</v>
      </c>
      <c r="K653" cm="1">
        <f t="array" aca="1" ref="K653" ca="1">_xlfn.IFS(EmployeeData[[#This Row],[Status]]="Active",_xlfn.DAYS(TODAY(),EmployeeData[[#This Row],[Join Date]]),EmployeeData[[#This Row],[Status]]="Exited",_xlfn.DAYS(EmployeeData[[#This Row],[Exit Date]],EmployeeData[[#This Row],[Join Date]]))</f>
        <v>2600</v>
      </c>
      <c r="L653" cm="1">
        <f t="array" aca="1" ref="L653" ca="1">_xlfn.IFS(EmployeeData[[#This Row],[Status]]="Exited",DATEDIF(EmployeeData[[#This Row],[Join Date]], EmployeeData[[#This Row],[Exit Date]], "Y"),EmployeeData[[#This Row],[Status]]="Active",DATEDIF(EmployeeData[[#This Row],[Join Date]], TODAY(), "Y"))</f>
        <v>7</v>
      </c>
      <c r="Q653" t="str" cm="1">
        <f t="array" aca="1" ref="Q6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12 days</v>
      </c>
    </row>
    <row r="654" spans="1:17" hidden="1" x14ac:dyDescent="0.3">
      <c r="A654">
        <v>1653</v>
      </c>
      <c r="B654" t="s">
        <v>1089</v>
      </c>
      <c r="C654" t="s">
        <v>10</v>
      </c>
      <c r="D654" t="s">
        <v>24</v>
      </c>
      <c r="E654">
        <v>26</v>
      </c>
      <c r="F654" t="str" cm="1">
        <f t="array" ref="F654">_xlfn.IFS(EmployeeData[[#This Row],[Age]]&lt;30,"20s",EmployeeData[[#This Row],[Age]]&lt;40,"30s",EmployeeData[[#This Row],[Age]]&lt;50,"40s",EmployeeData[[#This Row],[Age]]&lt;60,"50s",EmployeeData[[#This Row],[Age]]&gt;=60,"60s")</f>
        <v>20s</v>
      </c>
      <c r="G654" s="5">
        <v>44597</v>
      </c>
      <c r="I654" t="s">
        <v>17</v>
      </c>
      <c r="J654" t="s">
        <v>18</v>
      </c>
      <c r="K654" cm="1">
        <f t="array" aca="1" ref="K654" ca="1">_xlfn.IFS(EmployeeData[[#This Row],[Status]]="Active",_xlfn.DAYS(TODAY(),EmployeeData[[#This Row],[Join Date]]),EmployeeData[[#This Row],[Status]]="Exited",_xlfn.DAYS(EmployeeData[[#This Row],[Exit Date]],EmployeeData[[#This Row],[Join Date]]))</f>
        <v>1600</v>
      </c>
      <c r="L654" cm="1">
        <f t="array" aca="1" ref="L654" ca="1">_xlfn.IFS(EmployeeData[[#This Row],[Status]]="Exited",DATEDIF(EmployeeData[[#This Row],[Join Date]], EmployeeData[[#This Row],[Exit Date]], "Y"),EmployeeData[[#This Row],[Status]]="Active",DATEDIF(EmployeeData[[#This Row],[Join Date]], TODAY(), "Y"))</f>
        <v>4</v>
      </c>
      <c r="Q654" t="str" cm="1">
        <f t="array" aca="1" ref="Q6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19 days</v>
      </c>
    </row>
    <row r="655" spans="1:17" hidden="1" x14ac:dyDescent="0.3">
      <c r="A655">
        <v>1654</v>
      </c>
      <c r="B655" t="s">
        <v>296</v>
      </c>
      <c r="C655" t="s">
        <v>20</v>
      </c>
      <c r="D655" t="s">
        <v>16</v>
      </c>
      <c r="E655">
        <v>33</v>
      </c>
      <c r="F655" t="str" cm="1">
        <f t="array" ref="F655">_xlfn.IFS(EmployeeData[[#This Row],[Age]]&lt;30,"20s",EmployeeData[[#This Row],[Age]]&lt;40,"30s",EmployeeData[[#This Row],[Age]]&lt;50,"40s",EmployeeData[[#This Row],[Age]]&lt;60,"50s",EmployeeData[[#This Row],[Age]]&gt;=60,"60s")</f>
        <v>30s</v>
      </c>
      <c r="G655" s="5">
        <v>43824</v>
      </c>
      <c r="I655" t="s">
        <v>17</v>
      </c>
      <c r="J655" t="s">
        <v>18</v>
      </c>
      <c r="K655" cm="1">
        <f t="array" aca="1" ref="K655" ca="1">_xlfn.IFS(EmployeeData[[#This Row],[Status]]="Active",_xlfn.DAYS(TODAY(),EmployeeData[[#This Row],[Join Date]]),EmployeeData[[#This Row],[Status]]="Exited",_xlfn.DAYS(EmployeeData[[#This Row],[Exit Date]],EmployeeData[[#This Row],[Join Date]]))</f>
        <v>2373</v>
      </c>
      <c r="L655" cm="1">
        <f t="array" aca="1" ref="L655" ca="1">_xlfn.IFS(EmployeeData[[#This Row],[Status]]="Exited",DATEDIF(EmployeeData[[#This Row],[Join Date]], EmployeeData[[#This Row],[Exit Date]], "Y"),EmployeeData[[#This Row],[Status]]="Active",DATEDIF(EmployeeData[[#This Row],[Join Date]], TODAY(), "Y"))</f>
        <v>6</v>
      </c>
      <c r="Q655" t="str" cm="1">
        <f t="array" aca="1" ref="Q6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30 days</v>
      </c>
    </row>
    <row r="656" spans="1:17" hidden="1" x14ac:dyDescent="0.3">
      <c r="A656">
        <v>1655</v>
      </c>
      <c r="B656" t="s">
        <v>568</v>
      </c>
      <c r="C656" t="s">
        <v>33</v>
      </c>
      <c r="D656" t="s">
        <v>24</v>
      </c>
      <c r="E656">
        <v>43</v>
      </c>
      <c r="F656" t="str" cm="1">
        <f t="array" ref="F656">_xlfn.IFS(EmployeeData[[#This Row],[Age]]&lt;30,"20s",EmployeeData[[#This Row],[Age]]&lt;40,"30s",EmployeeData[[#This Row],[Age]]&lt;50,"40s",EmployeeData[[#This Row],[Age]]&lt;60,"50s",EmployeeData[[#This Row],[Age]]&gt;=60,"60s")</f>
        <v>40s</v>
      </c>
      <c r="G656" s="5">
        <v>45093</v>
      </c>
      <c r="H656" s="5">
        <v>45830</v>
      </c>
      <c r="I656" t="s">
        <v>12</v>
      </c>
      <c r="J656" t="s">
        <v>13</v>
      </c>
      <c r="K656" cm="1">
        <f t="array" aca="1" ref="K656" ca="1">_xlfn.IFS(EmployeeData[[#This Row],[Status]]="Active",_xlfn.DAYS(TODAY(),EmployeeData[[#This Row],[Join Date]]),EmployeeData[[#This Row],[Status]]="Exited",_xlfn.DAYS(EmployeeData[[#This Row],[Exit Date]],EmployeeData[[#This Row],[Join Date]]))</f>
        <v>737</v>
      </c>
      <c r="L656" cm="1">
        <f t="array" aca="1" ref="L656" ca="1">_xlfn.IFS(EmployeeData[[#This Row],[Status]]="Exited",DATEDIF(EmployeeData[[#This Row],[Join Date]], EmployeeData[[#This Row],[Exit Date]], "Y"),EmployeeData[[#This Row],[Status]]="Active",DATEDIF(EmployeeData[[#This Row],[Join Date]], TODAY(), "Y"))</f>
        <v>2</v>
      </c>
      <c r="Q656" t="str" cm="1">
        <f t="array" aca="1" ref="Q6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657" spans="1:17" hidden="1" x14ac:dyDescent="0.3">
      <c r="A657">
        <v>1656</v>
      </c>
      <c r="B657" t="s">
        <v>371</v>
      </c>
      <c r="C657" t="s">
        <v>20</v>
      </c>
      <c r="D657" t="s">
        <v>24</v>
      </c>
      <c r="E657">
        <v>52</v>
      </c>
      <c r="F657" t="str" cm="1">
        <f t="array" ref="F657">_xlfn.IFS(EmployeeData[[#This Row],[Age]]&lt;30,"20s",EmployeeData[[#This Row],[Age]]&lt;40,"30s",EmployeeData[[#This Row],[Age]]&lt;50,"40s",EmployeeData[[#This Row],[Age]]&lt;60,"50s",EmployeeData[[#This Row],[Age]]&gt;=60,"60s")</f>
        <v>50s</v>
      </c>
      <c r="G657" s="5">
        <v>44693</v>
      </c>
      <c r="H657" s="5">
        <v>45890</v>
      </c>
      <c r="I657" t="s">
        <v>28</v>
      </c>
      <c r="J657" t="s">
        <v>13</v>
      </c>
      <c r="K657" cm="1">
        <f t="array" aca="1" ref="K657" ca="1">_xlfn.IFS(EmployeeData[[#This Row],[Status]]="Active",_xlfn.DAYS(TODAY(),EmployeeData[[#This Row],[Join Date]]),EmployeeData[[#This Row],[Status]]="Exited",_xlfn.DAYS(EmployeeData[[#This Row],[Exit Date]],EmployeeData[[#This Row],[Join Date]]))</f>
        <v>1197</v>
      </c>
      <c r="L657" cm="1">
        <f t="array" aca="1" ref="L657" ca="1">_xlfn.IFS(EmployeeData[[#This Row],[Status]]="Exited",DATEDIF(EmployeeData[[#This Row],[Join Date]], EmployeeData[[#This Row],[Exit Date]], "Y"),EmployeeData[[#This Row],[Status]]="Active",DATEDIF(EmployeeData[[#This Row],[Join Date]], TODAY(), "Y"))</f>
        <v>3</v>
      </c>
      <c r="Q657" t="str" cm="1">
        <f t="array" aca="1" ref="Q6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658" spans="1:17" x14ac:dyDescent="0.3">
      <c r="A658">
        <v>1657</v>
      </c>
      <c r="B658" t="s">
        <v>594</v>
      </c>
      <c r="C658" t="s">
        <v>33</v>
      </c>
      <c r="D658" t="s">
        <v>11</v>
      </c>
      <c r="E658">
        <v>22</v>
      </c>
      <c r="F658" t="str" cm="1">
        <f t="array" ref="F658">_xlfn.IFS(EmployeeData[[#This Row],[Age]]&lt;30,"20s",EmployeeData[[#This Row],[Age]]&lt;40,"30s",EmployeeData[[#This Row],[Age]]&lt;50,"40s",EmployeeData[[#This Row],[Age]]&lt;60,"50s",EmployeeData[[#This Row],[Age]]&gt;=60,"60s")</f>
        <v>20s</v>
      </c>
      <c r="G658" s="5">
        <v>43252</v>
      </c>
      <c r="H658" s="5">
        <v>44725</v>
      </c>
      <c r="I658" t="s">
        <v>52</v>
      </c>
      <c r="J658" t="s">
        <v>13</v>
      </c>
      <c r="K658" cm="1">
        <f t="array" aca="1" ref="K658" ca="1">_xlfn.IFS(EmployeeData[[#This Row],[Status]]="Active",_xlfn.DAYS(TODAY(),EmployeeData[[#This Row],[Join Date]]),EmployeeData[[#This Row],[Status]]="Exited",_xlfn.DAYS(EmployeeData[[#This Row],[Exit Date]],EmployeeData[[#This Row],[Join Date]]))</f>
        <v>1473</v>
      </c>
      <c r="L658" cm="1">
        <f t="array" aca="1" ref="L658" ca="1">_xlfn.IFS(EmployeeData[[#This Row],[Status]]="Exited",DATEDIF(EmployeeData[[#This Row],[Join Date]], EmployeeData[[#This Row],[Exit Date]], "Y"),EmployeeData[[#This Row],[Status]]="Active",DATEDIF(EmployeeData[[#This Row],[Join Date]], TODAY(), "Y"))</f>
        <v>4</v>
      </c>
      <c r="Q658" t="str" cm="1">
        <f t="array" aca="1" ref="Q6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12 days</v>
      </c>
    </row>
    <row r="659" spans="1:17" hidden="1" x14ac:dyDescent="0.3">
      <c r="A659">
        <v>1658</v>
      </c>
      <c r="B659" t="s">
        <v>549</v>
      </c>
      <c r="C659" t="s">
        <v>46</v>
      </c>
      <c r="D659" t="s">
        <v>11</v>
      </c>
      <c r="E659">
        <v>55</v>
      </c>
      <c r="F659" t="str" cm="1">
        <f t="array" ref="F659">_xlfn.IFS(EmployeeData[[#This Row],[Age]]&lt;30,"20s",EmployeeData[[#This Row],[Age]]&lt;40,"30s",EmployeeData[[#This Row],[Age]]&lt;50,"40s",EmployeeData[[#This Row],[Age]]&lt;60,"50s",EmployeeData[[#This Row],[Age]]&gt;=60,"60s")</f>
        <v>50s</v>
      </c>
      <c r="G659" s="5">
        <v>43711</v>
      </c>
      <c r="I659" t="s">
        <v>17</v>
      </c>
      <c r="J659" t="s">
        <v>18</v>
      </c>
      <c r="K659" cm="1">
        <f t="array" aca="1" ref="K659" ca="1">_xlfn.IFS(EmployeeData[[#This Row],[Status]]="Active",_xlfn.DAYS(TODAY(),EmployeeData[[#This Row],[Join Date]]),EmployeeData[[#This Row],[Status]]="Exited",_xlfn.DAYS(EmployeeData[[#This Row],[Exit Date]],EmployeeData[[#This Row],[Join Date]]))</f>
        <v>2486</v>
      </c>
      <c r="L659" cm="1">
        <f t="array" aca="1" ref="L659" ca="1">_xlfn.IFS(EmployeeData[[#This Row],[Status]]="Exited",DATEDIF(EmployeeData[[#This Row],[Join Date]], EmployeeData[[#This Row],[Exit Date]], "Y"),EmployeeData[[#This Row],[Status]]="Active",DATEDIF(EmployeeData[[#This Row],[Join Date]], TODAY(), "Y"))</f>
        <v>6</v>
      </c>
      <c r="Q659" t="str" cm="1">
        <f t="array" aca="1" ref="Q6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21 days</v>
      </c>
    </row>
    <row r="660" spans="1:17" hidden="1" x14ac:dyDescent="0.3">
      <c r="A660">
        <v>1659</v>
      </c>
      <c r="B660" t="s">
        <v>1056</v>
      </c>
      <c r="C660" t="s">
        <v>23</v>
      </c>
      <c r="D660" t="s">
        <v>16</v>
      </c>
      <c r="E660">
        <v>23</v>
      </c>
      <c r="F660" t="str" cm="1">
        <f t="array" ref="F660">_xlfn.IFS(EmployeeData[[#This Row],[Age]]&lt;30,"20s",EmployeeData[[#This Row],[Age]]&lt;40,"30s",EmployeeData[[#This Row],[Age]]&lt;50,"40s",EmployeeData[[#This Row],[Age]]&lt;60,"50s",EmployeeData[[#This Row],[Age]]&gt;=60,"60s")</f>
        <v>20s</v>
      </c>
      <c r="G660" s="5">
        <v>44095</v>
      </c>
      <c r="I660" t="s">
        <v>17</v>
      </c>
      <c r="J660" t="s">
        <v>18</v>
      </c>
      <c r="K660" cm="1">
        <f t="array" aca="1" ref="K660" ca="1">_xlfn.IFS(EmployeeData[[#This Row],[Status]]="Active",_xlfn.DAYS(TODAY(),EmployeeData[[#This Row],[Join Date]]),EmployeeData[[#This Row],[Status]]="Exited",_xlfn.DAYS(EmployeeData[[#This Row],[Exit Date]],EmployeeData[[#This Row],[Join Date]]))</f>
        <v>2102</v>
      </c>
      <c r="L660" cm="1">
        <f t="array" aca="1" ref="L660" ca="1">_xlfn.IFS(EmployeeData[[#This Row],[Status]]="Exited",DATEDIF(EmployeeData[[#This Row],[Join Date]], EmployeeData[[#This Row],[Exit Date]], "Y"),EmployeeData[[#This Row],[Status]]="Active",DATEDIF(EmployeeData[[#This Row],[Join Date]], TODAY(), "Y"))</f>
        <v>5</v>
      </c>
      <c r="Q660" t="str" cm="1">
        <f t="array" aca="1" ref="Q6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661" spans="1:17" hidden="1" x14ac:dyDescent="0.3">
      <c r="A661">
        <v>1660</v>
      </c>
      <c r="B661" t="s">
        <v>45</v>
      </c>
      <c r="C661" t="s">
        <v>46</v>
      </c>
      <c r="D661" t="s">
        <v>11</v>
      </c>
      <c r="E661">
        <v>27</v>
      </c>
      <c r="F661" t="str" cm="1">
        <f t="array" ref="F661">_xlfn.IFS(EmployeeData[[#This Row],[Age]]&lt;30,"20s",EmployeeData[[#This Row],[Age]]&lt;40,"30s",EmployeeData[[#This Row],[Age]]&lt;50,"40s",EmployeeData[[#This Row],[Age]]&lt;60,"50s",EmployeeData[[#This Row],[Age]]&gt;=60,"60s")</f>
        <v>20s</v>
      </c>
      <c r="G661" s="5">
        <v>44969</v>
      </c>
      <c r="I661" t="s">
        <v>17</v>
      </c>
      <c r="J661" t="s">
        <v>18</v>
      </c>
      <c r="K661" cm="1">
        <f t="array" aca="1" ref="K661" ca="1">_xlfn.IFS(EmployeeData[[#This Row],[Status]]="Active",_xlfn.DAYS(TODAY(),EmployeeData[[#This Row],[Join Date]]),EmployeeData[[#This Row],[Status]]="Exited",_xlfn.DAYS(EmployeeData[[#This Row],[Exit Date]],EmployeeData[[#This Row],[Join Date]]))</f>
        <v>1228</v>
      </c>
      <c r="L661" cm="1">
        <f t="array" aca="1" ref="L661" ca="1">_xlfn.IFS(EmployeeData[[#This Row],[Status]]="Exited",DATEDIF(EmployeeData[[#This Row],[Join Date]], EmployeeData[[#This Row],[Exit Date]], "Y"),EmployeeData[[#This Row],[Status]]="Active",DATEDIF(EmployeeData[[#This Row],[Join Date]], TODAY(), "Y"))</f>
        <v>3</v>
      </c>
      <c r="Q661" t="str" cm="1">
        <f t="array" aca="1" ref="Q6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12 days</v>
      </c>
    </row>
    <row r="662" spans="1:17" x14ac:dyDescent="0.3">
      <c r="A662">
        <v>1661</v>
      </c>
      <c r="B662" t="s">
        <v>167</v>
      </c>
      <c r="C662" t="s">
        <v>15</v>
      </c>
      <c r="D662" t="s">
        <v>24</v>
      </c>
      <c r="E662">
        <v>35</v>
      </c>
      <c r="F662" t="str" cm="1">
        <f t="array" ref="F662">_xlfn.IFS(EmployeeData[[#This Row],[Age]]&lt;30,"20s",EmployeeData[[#This Row],[Age]]&lt;40,"30s",EmployeeData[[#This Row],[Age]]&lt;50,"40s",EmployeeData[[#This Row],[Age]]&lt;60,"50s",EmployeeData[[#This Row],[Age]]&gt;=60,"60s")</f>
        <v>30s</v>
      </c>
      <c r="G662" s="5">
        <v>43359</v>
      </c>
      <c r="I662" t="s">
        <v>17</v>
      </c>
      <c r="J662" t="s">
        <v>18</v>
      </c>
      <c r="K662" cm="1">
        <f t="array" aca="1" ref="K662" ca="1">_xlfn.IFS(EmployeeData[[#This Row],[Status]]="Active",_xlfn.DAYS(TODAY(),EmployeeData[[#This Row],[Join Date]]),EmployeeData[[#This Row],[Status]]="Exited",_xlfn.DAYS(EmployeeData[[#This Row],[Exit Date]],EmployeeData[[#This Row],[Join Date]]))</f>
        <v>2838</v>
      </c>
      <c r="L662" cm="1">
        <f t="array" aca="1" ref="L662" ca="1">_xlfn.IFS(EmployeeData[[#This Row],[Status]]="Exited",DATEDIF(EmployeeData[[#This Row],[Join Date]], EmployeeData[[#This Row],[Exit Date]], "Y"),EmployeeData[[#This Row],[Status]]="Active",DATEDIF(EmployeeData[[#This Row],[Join Date]], TODAY(), "Y"))</f>
        <v>7</v>
      </c>
      <c r="Q662" t="str" cm="1">
        <f t="array" aca="1" ref="Q6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8 days</v>
      </c>
    </row>
    <row r="663" spans="1:17" hidden="1" x14ac:dyDescent="0.3">
      <c r="A663">
        <v>1662</v>
      </c>
      <c r="B663" t="s">
        <v>856</v>
      </c>
      <c r="C663" t="s">
        <v>46</v>
      </c>
      <c r="D663" t="s">
        <v>24</v>
      </c>
      <c r="E663">
        <v>41</v>
      </c>
      <c r="F663" t="str" cm="1">
        <f t="array" ref="F663">_xlfn.IFS(EmployeeData[[#This Row],[Age]]&lt;30,"20s",EmployeeData[[#This Row],[Age]]&lt;40,"30s",EmployeeData[[#This Row],[Age]]&lt;50,"40s",EmployeeData[[#This Row],[Age]]&lt;60,"50s",EmployeeData[[#This Row],[Age]]&gt;=60,"60s")</f>
        <v>40s</v>
      </c>
      <c r="G663" s="5">
        <v>43595</v>
      </c>
      <c r="I663" t="s">
        <v>17</v>
      </c>
      <c r="J663" t="s">
        <v>18</v>
      </c>
      <c r="K663" cm="1">
        <f t="array" aca="1" ref="K663" ca="1">_xlfn.IFS(EmployeeData[[#This Row],[Status]]="Active",_xlfn.DAYS(TODAY(),EmployeeData[[#This Row],[Join Date]]),EmployeeData[[#This Row],[Status]]="Exited",_xlfn.DAYS(EmployeeData[[#This Row],[Exit Date]],EmployeeData[[#This Row],[Join Date]]))</f>
        <v>2602</v>
      </c>
      <c r="L663" cm="1">
        <f t="array" aca="1" ref="L663" ca="1">_xlfn.IFS(EmployeeData[[#This Row],[Status]]="Exited",DATEDIF(EmployeeData[[#This Row],[Join Date]], EmployeeData[[#This Row],[Exit Date]], "Y"),EmployeeData[[#This Row],[Status]]="Active",DATEDIF(EmployeeData[[#This Row],[Join Date]], TODAY(), "Y"))</f>
        <v>7</v>
      </c>
      <c r="Q663" t="str" cm="1">
        <f t="array" aca="1" ref="Q6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14 days</v>
      </c>
    </row>
    <row r="664" spans="1:17" x14ac:dyDescent="0.3">
      <c r="A664">
        <v>1663</v>
      </c>
      <c r="B664" t="s">
        <v>398</v>
      </c>
      <c r="C664" t="s">
        <v>20</v>
      </c>
      <c r="D664" t="s">
        <v>24</v>
      </c>
      <c r="E664">
        <v>42</v>
      </c>
      <c r="F664" t="str" cm="1">
        <f t="array" ref="F664">_xlfn.IFS(EmployeeData[[#This Row],[Age]]&lt;30,"20s",EmployeeData[[#This Row],[Age]]&lt;40,"30s",EmployeeData[[#This Row],[Age]]&lt;50,"40s",EmployeeData[[#This Row],[Age]]&lt;60,"50s",EmployeeData[[#This Row],[Age]]&gt;=60,"60s")</f>
        <v>40s</v>
      </c>
      <c r="G664" s="5">
        <v>43359</v>
      </c>
      <c r="H664" s="5">
        <v>44027</v>
      </c>
      <c r="I664" t="s">
        <v>34</v>
      </c>
      <c r="J664" t="s">
        <v>13</v>
      </c>
      <c r="K664" cm="1">
        <f t="array" aca="1" ref="K664" ca="1">_xlfn.IFS(EmployeeData[[#This Row],[Status]]="Active",_xlfn.DAYS(TODAY(),EmployeeData[[#This Row],[Join Date]]),EmployeeData[[#This Row],[Status]]="Exited",_xlfn.DAYS(EmployeeData[[#This Row],[Exit Date]],EmployeeData[[#This Row],[Join Date]]))</f>
        <v>668</v>
      </c>
      <c r="L664" cm="1">
        <f t="array" aca="1" ref="L664" ca="1">_xlfn.IFS(EmployeeData[[#This Row],[Status]]="Exited",DATEDIF(EmployeeData[[#This Row],[Join Date]], EmployeeData[[#This Row],[Exit Date]], "Y"),EmployeeData[[#This Row],[Status]]="Active",DATEDIF(EmployeeData[[#This Row],[Join Date]], TODAY(), "Y"))</f>
        <v>1</v>
      </c>
      <c r="Q664" t="str" cm="1">
        <f t="array" aca="1" ref="Q6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665" spans="1:17" hidden="1" x14ac:dyDescent="0.3">
      <c r="A665">
        <v>1664</v>
      </c>
      <c r="B665" t="s">
        <v>1062</v>
      </c>
      <c r="C665" t="s">
        <v>10</v>
      </c>
      <c r="D665" t="s">
        <v>11</v>
      </c>
      <c r="E665">
        <v>23</v>
      </c>
      <c r="F665" t="str" cm="1">
        <f t="array" ref="F665">_xlfn.IFS(EmployeeData[[#This Row],[Age]]&lt;30,"20s",EmployeeData[[#This Row],[Age]]&lt;40,"30s",EmployeeData[[#This Row],[Age]]&lt;50,"40s",EmployeeData[[#This Row],[Age]]&lt;60,"50s",EmployeeData[[#This Row],[Age]]&gt;=60,"60s")</f>
        <v>20s</v>
      </c>
      <c r="G665" s="5">
        <v>43647</v>
      </c>
      <c r="H665" s="5">
        <v>45277</v>
      </c>
      <c r="I665" t="s">
        <v>34</v>
      </c>
      <c r="J665" t="s">
        <v>13</v>
      </c>
      <c r="K665" cm="1">
        <f t="array" aca="1" ref="K665" ca="1">_xlfn.IFS(EmployeeData[[#This Row],[Status]]="Active",_xlfn.DAYS(TODAY(),EmployeeData[[#This Row],[Join Date]]),EmployeeData[[#This Row],[Status]]="Exited",_xlfn.DAYS(EmployeeData[[#This Row],[Exit Date]],EmployeeData[[#This Row],[Join Date]]))</f>
        <v>1630</v>
      </c>
      <c r="L665" cm="1">
        <f t="array" aca="1" ref="L665" ca="1">_xlfn.IFS(EmployeeData[[#This Row],[Status]]="Exited",DATEDIF(EmployeeData[[#This Row],[Join Date]], EmployeeData[[#This Row],[Exit Date]], "Y"),EmployeeData[[#This Row],[Status]]="Active",DATEDIF(EmployeeData[[#This Row],[Join Date]], TODAY(), "Y"))</f>
        <v>4</v>
      </c>
      <c r="Q665" t="str" cm="1">
        <f t="array" aca="1" ref="Q6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16 days</v>
      </c>
    </row>
    <row r="666" spans="1:17" hidden="1" x14ac:dyDescent="0.3">
      <c r="A666">
        <v>1665</v>
      </c>
      <c r="B666" t="s">
        <v>489</v>
      </c>
      <c r="C666" t="s">
        <v>15</v>
      </c>
      <c r="D666" t="s">
        <v>16</v>
      </c>
      <c r="E666">
        <v>58</v>
      </c>
      <c r="F666" t="str" cm="1">
        <f t="array" ref="F666">_xlfn.IFS(EmployeeData[[#This Row],[Age]]&lt;30,"20s",EmployeeData[[#This Row],[Age]]&lt;40,"30s",EmployeeData[[#This Row],[Age]]&lt;50,"40s",EmployeeData[[#This Row],[Age]]&lt;60,"50s",EmployeeData[[#This Row],[Age]]&gt;=60,"60s")</f>
        <v>50s</v>
      </c>
      <c r="G666" s="5">
        <v>44263</v>
      </c>
      <c r="I666" t="s">
        <v>17</v>
      </c>
      <c r="J666" t="s">
        <v>18</v>
      </c>
      <c r="K666" cm="1">
        <f t="array" aca="1" ref="K666" ca="1">_xlfn.IFS(EmployeeData[[#This Row],[Status]]="Active",_xlfn.DAYS(TODAY(),EmployeeData[[#This Row],[Join Date]]),EmployeeData[[#This Row],[Status]]="Exited",_xlfn.DAYS(EmployeeData[[#This Row],[Exit Date]],EmployeeData[[#This Row],[Join Date]]))</f>
        <v>1934</v>
      </c>
      <c r="L666" cm="1">
        <f t="array" aca="1" ref="L666" ca="1">_xlfn.IFS(EmployeeData[[#This Row],[Status]]="Exited",DATEDIF(EmployeeData[[#This Row],[Join Date]], EmployeeData[[#This Row],[Exit Date]], "Y"),EmployeeData[[#This Row],[Status]]="Active",DATEDIF(EmployeeData[[#This Row],[Join Date]], TODAY(), "Y"))</f>
        <v>5</v>
      </c>
      <c r="Q666" t="str" cm="1">
        <f t="array" aca="1" ref="Q6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16 days</v>
      </c>
    </row>
    <row r="667" spans="1:17" hidden="1" x14ac:dyDescent="0.3">
      <c r="A667">
        <v>1666</v>
      </c>
      <c r="B667" t="s">
        <v>960</v>
      </c>
      <c r="C667" t="s">
        <v>23</v>
      </c>
      <c r="D667" t="s">
        <v>24</v>
      </c>
      <c r="E667">
        <v>47</v>
      </c>
      <c r="F667" t="str" cm="1">
        <f t="array" ref="F667">_xlfn.IFS(EmployeeData[[#This Row],[Age]]&lt;30,"20s",EmployeeData[[#This Row],[Age]]&lt;40,"30s",EmployeeData[[#This Row],[Age]]&lt;50,"40s",EmployeeData[[#This Row],[Age]]&lt;60,"50s",EmployeeData[[#This Row],[Age]]&gt;=60,"60s")</f>
        <v>40s</v>
      </c>
      <c r="G667" s="5">
        <v>44080</v>
      </c>
      <c r="I667" t="s">
        <v>17</v>
      </c>
      <c r="J667" t="s">
        <v>18</v>
      </c>
      <c r="K667" cm="1">
        <f t="array" aca="1" ref="K667" ca="1">_xlfn.IFS(EmployeeData[[#This Row],[Status]]="Active",_xlfn.DAYS(TODAY(),EmployeeData[[#This Row],[Join Date]]),EmployeeData[[#This Row],[Status]]="Exited",_xlfn.DAYS(EmployeeData[[#This Row],[Exit Date]],EmployeeData[[#This Row],[Join Date]]))</f>
        <v>2117</v>
      </c>
      <c r="L667" cm="1">
        <f t="array" aca="1" ref="L667" ca="1">_xlfn.IFS(EmployeeData[[#This Row],[Status]]="Exited",DATEDIF(EmployeeData[[#This Row],[Join Date]], EmployeeData[[#This Row],[Exit Date]], "Y"),EmployeeData[[#This Row],[Status]]="Active",DATEDIF(EmployeeData[[#This Row],[Join Date]], TODAY(), "Y"))</f>
        <v>5</v>
      </c>
      <c r="Q667" t="str" cm="1">
        <f t="array" aca="1" ref="Q6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18 days</v>
      </c>
    </row>
    <row r="668" spans="1:17" hidden="1" x14ac:dyDescent="0.3">
      <c r="A668">
        <v>1667</v>
      </c>
      <c r="B668" t="s">
        <v>484</v>
      </c>
      <c r="C668" t="s">
        <v>23</v>
      </c>
      <c r="D668" t="s">
        <v>16</v>
      </c>
      <c r="E668">
        <v>40</v>
      </c>
      <c r="F668" t="str" cm="1">
        <f t="array" ref="F668">_xlfn.IFS(EmployeeData[[#This Row],[Age]]&lt;30,"20s",EmployeeData[[#This Row],[Age]]&lt;40,"30s",EmployeeData[[#This Row],[Age]]&lt;50,"40s",EmployeeData[[#This Row],[Age]]&lt;60,"50s",EmployeeData[[#This Row],[Age]]&gt;=60,"60s")</f>
        <v>40s</v>
      </c>
      <c r="G668" s="5">
        <v>44525</v>
      </c>
      <c r="I668" t="s">
        <v>17</v>
      </c>
      <c r="J668" t="s">
        <v>18</v>
      </c>
      <c r="K668" cm="1">
        <f t="array" aca="1" ref="K668" ca="1">_xlfn.IFS(EmployeeData[[#This Row],[Status]]="Active",_xlfn.DAYS(TODAY(),EmployeeData[[#This Row],[Join Date]]),EmployeeData[[#This Row],[Status]]="Exited",_xlfn.DAYS(EmployeeData[[#This Row],[Exit Date]],EmployeeData[[#This Row],[Join Date]]))</f>
        <v>1672</v>
      </c>
      <c r="L668" cm="1">
        <f t="array" aca="1" ref="L668" ca="1">_xlfn.IFS(EmployeeData[[#This Row],[Status]]="Exited",DATEDIF(EmployeeData[[#This Row],[Join Date]], EmployeeData[[#This Row],[Exit Date]], "Y"),EmployeeData[[#This Row],[Status]]="Active",DATEDIF(EmployeeData[[#This Row],[Join Date]], TODAY(), "Y"))</f>
        <v>4</v>
      </c>
      <c r="Q668" t="str" cm="1">
        <f t="array" aca="1" ref="Q6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30 days</v>
      </c>
    </row>
    <row r="669" spans="1:17" hidden="1" x14ac:dyDescent="0.3">
      <c r="A669">
        <v>1668</v>
      </c>
      <c r="B669" t="s">
        <v>363</v>
      </c>
      <c r="C669" t="s">
        <v>23</v>
      </c>
      <c r="D669" t="s">
        <v>11</v>
      </c>
      <c r="E669">
        <v>55</v>
      </c>
      <c r="F669" t="str" cm="1">
        <f t="array" ref="F669">_xlfn.IFS(EmployeeData[[#This Row],[Age]]&lt;30,"20s",EmployeeData[[#This Row],[Age]]&lt;40,"30s",EmployeeData[[#This Row],[Age]]&lt;50,"40s",EmployeeData[[#This Row],[Age]]&lt;60,"50s",EmployeeData[[#This Row],[Age]]&gt;=60,"60s")</f>
        <v>50s</v>
      </c>
      <c r="G669" s="5">
        <v>45179</v>
      </c>
      <c r="H669" s="5">
        <v>46057</v>
      </c>
      <c r="I669" t="s">
        <v>28</v>
      </c>
      <c r="J669" t="s">
        <v>13</v>
      </c>
      <c r="K669" cm="1">
        <f t="array" aca="1" ref="K669" ca="1">_xlfn.IFS(EmployeeData[[#This Row],[Status]]="Active",_xlfn.DAYS(TODAY(),EmployeeData[[#This Row],[Join Date]]),EmployeeData[[#This Row],[Status]]="Exited",_xlfn.DAYS(EmployeeData[[#This Row],[Exit Date]],EmployeeData[[#This Row],[Join Date]]))</f>
        <v>878</v>
      </c>
      <c r="L669" cm="1">
        <f t="array" aca="1" ref="L669" ca="1">_xlfn.IFS(EmployeeData[[#This Row],[Status]]="Exited",DATEDIF(EmployeeData[[#This Row],[Join Date]], EmployeeData[[#This Row],[Exit Date]], "Y"),EmployeeData[[#This Row],[Status]]="Active",DATEDIF(EmployeeData[[#This Row],[Join Date]], TODAY(), "Y"))</f>
        <v>2</v>
      </c>
      <c r="Q669" t="str" cm="1">
        <f t="array" aca="1" ref="Q6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670" spans="1:17" hidden="1" x14ac:dyDescent="0.3">
      <c r="A670">
        <v>1669</v>
      </c>
      <c r="B670" t="s">
        <v>619</v>
      </c>
      <c r="C670" t="s">
        <v>33</v>
      </c>
      <c r="D670" t="s">
        <v>11</v>
      </c>
      <c r="E670">
        <v>51</v>
      </c>
      <c r="F670" t="str" cm="1">
        <f t="array" ref="F670">_xlfn.IFS(EmployeeData[[#This Row],[Age]]&lt;30,"20s",EmployeeData[[#This Row],[Age]]&lt;40,"30s",EmployeeData[[#This Row],[Age]]&lt;50,"40s",EmployeeData[[#This Row],[Age]]&lt;60,"50s",EmployeeData[[#This Row],[Age]]&gt;=60,"60s")</f>
        <v>50s</v>
      </c>
      <c r="G670" s="5">
        <v>45138</v>
      </c>
      <c r="H670" s="5">
        <v>45914</v>
      </c>
      <c r="I670" t="s">
        <v>21</v>
      </c>
      <c r="J670" t="s">
        <v>13</v>
      </c>
      <c r="K670" cm="1">
        <f t="array" aca="1" ref="K670" ca="1">_xlfn.IFS(EmployeeData[[#This Row],[Status]]="Active",_xlfn.DAYS(TODAY(),EmployeeData[[#This Row],[Join Date]]),EmployeeData[[#This Row],[Status]]="Exited",_xlfn.DAYS(EmployeeData[[#This Row],[Exit Date]],EmployeeData[[#This Row],[Join Date]]))</f>
        <v>776</v>
      </c>
      <c r="L670" cm="1">
        <f t="array" aca="1" ref="L670" ca="1">_xlfn.IFS(EmployeeData[[#This Row],[Status]]="Exited",DATEDIF(EmployeeData[[#This Row],[Join Date]], EmployeeData[[#This Row],[Exit Date]], "Y"),EmployeeData[[#This Row],[Status]]="Active",DATEDIF(EmployeeData[[#This Row],[Join Date]], TODAY(), "Y"))</f>
        <v>2</v>
      </c>
      <c r="Q670" t="str" cm="1">
        <f t="array" aca="1" ref="Q6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71" spans="1:17" x14ac:dyDescent="0.3">
      <c r="A671">
        <v>1670</v>
      </c>
      <c r="B671" t="s">
        <v>120</v>
      </c>
      <c r="C671" t="s">
        <v>10</v>
      </c>
      <c r="D671" t="s">
        <v>24</v>
      </c>
      <c r="E671">
        <v>50</v>
      </c>
      <c r="F671" t="str" cm="1">
        <f t="array" ref="F671">_xlfn.IFS(EmployeeData[[#This Row],[Age]]&lt;30,"20s",EmployeeData[[#This Row],[Age]]&lt;40,"30s",EmployeeData[[#This Row],[Age]]&lt;50,"40s",EmployeeData[[#This Row],[Age]]&lt;60,"50s",EmployeeData[[#This Row],[Age]]&gt;=60,"60s")</f>
        <v>50s</v>
      </c>
      <c r="G671" s="5">
        <v>43278</v>
      </c>
      <c r="H671" s="5">
        <v>43582</v>
      </c>
      <c r="I671" t="s">
        <v>21</v>
      </c>
      <c r="J671" t="s">
        <v>13</v>
      </c>
      <c r="K671" cm="1">
        <f t="array" aca="1" ref="K671" ca="1">_xlfn.IFS(EmployeeData[[#This Row],[Status]]="Active",_xlfn.DAYS(TODAY(),EmployeeData[[#This Row],[Join Date]]),EmployeeData[[#This Row],[Status]]="Exited",_xlfn.DAYS(EmployeeData[[#This Row],[Exit Date]],EmployeeData[[#This Row],[Join Date]]))</f>
        <v>304</v>
      </c>
      <c r="L671" cm="1">
        <f t="array" aca="1" ref="L671" ca="1">_xlfn.IFS(EmployeeData[[#This Row],[Status]]="Exited",DATEDIF(EmployeeData[[#This Row],[Join Date]], EmployeeData[[#This Row],[Exit Date]], "Y"),EmployeeData[[#This Row],[Status]]="Active",DATEDIF(EmployeeData[[#This Row],[Join Date]], TODAY(), "Y"))</f>
        <v>0</v>
      </c>
      <c r="Q671" t="str" cm="1">
        <f t="array" aca="1" ref="Q6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672" spans="1:17" hidden="1" x14ac:dyDescent="0.3">
      <c r="A672">
        <v>1671</v>
      </c>
      <c r="B672" t="s">
        <v>114</v>
      </c>
      <c r="C672" t="s">
        <v>23</v>
      </c>
      <c r="D672" t="s">
        <v>16</v>
      </c>
      <c r="E672">
        <v>36</v>
      </c>
      <c r="F672" t="str" cm="1">
        <f t="array" ref="F672">_xlfn.IFS(EmployeeData[[#This Row],[Age]]&lt;30,"20s",EmployeeData[[#This Row],[Age]]&lt;40,"30s",EmployeeData[[#This Row],[Age]]&lt;50,"40s",EmployeeData[[#This Row],[Age]]&lt;60,"50s",EmployeeData[[#This Row],[Age]]&gt;=60,"60s")</f>
        <v>30s</v>
      </c>
      <c r="G672" s="5">
        <v>44922</v>
      </c>
      <c r="I672" t="s">
        <v>17</v>
      </c>
      <c r="J672" t="s">
        <v>18</v>
      </c>
      <c r="K672" cm="1">
        <f t="array" aca="1" ref="K672" ca="1">_xlfn.IFS(EmployeeData[[#This Row],[Status]]="Active",_xlfn.DAYS(TODAY(),EmployeeData[[#This Row],[Join Date]]),EmployeeData[[#This Row],[Status]]="Exited",_xlfn.DAYS(EmployeeData[[#This Row],[Exit Date]],EmployeeData[[#This Row],[Join Date]]))</f>
        <v>1275</v>
      </c>
      <c r="L672" cm="1">
        <f t="array" aca="1" ref="L672" ca="1">_xlfn.IFS(EmployeeData[[#This Row],[Status]]="Exited",DATEDIF(EmployeeData[[#This Row],[Join Date]], EmployeeData[[#This Row],[Exit Date]], "Y"),EmployeeData[[#This Row],[Status]]="Active",DATEDIF(EmployeeData[[#This Row],[Join Date]], TODAY(), "Y"))</f>
        <v>3</v>
      </c>
      <c r="Q672" t="str" cm="1">
        <f t="array" aca="1" ref="Q6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28 days</v>
      </c>
    </row>
    <row r="673" spans="1:17" hidden="1" x14ac:dyDescent="0.3">
      <c r="A673">
        <v>1672</v>
      </c>
      <c r="B673" t="s">
        <v>370</v>
      </c>
      <c r="C673" t="s">
        <v>15</v>
      </c>
      <c r="D673" t="s">
        <v>16</v>
      </c>
      <c r="E673">
        <v>35</v>
      </c>
      <c r="F673" t="str" cm="1">
        <f t="array" ref="F673">_xlfn.IFS(EmployeeData[[#This Row],[Age]]&lt;30,"20s",EmployeeData[[#This Row],[Age]]&lt;40,"30s",EmployeeData[[#This Row],[Age]]&lt;50,"40s",EmployeeData[[#This Row],[Age]]&lt;60,"50s",EmployeeData[[#This Row],[Age]]&gt;=60,"60s")</f>
        <v>30s</v>
      </c>
      <c r="G673" s="5">
        <v>43502</v>
      </c>
      <c r="H673" s="5">
        <v>45281</v>
      </c>
      <c r="I673" t="s">
        <v>52</v>
      </c>
      <c r="J673" t="s">
        <v>13</v>
      </c>
      <c r="K673" cm="1">
        <f t="array" aca="1" ref="K673" ca="1">_xlfn.IFS(EmployeeData[[#This Row],[Status]]="Active",_xlfn.DAYS(TODAY(),EmployeeData[[#This Row],[Join Date]]),EmployeeData[[#This Row],[Status]]="Exited",_xlfn.DAYS(EmployeeData[[#This Row],[Exit Date]],EmployeeData[[#This Row],[Join Date]]))</f>
        <v>1779</v>
      </c>
      <c r="L673" cm="1">
        <f t="array" aca="1" ref="L673" ca="1">_xlfn.IFS(EmployeeData[[#This Row],[Status]]="Exited",DATEDIF(EmployeeData[[#This Row],[Join Date]], EmployeeData[[#This Row],[Exit Date]], "Y"),EmployeeData[[#This Row],[Status]]="Active",DATEDIF(EmployeeData[[#This Row],[Join Date]], TODAY(), "Y"))</f>
        <v>4</v>
      </c>
      <c r="Q673" t="str" cm="1">
        <f t="array" aca="1" ref="Q6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674" spans="1:17" hidden="1" x14ac:dyDescent="0.3">
      <c r="A674">
        <v>1673</v>
      </c>
      <c r="B674" t="s">
        <v>846</v>
      </c>
      <c r="C674" t="s">
        <v>15</v>
      </c>
      <c r="D674" t="s">
        <v>24</v>
      </c>
      <c r="E674">
        <v>34</v>
      </c>
      <c r="F674" t="str" cm="1">
        <f t="array" ref="F674">_xlfn.IFS(EmployeeData[[#This Row],[Age]]&lt;30,"20s",EmployeeData[[#This Row],[Age]]&lt;40,"30s",EmployeeData[[#This Row],[Age]]&lt;50,"40s",EmployeeData[[#This Row],[Age]]&lt;60,"50s",EmployeeData[[#This Row],[Age]]&gt;=60,"60s")</f>
        <v>30s</v>
      </c>
      <c r="G674" s="5">
        <v>45597</v>
      </c>
      <c r="I674" t="s">
        <v>17</v>
      </c>
      <c r="J674" t="s">
        <v>18</v>
      </c>
      <c r="K674" cm="1">
        <f t="array" aca="1" ref="K674" ca="1">_xlfn.IFS(EmployeeData[[#This Row],[Status]]="Active",_xlfn.DAYS(TODAY(),EmployeeData[[#This Row],[Join Date]]),EmployeeData[[#This Row],[Status]]="Exited",_xlfn.DAYS(EmployeeData[[#This Row],[Exit Date]],EmployeeData[[#This Row],[Join Date]]))</f>
        <v>600</v>
      </c>
      <c r="L674" cm="1">
        <f t="array" aca="1" ref="L674" ca="1">_xlfn.IFS(EmployeeData[[#This Row],[Status]]="Exited",DATEDIF(EmployeeData[[#This Row],[Join Date]], EmployeeData[[#This Row],[Exit Date]], "Y"),EmployeeData[[#This Row],[Status]]="Active",DATEDIF(EmployeeData[[#This Row],[Join Date]], TODAY(), "Y"))</f>
        <v>1</v>
      </c>
      <c r="Q674" t="str" cm="1">
        <f t="array" aca="1" ref="Q6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23 days</v>
      </c>
    </row>
    <row r="675" spans="1:17" hidden="1" x14ac:dyDescent="0.3">
      <c r="A675">
        <v>1674</v>
      </c>
      <c r="B675" t="s">
        <v>314</v>
      </c>
      <c r="C675" t="s">
        <v>23</v>
      </c>
      <c r="D675" t="s">
        <v>11</v>
      </c>
      <c r="E675">
        <v>33</v>
      </c>
      <c r="F675" t="str" cm="1">
        <f t="array" ref="F675">_xlfn.IFS(EmployeeData[[#This Row],[Age]]&lt;30,"20s",EmployeeData[[#This Row],[Age]]&lt;40,"30s",EmployeeData[[#This Row],[Age]]&lt;50,"40s",EmployeeData[[#This Row],[Age]]&lt;60,"50s",EmployeeData[[#This Row],[Age]]&gt;=60,"60s")</f>
        <v>30s</v>
      </c>
      <c r="G675" s="5">
        <v>44476</v>
      </c>
      <c r="H675" s="5">
        <v>45983</v>
      </c>
      <c r="I675" t="s">
        <v>65</v>
      </c>
      <c r="J675" t="s">
        <v>13</v>
      </c>
      <c r="K675" cm="1">
        <f t="array" aca="1" ref="K675" ca="1">_xlfn.IFS(EmployeeData[[#This Row],[Status]]="Active",_xlfn.DAYS(TODAY(),EmployeeData[[#This Row],[Join Date]]),EmployeeData[[#This Row],[Status]]="Exited",_xlfn.DAYS(EmployeeData[[#This Row],[Exit Date]],EmployeeData[[#This Row],[Join Date]]))</f>
        <v>1507</v>
      </c>
      <c r="L675" cm="1">
        <f t="array" aca="1" ref="L675" ca="1">_xlfn.IFS(EmployeeData[[#This Row],[Status]]="Exited",DATEDIF(EmployeeData[[#This Row],[Join Date]], EmployeeData[[#This Row],[Exit Date]], "Y"),EmployeeData[[#This Row],[Status]]="Active",DATEDIF(EmployeeData[[#This Row],[Join Date]], TODAY(), "Y"))</f>
        <v>4</v>
      </c>
      <c r="Q675" t="str" cm="1">
        <f t="array" aca="1" ref="Q6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15 days</v>
      </c>
    </row>
    <row r="676" spans="1:17" hidden="1" x14ac:dyDescent="0.3">
      <c r="A676">
        <v>1675</v>
      </c>
      <c r="B676" t="s">
        <v>357</v>
      </c>
      <c r="C676" t="s">
        <v>10</v>
      </c>
      <c r="D676" t="s">
        <v>16</v>
      </c>
      <c r="E676">
        <v>42</v>
      </c>
      <c r="F676" t="str" cm="1">
        <f t="array" ref="F676">_xlfn.IFS(EmployeeData[[#This Row],[Age]]&lt;30,"20s",EmployeeData[[#This Row],[Age]]&lt;40,"30s",EmployeeData[[#This Row],[Age]]&lt;50,"40s",EmployeeData[[#This Row],[Age]]&lt;60,"50s",EmployeeData[[#This Row],[Age]]&gt;=60,"60s")</f>
        <v>40s</v>
      </c>
      <c r="G676" s="5">
        <v>44001</v>
      </c>
      <c r="I676" t="s">
        <v>17</v>
      </c>
      <c r="J676" t="s">
        <v>18</v>
      </c>
      <c r="K676" cm="1">
        <f t="array" aca="1" ref="K676" ca="1">_xlfn.IFS(EmployeeData[[#This Row],[Status]]="Active",_xlfn.DAYS(TODAY(),EmployeeData[[#This Row],[Join Date]]),EmployeeData[[#This Row],[Status]]="Exited",_xlfn.DAYS(EmployeeData[[#This Row],[Exit Date]],EmployeeData[[#This Row],[Join Date]]))</f>
        <v>2196</v>
      </c>
      <c r="L676" cm="1">
        <f t="array" aca="1" ref="L676" ca="1">_xlfn.IFS(EmployeeData[[#This Row],[Status]]="Exited",DATEDIF(EmployeeData[[#This Row],[Join Date]], EmployeeData[[#This Row],[Exit Date]], "Y"),EmployeeData[[#This Row],[Status]]="Active",DATEDIF(EmployeeData[[#This Row],[Join Date]], TODAY(), "Y"))</f>
        <v>6</v>
      </c>
      <c r="Q676" t="str" cm="1">
        <f t="array" aca="1" ref="Q6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5 days</v>
      </c>
    </row>
    <row r="677" spans="1:17" hidden="1" x14ac:dyDescent="0.3">
      <c r="A677">
        <v>1676</v>
      </c>
      <c r="B677" t="s">
        <v>295</v>
      </c>
      <c r="C677" t="s">
        <v>46</v>
      </c>
      <c r="D677" t="s">
        <v>24</v>
      </c>
      <c r="E677">
        <v>56</v>
      </c>
      <c r="F677" t="str" cm="1">
        <f t="array" ref="F677">_xlfn.IFS(EmployeeData[[#This Row],[Age]]&lt;30,"20s",EmployeeData[[#This Row],[Age]]&lt;40,"30s",EmployeeData[[#This Row],[Age]]&lt;50,"40s",EmployeeData[[#This Row],[Age]]&lt;60,"50s",EmployeeData[[#This Row],[Age]]&gt;=60,"60s")</f>
        <v>50s</v>
      </c>
      <c r="G677" s="5">
        <v>44041</v>
      </c>
      <c r="H677" s="5">
        <v>46134</v>
      </c>
      <c r="I677" t="s">
        <v>52</v>
      </c>
      <c r="J677" t="s">
        <v>13</v>
      </c>
      <c r="K677" cm="1">
        <f t="array" aca="1" ref="K677" ca="1">_xlfn.IFS(EmployeeData[[#This Row],[Status]]="Active",_xlfn.DAYS(TODAY(),EmployeeData[[#This Row],[Join Date]]),EmployeeData[[#This Row],[Status]]="Exited",_xlfn.DAYS(EmployeeData[[#This Row],[Exit Date]],EmployeeData[[#This Row],[Join Date]]))</f>
        <v>2093</v>
      </c>
      <c r="L677" cm="1">
        <f t="array" aca="1" ref="L677" ca="1">_xlfn.IFS(EmployeeData[[#This Row],[Status]]="Exited",DATEDIF(EmployeeData[[#This Row],[Join Date]], EmployeeData[[#This Row],[Exit Date]], "Y"),EmployeeData[[#This Row],[Status]]="Active",DATEDIF(EmployeeData[[#This Row],[Join Date]], TODAY(), "Y"))</f>
        <v>5</v>
      </c>
      <c r="Q677" t="str" cm="1">
        <f t="array" aca="1" ref="Q6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24 days</v>
      </c>
    </row>
    <row r="678" spans="1:17" hidden="1" x14ac:dyDescent="0.3">
      <c r="A678">
        <v>1677</v>
      </c>
      <c r="B678" t="s">
        <v>162</v>
      </c>
      <c r="C678" t="s">
        <v>10</v>
      </c>
      <c r="D678" t="s">
        <v>11</v>
      </c>
      <c r="E678">
        <v>54</v>
      </c>
      <c r="F678" t="str" cm="1">
        <f t="array" ref="F678">_xlfn.IFS(EmployeeData[[#This Row],[Age]]&lt;30,"20s",EmployeeData[[#This Row],[Age]]&lt;40,"30s",EmployeeData[[#This Row],[Age]]&lt;50,"40s",EmployeeData[[#This Row],[Age]]&lt;60,"50s",EmployeeData[[#This Row],[Age]]&gt;=60,"60s")</f>
        <v>50s</v>
      </c>
      <c r="G678" s="5">
        <v>44116</v>
      </c>
      <c r="H678" s="5">
        <v>45392</v>
      </c>
      <c r="I678" t="s">
        <v>26</v>
      </c>
      <c r="J678" t="s">
        <v>13</v>
      </c>
      <c r="K678" cm="1">
        <f t="array" aca="1" ref="K678" ca="1">_xlfn.IFS(EmployeeData[[#This Row],[Status]]="Active",_xlfn.DAYS(TODAY(),EmployeeData[[#This Row],[Join Date]]),EmployeeData[[#This Row],[Status]]="Exited",_xlfn.DAYS(EmployeeData[[#This Row],[Exit Date]],EmployeeData[[#This Row],[Join Date]]))</f>
        <v>1276</v>
      </c>
      <c r="L678" cm="1">
        <f t="array" aca="1" ref="L678" ca="1">_xlfn.IFS(EmployeeData[[#This Row],[Status]]="Exited",DATEDIF(EmployeeData[[#This Row],[Join Date]], EmployeeData[[#This Row],[Exit Date]], "Y"),EmployeeData[[#This Row],[Status]]="Active",DATEDIF(EmployeeData[[#This Row],[Join Date]], TODAY(), "Y"))</f>
        <v>3</v>
      </c>
      <c r="Q678" t="str" cm="1">
        <f t="array" aca="1" ref="Q6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29 days</v>
      </c>
    </row>
    <row r="679" spans="1:17" x14ac:dyDescent="0.3">
      <c r="A679">
        <v>1678</v>
      </c>
      <c r="B679" t="s">
        <v>499</v>
      </c>
      <c r="C679" t="s">
        <v>15</v>
      </c>
      <c r="D679" t="s">
        <v>24</v>
      </c>
      <c r="E679">
        <v>53</v>
      </c>
      <c r="F679" t="str" cm="1">
        <f t="array" ref="F679">_xlfn.IFS(EmployeeData[[#This Row],[Age]]&lt;30,"20s",EmployeeData[[#This Row],[Age]]&lt;40,"30s",EmployeeData[[#This Row],[Age]]&lt;50,"40s",EmployeeData[[#This Row],[Age]]&lt;60,"50s",EmployeeData[[#This Row],[Age]]&gt;=60,"60s")</f>
        <v>50s</v>
      </c>
      <c r="G679" s="5">
        <v>43238</v>
      </c>
      <c r="I679" t="s">
        <v>17</v>
      </c>
      <c r="J679" t="s">
        <v>18</v>
      </c>
      <c r="K679" cm="1">
        <f t="array" aca="1" ref="K679" ca="1">_xlfn.IFS(EmployeeData[[#This Row],[Status]]="Active",_xlfn.DAYS(TODAY(),EmployeeData[[#This Row],[Join Date]]),EmployeeData[[#This Row],[Status]]="Exited",_xlfn.DAYS(EmployeeData[[#This Row],[Exit Date]],EmployeeData[[#This Row],[Join Date]]))</f>
        <v>2959</v>
      </c>
      <c r="L679" cm="1">
        <f t="array" aca="1" ref="L679" ca="1">_xlfn.IFS(EmployeeData[[#This Row],[Status]]="Exited",DATEDIF(EmployeeData[[#This Row],[Join Date]], EmployeeData[[#This Row],[Exit Date]], "Y"),EmployeeData[[#This Row],[Status]]="Active",DATEDIF(EmployeeData[[#This Row],[Join Date]], TODAY(), "Y"))</f>
        <v>8</v>
      </c>
      <c r="Q679" t="str" cm="1">
        <f t="array" aca="1" ref="Q6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6 days</v>
      </c>
    </row>
    <row r="680" spans="1:17" hidden="1" x14ac:dyDescent="0.3">
      <c r="A680">
        <v>1679</v>
      </c>
      <c r="B680" t="s">
        <v>565</v>
      </c>
      <c r="C680" t="s">
        <v>20</v>
      </c>
      <c r="D680" t="s">
        <v>16</v>
      </c>
      <c r="E680">
        <v>52</v>
      </c>
      <c r="F680" t="str" cm="1">
        <f t="array" ref="F680">_xlfn.IFS(EmployeeData[[#This Row],[Age]]&lt;30,"20s",EmployeeData[[#This Row],[Age]]&lt;40,"30s",EmployeeData[[#This Row],[Age]]&lt;50,"40s",EmployeeData[[#This Row],[Age]]&lt;60,"50s",EmployeeData[[#This Row],[Age]]&gt;=60,"60s")</f>
        <v>50s</v>
      </c>
      <c r="G680" s="5">
        <v>44086</v>
      </c>
      <c r="H680" s="5">
        <v>45718</v>
      </c>
      <c r="I680" t="s">
        <v>31</v>
      </c>
      <c r="J680" t="s">
        <v>13</v>
      </c>
      <c r="K680" cm="1">
        <f t="array" aca="1" ref="K680" ca="1">_xlfn.IFS(EmployeeData[[#This Row],[Status]]="Active",_xlfn.DAYS(TODAY(),EmployeeData[[#This Row],[Join Date]]),EmployeeData[[#This Row],[Status]]="Exited",_xlfn.DAYS(EmployeeData[[#This Row],[Exit Date]],EmployeeData[[#This Row],[Join Date]]))</f>
        <v>1632</v>
      </c>
      <c r="L680" cm="1">
        <f t="array" aca="1" ref="L680" ca="1">_xlfn.IFS(EmployeeData[[#This Row],[Status]]="Exited",DATEDIF(EmployeeData[[#This Row],[Join Date]], EmployeeData[[#This Row],[Exit Date]], "Y"),EmployeeData[[#This Row],[Status]]="Active",DATEDIF(EmployeeData[[#This Row],[Join Date]], TODAY(), "Y"))</f>
        <v>4</v>
      </c>
      <c r="Q680" t="str" cm="1">
        <f t="array" aca="1" ref="Q6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18 days</v>
      </c>
    </row>
    <row r="681" spans="1:17" hidden="1" x14ac:dyDescent="0.3">
      <c r="A681">
        <v>1680</v>
      </c>
      <c r="B681" t="s">
        <v>151</v>
      </c>
      <c r="C681" t="s">
        <v>15</v>
      </c>
      <c r="D681" t="s">
        <v>11</v>
      </c>
      <c r="E681">
        <v>22</v>
      </c>
      <c r="F681" t="str" cm="1">
        <f t="array" ref="F681">_xlfn.IFS(EmployeeData[[#This Row],[Age]]&lt;30,"20s",EmployeeData[[#This Row],[Age]]&lt;40,"30s",EmployeeData[[#This Row],[Age]]&lt;50,"40s",EmployeeData[[#This Row],[Age]]&lt;60,"50s",EmployeeData[[#This Row],[Age]]&gt;=60,"60s")</f>
        <v>20s</v>
      </c>
      <c r="G681" s="5">
        <v>45066</v>
      </c>
      <c r="I681" t="s">
        <v>17</v>
      </c>
      <c r="J681" t="s">
        <v>18</v>
      </c>
      <c r="K681" cm="1">
        <f t="array" aca="1" ref="K681" ca="1">_xlfn.IFS(EmployeeData[[#This Row],[Status]]="Active",_xlfn.DAYS(TODAY(),EmployeeData[[#This Row],[Join Date]]),EmployeeData[[#This Row],[Status]]="Exited",_xlfn.DAYS(EmployeeData[[#This Row],[Exit Date]],EmployeeData[[#This Row],[Join Date]]))</f>
        <v>1131</v>
      </c>
      <c r="L681" cm="1">
        <f t="array" aca="1" ref="L681" ca="1">_xlfn.IFS(EmployeeData[[#This Row],[Status]]="Exited",DATEDIF(EmployeeData[[#This Row],[Join Date]], EmployeeData[[#This Row],[Exit Date]], "Y"),EmployeeData[[#This Row],[Status]]="Active",DATEDIF(EmployeeData[[#This Row],[Join Date]], TODAY(), "Y"))</f>
        <v>3</v>
      </c>
      <c r="Q681" t="str" cm="1">
        <f t="array" aca="1" ref="Q6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4 days</v>
      </c>
    </row>
    <row r="682" spans="1:17" hidden="1" x14ac:dyDescent="0.3">
      <c r="A682">
        <v>1681</v>
      </c>
      <c r="B682" t="s">
        <v>259</v>
      </c>
      <c r="C682" t="s">
        <v>46</v>
      </c>
      <c r="D682" t="s">
        <v>24</v>
      </c>
      <c r="E682">
        <v>29</v>
      </c>
      <c r="F682" t="str" cm="1">
        <f t="array" ref="F682">_xlfn.IFS(EmployeeData[[#This Row],[Age]]&lt;30,"20s",EmployeeData[[#This Row],[Age]]&lt;40,"30s",EmployeeData[[#This Row],[Age]]&lt;50,"40s",EmployeeData[[#This Row],[Age]]&lt;60,"50s",EmployeeData[[#This Row],[Age]]&gt;=60,"60s")</f>
        <v>20s</v>
      </c>
      <c r="G682" s="5">
        <v>45981</v>
      </c>
      <c r="I682" t="s">
        <v>17</v>
      </c>
      <c r="J682" t="s">
        <v>18</v>
      </c>
      <c r="K682" cm="1">
        <f t="array" aca="1" ref="K682" ca="1">_xlfn.IFS(EmployeeData[[#This Row],[Status]]="Active",_xlfn.DAYS(TODAY(),EmployeeData[[#This Row],[Join Date]]),EmployeeData[[#This Row],[Status]]="Exited",_xlfn.DAYS(EmployeeData[[#This Row],[Exit Date]],EmployeeData[[#This Row],[Join Date]]))</f>
        <v>216</v>
      </c>
      <c r="L682" cm="1">
        <f t="array" aca="1" ref="L682" ca="1">_xlfn.IFS(EmployeeData[[#This Row],[Status]]="Exited",DATEDIF(EmployeeData[[#This Row],[Join Date]], EmployeeData[[#This Row],[Exit Date]], "Y"),EmployeeData[[#This Row],[Status]]="Active",DATEDIF(EmployeeData[[#This Row],[Join Date]], TODAY(), "Y"))</f>
        <v>0</v>
      </c>
      <c r="Q682" t="str" cm="1">
        <f t="array" aca="1" ref="Q6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4 days</v>
      </c>
    </row>
    <row r="683" spans="1:17" hidden="1" x14ac:dyDescent="0.3">
      <c r="A683">
        <v>1682</v>
      </c>
      <c r="B683" t="s">
        <v>378</v>
      </c>
      <c r="C683" t="s">
        <v>33</v>
      </c>
      <c r="D683" t="s">
        <v>16</v>
      </c>
      <c r="E683">
        <v>42</v>
      </c>
      <c r="F683" t="str" cm="1">
        <f t="array" ref="F683">_xlfn.IFS(EmployeeData[[#This Row],[Age]]&lt;30,"20s",EmployeeData[[#This Row],[Age]]&lt;40,"30s",EmployeeData[[#This Row],[Age]]&lt;50,"40s",EmployeeData[[#This Row],[Age]]&lt;60,"50s",EmployeeData[[#This Row],[Age]]&gt;=60,"60s")</f>
        <v>40s</v>
      </c>
      <c r="G683" s="5">
        <v>45275</v>
      </c>
      <c r="H683" s="5">
        <v>45801</v>
      </c>
      <c r="I683" t="s">
        <v>34</v>
      </c>
      <c r="J683" t="s">
        <v>13</v>
      </c>
      <c r="K683" cm="1">
        <f t="array" aca="1" ref="K683" ca="1">_xlfn.IFS(EmployeeData[[#This Row],[Status]]="Active",_xlfn.DAYS(TODAY(),EmployeeData[[#This Row],[Join Date]]),EmployeeData[[#This Row],[Status]]="Exited",_xlfn.DAYS(EmployeeData[[#This Row],[Exit Date]],EmployeeData[[#This Row],[Join Date]]))</f>
        <v>526</v>
      </c>
      <c r="L683" cm="1">
        <f t="array" aca="1" ref="L683" ca="1">_xlfn.IFS(EmployeeData[[#This Row],[Status]]="Exited",DATEDIF(EmployeeData[[#This Row],[Join Date]], EmployeeData[[#This Row],[Exit Date]], "Y"),EmployeeData[[#This Row],[Status]]="Active",DATEDIF(EmployeeData[[#This Row],[Join Date]], TODAY(), "Y"))</f>
        <v>1</v>
      </c>
      <c r="Q683" t="str" cm="1">
        <f t="array" aca="1" ref="Q6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84" spans="1:17" x14ac:dyDescent="0.3">
      <c r="A684">
        <v>1683</v>
      </c>
      <c r="B684" t="s">
        <v>429</v>
      </c>
      <c r="C684" t="s">
        <v>33</v>
      </c>
      <c r="D684" t="s">
        <v>16</v>
      </c>
      <c r="E684">
        <v>42</v>
      </c>
      <c r="F684" t="str" cm="1">
        <f t="array" ref="F684">_xlfn.IFS(EmployeeData[[#This Row],[Age]]&lt;30,"20s",EmployeeData[[#This Row],[Age]]&lt;40,"30s",EmployeeData[[#This Row],[Age]]&lt;50,"40s",EmployeeData[[#This Row],[Age]]&lt;60,"50s",EmployeeData[[#This Row],[Age]]&gt;=60,"60s")</f>
        <v>40s</v>
      </c>
      <c r="G684" s="5">
        <v>43325</v>
      </c>
      <c r="I684" t="s">
        <v>17</v>
      </c>
      <c r="J684" t="s">
        <v>18</v>
      </c>
      <c r="K684" cm="1">
        <f t="array" aca="1" ref="K684" ca="1">_xlfn.IFS(EmployeeData[[#This Row],[Status]]="Active",_xlfn.DAYS(TODAY(),EmployeeData[[#This Row],[Join Date]]),EmployeeData[[#This Row],[Status]]="Exited",_xlfn.DAYS(EmployeeData[[#This Row],[Exit Date]],EmployeeData[[#This Row],[Join Date]]))</f>
        <v>2872</v>
      </c>
      <c r="L684" cm="1">
        <f t="array" aca="1" ref="L684" ca="1">_xlfn.IFS(EmployeeData[[#This Row],[Status]]="Exited",DATEDIF(EmployeeData[[#This Row],[Join Date]], EmployeeData[[#This Row],[Exit Date]], "Y"),EmployeeData[[#This Row],[Status]]="Active",DATEDIF(EmployeeData[[#This Row],[Join Date]], TODAY(), "Y"))</f>
        <v>7</v>
      </c>
      <c r="Q684" t="str" cm="1">
        <f t="array" aca="1" ref="Q6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11 days</v>
      </c>
    </row>
    <row r="685" spans="1:17" hidden="1" x14ac:dyDescent="0.3">
      <c r="A685">
        <v>1684</v>
      </c>
      <c r="B685" t="s">
        <v>351</v>
      </c>
      <c r="C685" t="s">
        <v>23</v>
      </c>
      <c r="D685" t="s">
        <v>16</v>
      </c>
      <c r="E685">
        <v>44</v>
      </c>
      <c r="F685" t="str" cm="1">
        <f t="array" ref="F685">_xlfn.IFS(EmployeeData[[#This Row],[Age]]&lt;30,"20s",EmployeeData[[#This Row],[Age]]&lt;40,"30s",EmployeeData[[#This Row],[Age]]&lt;50,"40s",EmployeeData[[#This Row],[Age]]&lt;60,"50s",EmployeeData[[#This Row],[Age]]&gt;=60,"60s")</f>
        <v>40s</v>
      </c>
      <c r="G685" s="5">
        <v>43818</v>
      </c>
      <c r="I685" t="s">
        <v>17</v>
      </c>
      <c r="J685" t="s">
        <v>18</v>
      </c>
      <c r="K685" cm="1">
        <f t="array" aca="1" ref="K685" ca="1">_xlfn.IFS(EmployeeData[[#This Row],[Status]]="Active",_xlfn.DAYS(TODAY(),EmployeeData[[#This Row],[Join Date]]),EmployeeData[[#This Row],[Status]]="Exited",_xlfn.DAYS(EmployeeData[[#This Row],[Exit Date]],EmployeeData[[#This Row],[Join Date]]))</f>
        <v>2379</v>
      </c>
      <c r="L685" cm="1">
        <f t="array" aca="1" ref="L685" ca="1">_xlfn.IFS(EmployeeData[[#This Row],[Status]]="Exited",DATEDIF(EmployeeData[[#This Row],[Join Date]], EmployeeData[[#This Row],[Exit Date]], "Y"),EmployeeData[[#This Row],[Status]]="Active",DATEDIF(EmployeeData[[#This Row],[Join Date]], TODAY(), "Y"))</f>
        <v>6</v>
      </c>
      <c r="Q685" t="str" cm="1">
        <f t="array" aca="1" ref="Q6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5 days</v>
      </c>
    </row>
    <row r="686" spans="1:17" hidden="1" x14ac:dyDescent="0.3">
      <c r="A686">
        <v>1685</v>
      </c>
      <c r="B686" t="s">
        <v>504</v>
      </c>
      <c r="C686" t="s">
        <v>15</v>
      </c>
      <c r="D686" t="s">
        <v>11</v>
      </c>
      <c r="E686">
        <v>36</v>
      </c>
      <c r="F686" t="str" cm="1">
        <f t="array" ref="F686">_xlfn.IFS(EmployeeData[[#This Row],[Age]]&lt;30,"20s",EmployeeData[[#This Row],[Age]]&lt;40,"30s",EmployeeData[[#This Row],[Age]]&lt;50,"40s",EmployeeData[[#This Row],[Age]]&lt;60,"50s",EmployeeData[[#This Row],[Age]]&gt;=60,"60s")</f>
        <v>30s</v>
      </c>
      <c r="G686" s="5">
        <v>45311</v>
      </c>
      <c r="H686" s="5">
        <v>45890</v>
      </c>
      <c r="I686" t="s">
        <v>34</v>
      </c>
      <c r="J686" t="s">
        <v>13</v>
      </c>
      <c r="K686" cm="1">
        <f t="array" aca="1" ref="K686" ca="1">_xlfn.IFS(EmployeeData[[#This Row],[Status]]="Active",_xlfn.DAYS(TODAY(),EmployeeData[[#This Row],[Join Date]]),EmployeeData[[#This Row],[Status]]="Exited",_xlfn.DAYS(EmployeeData[[#This Row],[Exit Date]],EmployeeData[[#This Row],[Join Date]]))</f>
        <v>579</v>
      </c>
      <c r="L686" cm="1">
        <f t="array" aca="1" ref="L686" ca="1">_xlfn.IFS(EmployeeData[[#This Row],[Status]]="Exited",DATEDIF(EmployeeData[[#This Row],[Join Date]], EmployeeData[[#This Row],[Exit Date]], "Y"),EmployeeData[[#This Row],[Status]]="Active",DATEDIF(EmployeeData[[#This Row],[Join Date]], TODAY(), "Y"))</f>
        <v>1</v>
      </c>
      <c r="Q686" t="str" cm="1">
        <f t="array" aca="1" ref="Q6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687" spans="1:17" hidden="1" x14ac:dyDescent="0.3">
      <c r="A687">
        <v>1686</v>
      </c>
      <c r="B687" t="s">
        <v>192</v>
      </c>
      <c r="C687" t="s">
        <v>10</v>
      </c>
      <c r="D687" t="s">
        <v>11</v>
      </c>
      <c r="E687">
        <v>53</v>
      </c>
      <c r="F687" t="str" cm="1">
        <f t="array" ref="F687">_xlfn.IFS(EmployeeData[[#This Row],[Age]]&lt;30,"20s",EmployeeData[[#This Row],[Age]]&lt;40,"30s",EmployeeData[[#This Row],[Age]]&lt;50,"40s",EmployeeData[[#This Row],[Age]]&lt;60,"50s",EmployeeData[[#This Row],[Age]]&gt;=60,"60s")</f>
        <v>50s</v>
      </c>
      <c r="G687" s="5">
        <v>45887</v>
      </c>
      <c r="I687" t="s">
        <v>17</v>
      </c>
      <c r="J687" t="s">
        <v>18</v>
      </c>
      <c r="K687" cm="1">
        <f t="array" aca="1" ref="K687" ca="1">_xlfn.IFS(EmployeeData[[#This Row],[Status]]="Active",_xlfn.DAYS(TODAY(),EmployeeData[[#This Row],[Join Date]]),EmployeeData[[#This Row],[Status]]="Exited",_xlfn.DAYS(EmployeeData[[#This Row],[Exit Date]],EmployeeData[[#This Row],[Join Date]]))</f>
        <v>310</v>
      </c>
      <c r="L687" cm="1">
        <f t="array" aca="1" ref="L687" ca="1">_xlfn.IFS(EmployeeData[[#This Row],[Status]]="Exited",DATEDIF(EmployeeData[[#This Row],[Join Date]], EmployeeData[[#This Row],[Exit Date]], "Y"),EmployeeData[[#This Row],[Status]]="Active",DATEDIF(EmployeeData[[#This Row],[Join Date]], TODAY(), "Y"))</f>
        <v>0</v>
      </c>
      <c r="Q687" t="str" cm="1">
        <f t="array" aca="1" ref="Q6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6 days</v>
      </c>
    </row>
    <row r="688" spans="1:17" hidden="1" x14ac:dyDescent="0.3">
      <c r="A688">
        <v>1687</v>
      </c>
      <c r="B688" t="s">
        <v>143</v>
      </c>
      <c r="C688" t="s">
        <v>23</v>
      </c>
      <c r="D688" t="s">
        <v>24</v>
      </c>
      <c r="E688">
        <v>28</v>
      </c>
      <c r="F688" t="str" cm="1">
        <f t="array" ref="F688">_xlfn.IFS(EmployeeData[[#This Row],[Age]]&lt;30,"20s",EmployeeData[[#This Row],[Age]]&lt;40,"30s",EmployeeData[[#This Row],[Age]]&lt;50,"40s",EmployeeData[[#This Row],[Age]]&lt;60,"50s",EmployeeData[[#This Row],[Age]]&gt;=60,"60s")</f>
        <v>20s</v>
      </c>
      <c r="G688" s="5">
        <v>45026</v>
      </c>
      <c r="I688" t="s">
        <v>17</v>
      </c>
      <c r="J688" t="s">
        <v>18</v>
      </c>
      <c r="K688" cm="1">
        <f t="array" aca="1" ref="K688" ca="1">_xlfn.IFS(EmployeeData[[#This Row],[Status]]="Active",_xlfn.DAYS(TODAY(),EmployeeData[[#This Row],[Join Date]]),EmployeeData[[#This Row],[Status]]="Exited",_xlfn.DAYS(EmployeeData[[#This Row],[Exit Date]],EmployeeData[[#This Row],[Join Date]]))</f>
        <v>1171</v>
      </c>
      <c r="L688" cm="1">
        <f t="array" aca="1" ref="L688" ca="1">_xlfn.IFS(EmployeeData[[#This Row],[Status]]="Exited",DATEDIF(EmployeeData[[#This Row],[Join Date]], EmployeeData[[#This Row],[Exit Date]], "Y"),EmployeeData[[#This Row],[Status]]="Active",DATEDIF(EmployeeData[[#This Row],[Join Date]], TODAY(), "Y"))</f>
        <v>3</v>
      </c>
      <c r="Q688" t="str" cm="1">
        <f t="array" aca="1" ref="Q6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14 days</v>
      </c>
    </row>
    <row r="689" spans="1:17" hidden="1" x14ac:dyDescent="0.3">
      <c r="A689">
        <v>1688</v>
      </c>
      <c r="B689" t="s">
        <v>745</v>
      </c>
      <c r="C689" t="s">
        <v>33</v>
      </c>
      <c r="D689" t="s">
        <v>11</v>
      </c>
      <c r="E689">
        <v>25</v>
      </c>
      <c r="F689" t="str" cm="1">
        <f t="array" ref="F689">_xlfn.IFS(EmployeeData[[#This Row],[Age]]&lt;30,"20s",EmployeeData[[#This Row],[Age]]&lt;40,"30s",EmployeeData[[#This Row],[Age]]&lt;50,"40s",EmployeeData[[#This Row],[Age]]&lt;60,"50s",EmployeeData[[#This Row],[Age]]&gt;=60,"60s")</f>
        <v>20s</v>
      </c>
      <c r="G689" s="5">
        <v>43872</v>
      </c>
      <c r="I689" t="s">
        <v>17</v>
      </c>
      <c r="J689" t="s">
        <v>18</v>
      </c>
      <c r="K689" cm="1">
        <f t="array" aca="1" ref="K689" ca="1">_xlfn.IFS(EmployeeData[[#This Row],[Status]]="Active",_xlfn.DAYS(TODAY(),EmployeeData[[#This Row],[Join Date]]),EmployeeData[[#This Row],[Status]]="Exited",_xlfn.DAYS(EmployeeData[[#This Row],[Exit Date]],EmployeeData[[#This Row],[Join Date]]))</f>
        <v>2325</v>
      </c>
      <c r="L689" cm="1">
        <f t="array" aca="1" ref="L689" ca="1">_xlfn.IFS(EmployeeData[[#This Row],[Status]]="Exited",DATEDIF(EmployeeData[[#This Row],[Join Date]], EmployeeData[[#This Row],[Exit Date]], "Y"),EmployeeData[[#This Row],[Status]]="Active",DATEDIF(EmployeeData[[#This Row],[Join Date]], TODAY(), "Y"))</f>
        <v>6</v>
      </c>
      <c r="Q689" t="str" cm="1">
        <f t="array" aca="1" ref="Q6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13 days</v>
      </c>
    </row>
    <row r="690" spans="1:17" hidden="1" x14ac:dyDescent="0.3">
      <c r="A690">
        <v>1689</v>
      </c>
      <c r="B690" t="s">
        <v>1031</v>
      </c>
      <c r="C690" t="s">
        <v>10</v>
      </c>
      <c r="D690" t="s">
        <v>11</v>
      </c>
      <c r="E690">
        <v>27</v>
      </c>
      <c r="F690" t="str" cm="1">
        <f t="array" ref="F690">_xlfn.IFS(EmployeeData[[#This Row],[Age]]&lt;30,"20s",EmployeeData[[#This Row],[Age]]&lt;40,"30s",EmployeeData[[#This Row],[Age]]&lt;50,"40s",EmployeeData[[#This Row],[Age]]&lt;60,"50s",EmployeeData[[#This Row],[Age]]&gt;=60,"60s")</f>
        <v>20s</v>
      </c>
      <c r="G690" s="5">
        <v>43775</v>
      </c>
      <c r="H690" s="5">
        <v>44471</v>
      </c>
      <c r="I690" t="s">
        <v>65</v>
      </c>
      <c r="J690" t="s">
        <v>13</v>
      </c>
      <c r="K690" cm="1">
        <f t="array" aca="1" ref="K690" ca="1">_xlfn.IFS(EmployeeData[[#This Row],[Status]]="Active",_xlfn.DAYS(TODAY(),EmployeeData[[#This Row],[Join Date]]),EmployeeData[[#This Row],[Status]]="Exited",_xlfn.DAYS(EmployeeData[[#This Row],[Exit Date]],EmployeeData[[#This Row],[Join Date]]))</f>
        <v>696</v>
      </c>
      <c r="L690" cm="1">
        <f t="array" aca="1" ref="L690" ca="1">_xlfn.IFS(EmployeeData[[#This Row],[Status]]="Exited",DATEDIF(EmployeeData[[#This Row],[Join Date]], EmployeeData[[#This Row],[Exit Date]], "Y"),EmployeeData[[#This Row],[Status]]="Active",DATEDIF(EmployeeData[[#This Row],[Join Date]], TODAY(), "Y"))</f>
        <v>1</v>
      </c>
      <c r="Q690" t="str" cm="1">
        <f t="array" aca="1" ref="Q6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691" spans="1:17" hidden="1" x14ac:dyDescent="0.3">
      <c r="A691">
        <v>1690</v>
      </c>
      <c r="B691" t="s">
        <v>250</v>
      </c>
      <c r="C691" t="s">
        <v>15</v>
      </c>
      <c r="D691" t="s">
        <v>24</v>
      </c>
      <c r="E691">
        <v>55</v>
      </c>
      <c r="F691" t="str" cm="1">
        <f t="array" ref="F691">_xlfn.IFS(EmployeeData[[#This Row],[Age]]&lt;30,"20s",EmployeeData[[#This Row],[Age]]&lt;40,"30s",EmployeeData[[#This Row],[Age]]&lt;50,"40s",EmployeeData[[#This Row],[Age]]&lt;60,"50s",EmployeeData[[#This Row],[Age]]&gt;=60,"60s")</f>
        <v>50s</v>
      </c>
      <c r="G691" s="5">
        <v>43641</v>
      </c>
      <c r="I691" t="s">
        <v>17</v>
      </c>
      <c r="J691" t="s">
        <v>18</v>
      </c>
      <c r="K691" cm="1">
        <f t="array" aca="1" ref="K691" ca="1">_xlfn.IFS(EmployeeData[[#This Row],[Status]]="Active",_xlfn.DAYS(TODAY(),EmployeeData[[#This Row],[Join Date]]),EmployeeData[[#This Row],[Status]]="Exited",_xlfn.DAYS(EmployeeData[[#This Row],[Exit Date]],EmployeeData[[#This Row],[Join Date]]))</f>
        <v>2556</v>
      </c>
      <c r="L691" cm="1">
        <f t="array" aca="1" ref="L691" ca="1">_xlfn.IFS(EmployeeData[[#This Row],[Status]]="Exited",DATEDIF(EmployeeData[[#This Row],[Join Date]], EmployeeData[[#This Row],[Exit Date]], "Y"),EmployeeData[[#This Row],[Status]]="Active",DATEDIF(EmployeeData[[#This Row],[Join Date]], TODAY(), "Y"))</f>
        <v>6</v>
      </c>
      <c r="Q691" t="str" cm="1">
        <f t="array" aca="1" ref="Q6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30 days</v>
      </c>
    </row>
    <row r="692" spans="1:17" hidden="1" x14ac:dyDescent="0.3">
      <c r="A692">
        <v>1691</v>
      </c>
      <c r="B692" t="s">
        <v>1073</v>
      </c>
      <c r="C692" t="s">
        <v>15</v>
      </c>
      <c r="D692" t="s">
        <v>16</v>
      </c>
      <c r="E692">
        <v>22</v>
      </c>
      <c r="F692" t="str" cm="1">
        <f t="array" ref="F692">_xlfn.IFS(EmployeeData[[#This Row],[Age]]&lt;30,"20s",EmployeeData[[#This Row],[Age]]&lt;40,"30s",EmployeeData[[#This Row],[Age]]&lt;50,"40s",EmployeeData[[#This Row],[Age]]&lt;60,"50s",EmployeeData[[#This Row],[Age]]&gt;=60,"60s")</f>
        <v>20s</v>
      </c>
      <c r="G692" s="5">
        <v>44052</v>
      </c>
      <c r="I692" t="s">
        <v>17</v>
      </c>
      <c r="J692" t="s">
        <v>18</v>
      </c>
      <c r="K692" cm="1">
        <f t="array" aca="1" ref="K692" ca="1">_xlfn.IFS(EmployeeData[[#This Row],[Status]]="Active",_xlfn.DAYS(TODAY(),EmployeeData[[#This Row],[Join Date]]),EmployeeData[[#This Row],[Status]]="Exited",_xlfn.DAYS(EmployeeData[[#This Row],[Exit Date]],EmployeeData[[#This Row],[Join Date]]))</f>
        <v>2145</v>
      </c>
      <c r="L692" cm="1">
        <f t="array" aca="1" ref="L692" ca="1">_xlfn.IFS(EmployeeData[[#This Row],[Status]]="Exited",DATEDIF(EmployeeData[[#This Row],[Join Date]], EmployeeData[[#This Row],[Exit Date]], "Y"),EmployeeData[[#This Row],[Status]]="Active",DATEDIF(EmployeeData[[#This Row],[Join Date]], TODAY(), "Y"))</f>
        <v>5</v>
      </c>
      <c r="Q692" t="str" cm="1">
        <f t="array" aca="1" ref="Q6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15 days</v>
      </c>
    </row>
    <row r="693" spans="1:17" hidden="1" x14ac:dyDescent="0.3">
      <c r="A693">
        <v>1692</v>
      </c>
      <c r="B693" t="s">
        <v>734</v>
      </c>
      <c r="C693" t="s">
        <v>20</v>
      </c>
      <c r="D693" t="s">
        <v>11</v>
      </c>
      <c r="E693">
        <v>52</v>
      </c>
      <c r="F693" t="str" cm="1">
        <f t="array" ref="F693">_xlfn.IFS(EmployeeData[[#This Row],[Age]]&lt;30,"20s",EmployeeData[[#This Row],[Age]]&lt;40,"30s",EmployeeData[[#This Row],[Age]]&lt;50,"40s",EmployeeData[[#This Row],[Age]]&lt;60,"50s",EmployeeData[[#This Row],[Age]]&gt;=60,"60s")</f>
        <v>50s</v>
      </c>
      <c r="G693" s="5">
        <v>45531</v>
      </c>
      <c r="I693" t="s">
        <v>17</v>
      </c>
      <c r="J693" t="s">
        <v>18</v>
      </c>
      <c r="K693" cm="1">
        <f t="array" aca="1" ref="K693" ca="1">_xlfn.IFS(EmployeeData[[#This Row],[Status]]="Active",_xlfn.DAYS(TODAY(),EmployeeData[[#This Row],[Join Date]]),EmployeeData[[#This Row],[Status]]="Exited",_xlfn.DAYS(EmployeeData[[#This Row],[Exit Date]],EmployeeData[[#This Row],[Join Date]]))</f>
        <v>666</v>
      </c>
      <c r="L693" cm="1">
        <f t="array" aca="1" ref="L693" ca="1">_xlfn.IFS(EmployeeData[[#This Row],[Status]]="Exited",DATEDIF(EmployeeData[[#This Row],[Join Date]], EmployeeData[[#This Row],[Exit Date]], "Y"),EmployeeData[[#This Row],[Status]]="Active",DATEDIF(EmployeeData[[#This Row],[Join Date]], TODAY(), "Y"))</f>
        <v>1</v>
      </c>
      <c r="Q693" t="str" cm="1">
        <f t="array" aca="1" ref="Q6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28 days</v>
      </c>
    </row>
    <row r="694" spans="1:17" hidden="1" x14ac:dyDescent="0.3">
      <c r="A694">
        <v>1693</v>
      </c>
      <c r="B694" t="s">
        <v>107</v>
      </c>
      <c r="C694" t="s">
        <v>23</v>
      </c>
      <c r="D694" t="s">
        <v>11</v>
      </c>
      <c r="E694">
        <v>40</v>
      </c>
      <c r="F694" t="str" cm="1">
        <f t="array" ref="F694">_xlfn.IFS(EmployeeData[[#This Row],[Age]]&lt;30,"20s",EmployeeData[[#This Row],[Age]]&lt;40,"30s",EmployeeData[[#This Row],[Age]]&lt;50,"40s",EmployeeData[[#This Row],[Age]]&lt;60,"50s",EmployeeData[[#This Row],[Age]]&gt;=60,"60s")</f>
        <v>40s</v>
      </c>
      <c r="G694" s="5">
        <v>43804</v>
      </c>
      <c r="I694" t="s">
        <v>17</v>
      </c>
      <c r="J694" t="s">
        <v>18</v>
      </c>
      <c r="K694" cm="1">
        <f t="array" aca="1" ref="K694" ca="1">_xlfn.IFS(EmployeeData[[#This Row],[Status]]="Active",_xlfn.DAYS(TODAY(),EmployeeData[[#This Row],[Join Date]]),EmployeeData[[#This Row],[Status]]="Exited",_xlfn.DAYS(EmployeeData[[#This Row],[Exit Date]],EmployeeData[[#This Row],[Join Date]]))</f>
        <v>2393</v>
      </c>
      <c r="L694" cm="1">
        <f t="array" aca="1" ref="L694" ca="1">_xlfn.IFS(EmployeeData[[#This Row],[Status]]="Exited",DATEDIF(EmployeeData[[#This Row],[Join Date]], EmployeeData[[#This Row],[Exit Date]], "Y"),EmployeeData[[#This Row],[Status]]="Active",DATEDIF(EmployeeData[[#This Row],[Join Date]], TODAY(), "Y"))</f>
        <v>6</v>
      </c>
      <c r="Q694" t="str" cm="1">
        <f t="array" aca="1" ref="Q6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695" spans="1:17" hidden="1" x14ac:dyDescent="0.3">
      <c r="A695">
        <v>1694</v>
      </c>
      <c r="B695" t="s">
        <v>558</v>
      </c>
      <c r="C695" t="s">
        <v>20</v>
      </c>
      <c r="D695" t="s">
        <v>16</v>
      </c>
      <c r="E695">
        <v>43</v>
      </c>
      <c r="F695" t="str" cm="1">
        <f t="array" ref="F695">_xlfn.IFS(EmployeeData[[#This Row],[Age]]&lt;30,"20s",EmployeeData[[#This Row],[Age]]&lt;40,"30s",EmployeeData[[#This Row],[Age]]&lt;50,"40s",EmployeeData[[#This Row],[Age]]&lt;60,"50s",EmployeeData[[#This Row],[Age]]&gt;=60,"60s")</f>
        <v>40s</v>
      </c>
      <c r="G695" s="5">
        <v>44265</v>
      </c>
      <c r="I695" t="s">
        <v>17</v>
      </c>
      <c r="J695" t="s">
        <v>18</v>
      </c>
      <c r="K695" cm="1">
        <f t="array" aca="1" ref="K695" ca="1">_xlfn.IFS(EmployeeData[[#This Row],[Status]]="Active",_xlfn.DAYS(TODAY(),EmployeeData[[#This Row],[Join Date]]),EmployeeData[[#This Row],[Status]]="Exited",_xlfn.DAYS(EmployeeData[[#This Row],[Exit Date]],EmployeeData[[#This Row],[Join Date]]))</f>
        <v>1932</v>
      </c>
      <c r="L695" cm="1">
        <f t="array" aca="1" ref="L695" ca="1">_xlfn.IFS(EmployeeData[[#This Row],[Status]]="Exited",DATEDIF(EmployeeData[[#This Row],[Join Date]], EmployeeData[[#This Row],[Exit Date]], "Y"),EmployeeData[[#This Row],[Status]]="Active",DATEDIF(EmployeeData[[#This Row],[Join Date]], TODAY(), "Y"))</f>
        <v>5</v>
      </c>
      <c r="Q695" t="str" cm="1">
        <f t="array" aca="1" ref="Q6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14 days</v>
      </c>
    </row>
    <row r="696" spans="1:17" hidden="1" x14ac:dyDescent="0.3">
      <c r="A696">
        <v>1695</v>
      </c>
      <c r="B696" t="s">
        <v>744</v>
      </c>
      <c r="C696" t="s">
        <v>20</v>
      </c>
      <c r="D696" t="s">
        <v>16</v>
      </c>
      <c r="E696">
        <v>32</v>
      </c>
      <c r="F696" t="str" cm="1">
        <f t="array" ref="F696">_xlfn.IFS(EmployeeData[[#This Row],[Age]]&lt;30,"20s",EmployeeData[[#This Row],[Age]]&lt;40,"30s",EmployeeData[[#This Row],[Age]]&lt;50,"40s",EmployeeData[[#This Row],[Age]]&lt;60,"50s",EmployeeData[[#This Row],[Age]]&gt;=60,"60s")</f>
        <v>30s</v>
      </c>
      <c r="G696" s="5">
        <v>46001</v>
      </c>
      <c r="I696" t="s">
        <v>17</v>
      </c>
      <c r="J696" t="s">
        <v>18</v>
      </c>
      <c r="K696" cm="1">
        <f t="array" aca="1" ref="K696" ca="1">_xlfn.IFS(EmployeeData[[#This Row],[Status]]="Active",_xlfn.DAYS(TODAY(),EmployeeData[[#This Row],[Join Date]]),EmployeeData[[#This Row],[Status]]="Exited",_xlfn.DAYS(EmployeeData[[#This Row],[Exit Date]],EmployeeData[[#This Row],[Join Date]]))</f>
        <v>196</v>
      </c>
      <c r="L696" cm="1">
        <f t="array" aca="1" ref="L696" ca="1">_xlfn.IFS(EmployeeData[[#This Row],[Status]]="Exited",DATEDIF(EmployeeData[[#This Row],[Join Date]], EmployeeData[[#This Row],[Exit Date]], "Y"),EmployeeData[[#This Row],[Status]]="Active",DATEDIF(EmployeeData[[#This Row],[Join Date]], TODAY(), "Y"))</f>
        <v>0</v>
      </c>
      <c r="Q696" t="str" cm="1">
        <f t="array" aca="1" ref="Q6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697" spans="1:17" hidden="1" x14ac:dyDescent="0.3">
      <c r="A697">
        <v>1696</v>
      </c>
      <c r="B697" t="s">
        <v>139</v>
      </c>
      <c r="C697" t="s">
        <v>46</v>
      </c>
      <c r="D697" t="s">
        <v>24</v>
      </c>
      <c r="E697">
        <v>49</v>
      </c>
      <c r="F697" t="str" cm="1">
        <f t="array" ref="F697">_xlfn.IFS(EmployeeData[[#This Row],[Age]]&lt;30,"20s",EmployeeData[[#This Row],[Age]]&lt;40,"30s",EmployeeData[[#This Row],[Age]]&lt;50,"40s",EmployeeData[[#This Row],[Age]]&lt;60,"50s",EmployeeData[[#This Row],[Age]]&gt;=60,"60s")</f>
        <v>40s</v>
      </c>
      <c r="G697" s="5">
        <v>44167</v>
      </c>
      <c r="H697" s="5">
        <v>44677</v>
      </c>
      <c r="I697" t="s">
        <v>65</v>
      </c>
      <c r="J697" t="s">
        <v>13</v>
      </c>
      <c r="K697" cm="1">
        <f t="array" aca="1" ref="K697" ca="1">_xlfn.IFS(EmployeeData[[#This Row],[Status]]="Active",_xlfn.DAYS(TODAY(),EmployeeData[[#This Row],[Join Date]]),EmployeeData[[#This Row],[Status]]="Exited",_xlfn.DAYS(EmployeeData[[#This Row],[Exit Date]],EmployeeData[[#This Row],[Join Date]]))</f>
        <v>510</v>
      </c>
      <c r="L697" cm="1">
        <f t="array" aca="1" ref="L697" ca="1">_xlfn.IFS(EmployeeData[[#This Row],[Status]]="Exited",DATEDIF(EmployeeData[[#This Row],[Join Date]], EmployeeData[[#This Row],[Exit Date]], "Y"),EmployeeData[[#This Row],[Status]]="Active",DATEDIF(EmployeeData[[#This Row],[Join Date]], TODAY(), "Y"))</f>
        <v>1</v>
      </c>
      <c r="Q697" t="str" cm="1">
        <f t="array" aca="1" ref="Q6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24 days</v>
      </c>
    </row>
    <row r="698" spans="1:17" hidden="1" x14ac:dyDescent="0.3">
      <c r="A698">
        <v>1697</v>
      </c>
      <c r="B698" t="s">
        <v>792</v>
      </c>
      <c r="C698" t="s">
        <v>15</v>
      </c>
      <c r="D698" t="s">
        <v>24</v>
      </c>
      <c r="E698">
        <v>31</v>
      </c>
      <c r="F698" t="str" cm="1">
        <f t="array" ref="F698">_xlfn.IFS(EmployeeData[[#This Row],[Age]]&lt;30,"20s",EmployeeData[[#This Row],[Age]]&lt;40,"30s",EmployeeData[[#This Row],[Age]]&lt;50,"40s",EmployeeData[[#This Row],[Age]]&lt;60,"50s",EmployeeData[[#This Row],[Age]]&gt;=60,"60s")</f>
        <v>30s</v>
      </c>
      <c r="G698" s="5">
        <v>45286</v>
      </c>
      <c r="H698" s="5">
        <v>45401</v>
      </c>
      <c r="I698" t="s">
        <v>12</v>
      </c>
      <c r="J698" t="s">
        <v>13</v>
      </c>
      <c r="K698" cm="1">
        <f t="array" aca="1" ref="K698" ca="1">_xlfn.IFS(EmployeeData[[#This Row],[Status]]="Active",_xlfn.DAYS(TODAY(),EmployeeData[[#This Row],[Join Date]]),EmployeeData[[#This Row],[Status]]="Exited",_xlfn.DAYS(EmployeeData[[#This Row],[Exit Date]],EmployeeData[[#This Row],[Join Date]]))</f>
        <v>115</v>
      </c>
      <c r="L698" cm="1">
        <f t="array" aca="1" ref="L698" ca="1">_xlfn.IFS(EmployeeData[[#This Row],[Status]]="Exited",DATEDIF(EmployeeData[[#This Row],[Join Date]], EmployeeData[[#This Row],[Exit Date]], "Y"),EmployeeData[[#This Row],[Status]]="Active",DATEDIF(EmployeeData[[#This Row],[Join Date]], TODAY(), "Y"))</f>
        <v>0</v>
      </c>
      <c r="Q698" t="str" cm="1">
        <f t="array" aca="1" ref="Q6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699" spans="1:17" hidden="1" x14ac:dyDescent="0.3">
      <c r="A699">
        <v>1698</v>
      </c>
      <c r="B699" t="s">
        <v>312</v>
      </c>
      <c r="C699" t="s">
        <v>46</v>
      </c>
      <c r="D699" t="s">
        <v>16</v>
      </c>
      <c r="E699">
        <v>59</v>
      </c>
      <c r="F699" t="str" cm="1">
        <f t="array" ref="F699">_xlfn.IFS(EmployeeData[[#This Row],[Age]]&lt;30,"20s",EmployeeData[[#This Row],[Age]]&lt;40,"30s",EmployeeData[[#This Row],[Age]]&lt;50,"40s",EmployeeData[[#This Row],[Age]]&lt;60,"50s",EmployeeData[[#This Row],[Age]]&gt;=60,"60s")</f>
        <v>50s</v>
      </c>
      <c r="G699" s="5">
        <v>45179</v>
      </c>
      <c r="H699" s="5">
        <v>45991</v>
      </c>
      <c r="I699" t="s">
        <v>26</v>
      </c>
      <c r="J699" t="s">
        <v>13</v>
      </c>
      <c r="K699" cm="1">
        <f t="array" aca="1" ref="K699" ca="1">_xlfn.IFS(EmployeeData[[#This Row],[Status]]="Active",_xlfn.DAYS(TODAY(),EmployeeData[[#This Row],[Join Date]]),EmployeeData[[#This Row],[Status]]="Exited",_xlfn.DAYS(EmployeeData[[#This Row],[Exit Date]],EmployeeData[[#This Row],[Join Date]]))</f>
        <v>812</v>
      </c>
      <c r="L699" cm="1">
        <f t="array" aca="1" ref="L699" ca="1">_xlfn.IFS(EmployeeData[[#This Row],[Status]]="Exited",DATEDIF(EmployeeData[[#This Row],[Join Date]], EmployeeData[[#This Row],[Exit Date]], "Y"),EmployeeData[[#This Row],[Status]]="Active",DATEDIF(EmployeeData[[#This Row],[Join Date]], TODAY(), "Y"))</f>
        <v>2</v>
      </c>
      <c r="Q699" t="str" cm="1">
        <f t="array" aca="1" ref="Q6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00" spans="1:17" hidden="1" x14ac:dyDescent="0.3">
      <c r="A700">
        <v>1699</v>
      </c>
      <c r="B700" t="s">
        <v>768</v>
      </c>
      <c r="C700" t="s">
        <v>46</v>
      </c>
      <c r="D700" t="s">
        <v>24</v>
      </c>
      <c r="E700">
        <v>28</v>
      </c>
      <c r="F700" t="str" cm="1">
        <f t="array" ref="F700">_xlfn.IFS(EmployeeData[[#This Row],[Age]]&lt;30,"20s",EmployeeData[[#This Row],[Age]]&lt;40,"30s",EmployeeData[[#This Row],[Age]]&lt;50,"40s",EmployeeData[[#This Row],[Age]]&lt;60,"50s",EmployeeData[[#This Row],[Age]]&gt;=60,"60s")</f>
        <v>20s</v>
      </c>
      <c r="G700" s="5">
        <v>45062</v>
      </c>
      <c r="I700" t="s">
        <v>17</v>
      </c>
      <c r="J700" t="s">
        <v>18</v>
      </c>
      <c r="K700" cm="1">
        <f t="array" aca="1" ref="K700" ca="1">_xlfn.IFS(EmployeeData[[#This Row],[Status]]="Active",_xlfn.DAYS(TODAY(),EmployeeData[[#This Row],[Join Date]]),EmployeeData[[#This Row],[Status]]="Exited",_xlfn.DAYS(EmployeeData[[#This Row],[Exit Date]],EmployeeData[[#This Row],[Join Date]]))</f>
        <v>1135</v>
      </c>
      <c r="L700" cm="1">
        <f t="array" aca="1" ref="L700" ca="1">_xlfn.IFS(EmployeeData[[#This Row],[Status]]="Exited",DATEDIF(EmployeeData[[#This Row],[Join Date]], EmployeeData[[#This Row],[Exit Date]], "Y"),EmployeeData[[#This Row],[Status]]="Active",DATEDIF(EmployeeData[[#This Row],[Join Date]], TODAY(), "Y"))</f>
        <v>3</v>
      </c>
      <c r="Q700" t="str" cm="1">
        <f t="array" aca="1" ref="Q7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8 days</v>
      </c>
    </row>
    <row r="701" spans="1:17" hidden="1" x14ac:dyDescent="0.3">
      <c r="A701">
        <v>1700</v>
      </c>
      <c r="B701" t="s">
        <v>528</v>
      </c>
      <c r="C701" t="s">
        <v>15</v>
      </c>
      <c r="D701" t="s">
        <v>24</v>
      </c>
      <c r="E701">
        <v>35</v>
      </c>
      <c r="F701" t="str" cm="1">
        <f t="array" ref="F701">_xlfn.IFS(EmployeeData[[#This Row],[Age]]&lt;30,"20s",EmployeeData[[#This Row],[Age]]&lt;40,"30s",EmployeeData[[#This Row],[Age]]&lt;50,"40s",EmployeeData[[#This Row],[Age]]&lt;60,"50s",EmployeeData[[#This Row],[Age]]&gt;=60,"60s")</f>
        <v>30s</v>
      </c>
      <c r="G701" s="5">
        <v>44927</v>
      </c>
      <c r="H701" s="5">
        <v>45685</v>
      </c>
      <c r="I701" t="s">
        <v>31</v>
      </c>
      <c r="J701" t="s">
        <v>13</v>
      </c>
      <c r="K701" cm="1">
        <f t="array" aca="1" ref="K701" ca="1">_xlfn.IFS(EmployeeData[[#This Row],[Status]]="Active",_xlfn.DAYS(TODAY(),EmployeeData[[#This Row],[Join Date]]),EmployeeData[[#This Row],[Status]]="Exited",_xlfn.DAYS(EmployeeData[[#This Row],[Exit Date]],EmployeeData[[#This Row],[Join Date]]))</f>
        <v>758</v>
      </c>
      <c r="L701" cm="1">
        <f t="array" aca="1" ref="L701" ca="1">_xlfn.IFS(EmployeeData[[#This Row],[Status]]="Exited",DATEDIF(EmployeeData[[#This Row],[Join Date]], EmployeeData[[#This Row],[Exit Date]], "Y"),EmployeeData[[#This Row],[Status]]="Active",DATEDIF(EmployeeData[[#This Row],[Join Date]], TODAY(), "Y"))</f>
        <v>2</v>
      </c>
      <c r="Q701" t="str" cm="1">
        <f t="array" aca="1" ref="Q7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27 days</v>
      </c>
    </row>
    <row r="702" spans="1:17" hidden="1" x14ac:dyDescent="0.3">
      <c r="A702">
        <v>1701</v>
      </c>
      <c r="B702" t="s">
        <v>623</v>
      </c>
      <c r="C702" t="s">
        <v>15</v>
      </c>
      <c r="D702" t="s">
        <v>16</v>
      </c>
      <c r="E702">
        <v>49</v>
      </c>
      <c r="F702" t="str" cm="1">
        <f t="array" ref="F702">_xlfn.IFS(EmployeeData[[#This Row],[Age]]&lt;30,"20s",EmployeeData[[#This Row],[Age]]&lt;40,"30s",EmployeeData[[#This Row],[Age]]&lt;50,"40s",EmployeeData[[#This Row],[Age]]&lt;60,"50s",EmployeeData[[#This Row],[Age]]&gt;=60,"60s")</f>
        <v>40s</v>
      </c>
      <c r="G702" s="5">
        <v>45874</v>
      </c>
      <c r="I702" t="s">
        <v>17</v>
      </c>
      <c r="J702" t="s">
        <v>18</v>
      </c>
      <c r="K702" cm="1">
        <f t="array" aca="1" ref="K702" ca="1">_xlfn.IFS(EmployeeData[[#This Row],[Status]]="Active",_xlfn.DAYS(TODAY(),EmployeeData[[#This Row],[Join Date]]),EmployeeData[[#This Row],[Status]]="Exited",_xlfn.DAYS(EmployeeData[[#This Row],[Exit Date]],EmployeeData[[#This Row],[Join Date]]))</f>
        <v>323</v>
      </c>
      <c r="L702" cm="1">
        <f t="array" aca="1" ref="L702" ca="1">_xlfn.IFS(EmployeeData[[#This Row],[Status]]="Exited",DATEDIF(EmployeeData[[#This Row],[Join Date]], EmployeeData[[#This Row],[Exit Date]], "Y"),EmployeeData[[#This Row],[Status]]="Active",DATEDIF(EmployeeData[[#This Row],[Join Date]], TODAY(), "Y"))</f>
        <v>0</v>
      </c>
      <c r="Q702" t="str" cm="1">
        <f t="array" aca="1" ref="Q7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19 days</v>
      </c>
    </row>
    <row r="703" spans="1:17" hidden="1" x14ac:dyDescent="0.3">
      <c r="A703">
        <v>1702</v>
      </c>
      <c r="B703" t="s">
        <v>235</v>
      </c>
      <c r="C703" t="s">
        <v>10</v>
      </c>
      <c r="D703" t="s">
        <v>24</v>
      </c>
      <c r="E703">
        <v>24</v>
      </c>
      <c r="F703" t="str" cm="1">
        <f t="array" ref="F703">_xlfn.IFS(EmployeeData[[#This Row],[Age]]&lt;30,"20s",EmployeeData[[#This Row],[Age]]&lt;40,"30s",EmployeeData[[#This Row],[Age]]&lt;50,"40s",EmployeeData[[#This Row],[Age]]&lt;60,"50s",EmployeeData[[#This Row],[Age]]&gt;=60,"60s")</f>
        <v>20s</v>
      </c>
      <c r="G703" s="5">
        <v>45832</v>
      </c>
      <c r="H703" s="5">
        <v>45997</v>
      </c>
      <c r="I703" t="s">
        <v>34</v>
      </c>
      <c r="J703" t="s">
        <v>13</v>
      </c>
      <c r="K703" cm="1">
        <f t="array" aca="1" ref="K703" ca="1">_xlfn.IFS(EmployeeData[[#This Row],[Status]]="Active",_xlfn.DAYS(TODAY(),EmployeeData[[#This Row],[Join Date]]),EmployeeData[[#This Row],[Status]]="Exited",_xlfn.DAYS(EmployeeData[[#This Row],[Exit Date]],EmployeeData[[#This Row],[Join Date]]))</f>
        <v>165</v>
      </c>
      <c r="L703" cm="1">
        <f t="array" aca="1" ref="L703" ca="1">_xlfn.IFS(EmployeeData[[#This Row],[Status]]="Exited",DATEDIF(EmployeeData[[#This Row],[Join Date]], EmployeeData[[#This Row],[Exit Date]], "Y"),EmployeeData[[#This Row],[Status]]="Active",DATEDIF(EmployeeData[[#This Row],[Join Date]], TODAY(), "Y"))</f>
        <v>0</v>
      </c>
      <c r="Q703" t="str" cm="1">
        <f t="array" aca="1" ref="Q7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704" spans="1:17" hidden="1" x14ac:dyDescent="0.3">
      <c r="A704">
        <v>1703</v>
      </c>
      <c r="B704" t="s">
        <v>141</v>
      </c>
      <c r="C704" t="s">
        <v>10</v>
      </c>
      <c r="D704" t="s">
        <v>24</v>
      </c>
      <c r="E704">
        <v>49</v>
      </c>
      <c r="F704" t="str" cm="1">
        <f t="array" ref="F704">_xlfn.IFS(EmployeeData[[#This Row],[Age]]&lt;30,"20s",EmployeeData[[#This Row],[Age]]&lt;40,"30s",EmployeeData[[#This Row],[Age]]&lt;50,"40s",EmployeeData[[#This Row],[Age]]&lt;60,"50s",EmployeeData[[#This Row],[Age]]&gt;=60,"60s")</f>
        <v>40s</v>
      </c>
      <c r="G704" s="5">
        <v>45398</v>
      </c>
      <c r="H704" s="5">
        <v>45942</v>
      </c>
      <c r="I704" t="s">
        <v>34</v>
      </c>
      <c r="J704" t="s">
        <v>13</v>
      </c>
      <c r="K704" cm="1">
        <f t="array" aca="1" ref="K704" ca="1">_xlfn.IFS(EmployeeData[[#This Row],[Status]]="Active",_xlfn.DAYS(TODAY(),EmployeeData[[#This Row],[Join Date]]),EmployeeData[[#This Row],[Status]]="Exited",_xlfn.DAYS(EmployeeData[[#This Row],[Exit Date]],EmployeeData[[#This Row],[Join Date]]))</f>
        <v>544</v>
      </c>
      <c r="L704" cm="1">
        <f t="array" aca="1" ref="L704" ca="1">_xlfn.IFS(EmployeeData[[#This Row],[Status]]="Exited",DATEDIF(EmployeeData[[#This Row],[Join Date]], EmployeeData[[#This Row],[Exit Date]], "Y"),EmployeeData[[#This Row],[Status]]="Active",DATEDIF(EmployeeData[[#This Row],[Join Date]], TODAY(), "Y"))</f>
        <v>1</v>
      </c>
      <c r="Q704" t="str" cm="1">
        <f t="array" aca="1" ref="Q7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705" spans="1:17" hidden="1" x14ac:dyDescent="0.3">
      <c r="A705">
        <v>1704</v>
      </c>
      <c r="B705" t="s">
        <v>346</v>
      </c>
      <c r="C705" t="s">
        <v>20</v>
      </c>
      <c r="D705" t="s">
        <v>24</v>
      </c>
      <c r="E705">
        <v>60</v>
      </c>
      <c r="F705" t="str" cm="1">
        <f t="array" ref="F705">_xlfn.IFS(EmployeeData[[#This Row],[Age]]&lt;30,"20s",EmployeeData[[#This Row],[Age]]&lt;40,"30s",EmployeeData[[#This Row],[Age]]&lt;50,"40s",EmployeeData[[#This Row],[Age]]&lt;60,"50s",EmployeeData[[#This Row],[Age]]&gt;=60,"60s")</f>
        <v>60s</v>
      </c>
      <c r="G705" s="5">
        <v>45550</v>
      </c>
      <c r="H705" s="5">
        <v>45852</v>
      </c>
      <c r="I705" t="s">
        <v>26</v>
      </c>
      <c r="J705" t="s">
        <v>13</v>
      </c>
      <c r="K705" cm="1">
        <f t="array" aca="1" ref="K705" ca="1">_xlfn.IFS(EmployeeData[[#This Row],[Status]]="Active",_xlfn.DAYS(TODAY(),EmployeeData[[#This Row],[Join Date]]),EmployeeData[[#This Row],[Status]]="Exited",_xlfn.DAYS(EmployeeData[[#This Row],[Exit Date]],EmployeeData[[#This Row],[Join Date]]))</f>
        <v>302</v>
      </c>
      <c r="L705" cm="1">
        <f t="array" aca="1" ref="L705" ca="1">_xlfn.IFS(EmployeeData[[#This Row],[Status]]="Exited",DATEDIF(EmployeeData[[#This Row],[Join Date]], EmployeeData[[#This Row],[Exit Date]], "Y"),EmployeeData[[#This Row],[Status]]="Active",DATEDIF(EmployeeData[[#This Row],[Join Date]], TODAY(), "Y"))</f>
        <v>0</v>
      </c>
      <c r="Q705" t="str" cm="1">
        <f t="array" aca="1" ref="Q7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706" spans="1:17" hidden="1" x14ac:dyDescent="0.3">
      <c r="A706">
        <v>1705</v>
      </c>
      <c r="B706" t="s">
        <v>471</v>
      </c>
      <c r="C706" t="s">
        <v>15</v>
      </c>
      <c r="D706" t="s">
        <v>24</v>
      </c>
      <c r="E706">
        <v>38</v>
      </c>
      <c r="F706" t="str" cm="1">
        <f t="array" ref="F706">_xlfn.IFS(EmployeeData[[#This Row],[Age]]&lt;30,"20s",EmployeeData[[#This Row],[Age]]&lt;40,"30s",EmployeeData[[#This Row],[Age]]&lt;50,"40s",EmployeeData[[#This Row],[Age]]&lt;60,"50s",EmployeeData[[#This Row],[Age]]&gt;=60,"60s")</f>
        <v>30s</v>
      </c>
      <c r="G706" s="5">
        <v>44798</v>
      </c>
      <c r="H706" s="5">
        <v>45834</v>
      </c>
      <c r="I706" t="s">
        <v>34</v>
      </c>
      <c r="J706" t="s">
        <v>13</v>
      </c>
      <c r="K706" cm="1">
        <f t="array" aca="1" ref="K706" ca="1">_xlfn.IFS(EmployeeData[[#This Row],[Status]]="Active",_xlfn.DAYS(TODAY(),EmployeeData[[#This Row],[Join Date]]),EmployeeData[[#This Row],[Status]]="Exited",_xlfn.DAYS(EmployeeData[[#This Row],[Exit Date]],EmployeeData[[#This Row],[Join Date]]))</f>
        <v>1036</v>
      </c>
      <c r="L706" cm="1">
        <f t="array" aca="1" ref="L706" ca="1">_xlfn.IFS(EmployeeData[[#This Row],[Status]]="Exited",DATEDIF(EmployeeData[[#This Row],[Join Date]], EmployeeData[[#This Row],[Exit Date]], "Y"),EmployeeData[[#This Row],[Status]]="Active",DATEDIF(EmployeeData[[#This Row],[Join Date]], TODAY(), "Y"))</f>
        <v>2</v>
      </c>
      <c r="Q706" t="str" cm="1">
        <f t="array" aca="1" ref="Q7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707" spans="1:17" hidden="1" x14ac:dyDescent="0.3">
      <c r="A707">
        <v>1706</v>
      </c>
      <c r="B707" t="s">
        <v>1003</v>
      </c>
      <c r="C707" t="s">
        <v>10</v>
      </c>
      <c r="D707" t="s">
        <v>24</v>
      </c>
      <c r="E707">
        <v>40</v>
      </c>
      <c r="F707" t="str" cm="1">
        <f t="array" ref="F707">_xlfn.IFS(EmployeeData[[#This Row],[Age]]&lt;30,"20s",EmployeeData[[#This Row],[Age]]&lt;40,"30s",EmployeeData[[#This Row],[Age]]&lt;50,"40s",EmployeeData[[#This Row],[Age]]&lt;60,"50s",EmployeeData[[#This Row],[Age]]&gt;=60,"60s")</f>
        <v>40s</v>
      </c>
      <c r="G707" s="5">
        <v>45498</v>
      </c>
      <c r="H707" s="5">
        <v>46160</v>
      </c>
      <c r="I707" t="s">
        <v>34</v>
      </c>
      <c r="J707" t="s">
        <v>13</v>
      </c>
      <c r="K707" cm="1">
        <f t="array" aca="1" ref="K707" ca="1">_xlfn.IFS(EmployeeData[[#This Row],[Status]]="Active",_xlfn.DAYS(TODAY(),EmployeeData[[#This Row],[Join Date]]),EmployeeData[[#This Row],[Status]]="Exited",_xlfn.DAYS(EmployeeData[[#This Row],[Exit Date]],EmployeeData[[#This Row],[Join Date]]))</f>
        <v>662</v>
      </c>
      <c r="L707" cm="1">
        <f t="array" aca="1" ref="L707" ca="1">_xlfn.IFS(EmployeeData[[#This Row],[Status]]="Exited",DATEDIF(EmployeeData[[#This Row],[Join Date]], EmployeeData[[#This Row],[Exit Date]], "Y"),EmployeeData[[#This Row],[Status]]="Active",DATEDIF(EmployeeData[[#This Row],[Join Date]], TODAY(), "Y"))</f>
        <v>1</v>
      </c>
      <c r="Q707" t="str" cm="1">
        <f t="array" aca="1" ref="Q7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708" spans="1:17" hidden="1" x14ac:dyDescent="0.3">
      <c r="A708">
        <v>1707</v>
      </c>
      <c r="B708" t="s">
        <v>101</v>
      </c>
      <c r="C708" t="s">
        <v>15</v>
      </c>
      <c r="D708" t="s">
        <v>16</v>
      </c>
      <c r="E708">
        <v>51</v>
      </c>
      <c r="F708" t="str" cm="1">
        <f t="array" ref="F708">_xlfn.IFS(EmployeeData[[#This Row],[Age]]&lt;30,"20s",EmployeeData[[#This Row],[Age]]&lt;40,"30s",EmployeeData[[#This Row],[Age]]&lt;50,"40s",EmployeeData[[#This Row],[Age]]&lt;60,"50s",EmployeeData[[#This Row],[Age]]&gt;=60,"60s")</f>
        <v>50s</v>
      </c>
      <c r="G708" s="5">
        <v>43609</v>
      </c>
      <c r="I708" t="s">
        <v>17</v>
      </c>
      <c r="J708" t="s">
        <v>18</v>
      </c>
      <c r="K708" cm="1">
        <f t="array" aca="1" ref="K708" ca="1">_xlfn.IFS(EmployeeData[[#This Row],[Status]]="Active",_xlfn.DAYS(TODAY(),EmployeeData[[#This Row],[Join Date]]),EmployeeData[[#This Row],[Status]]="Exited",_xlfn.DAYS(EmployeeData[[#This Row],[Exit Date]],EmployeeData[[#This Row],[Join Date]]))</f>
        <v>2588</v>
      </c>
      <c r="L708" cm="1">
        <f t="array" aca="1" ref="L708" ca="1">_xlfn.IFS(EmployeeData[[#This Row],[Status]]="Exited",DATEDIF(EmployeeData[[#This Row],[Join Date]], EmployeeData[[#This Row],[Exit Date]], "Y"),EmployeeData[[#This Row],[Status]]="Active",DATEDIF(EmployeeData[[#This Row],[Join Date]], TODAY(), "Y"))</f>
        <v>7</v>
      </c>
      <c r="Q708" t="str" cm="1">
        <f t="array" aca="1" ref="Q7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0 days</v>
      </c>
    </row>
    <row r="709" spans="1:17" x14ac:dyDescent="0.3">
      <c r="A709">
        <v>1708</v>
      </c>
      <c r="B709" t="s">
        <v>532</v>
      </c>
      <c r="C709" t="s">
        <v>15</v>
      </c>
      <c r="D709" t="s">
        <v>11</v>
      </c>
      <c r="E709">
        <v>52</v>
      </c>
      <c r="F709" t="str" cm="1">
        <f t="array" ref="F709">_xlfn.IFS(EmployeeData[[#This Row],[Age]]&lt;30,"20s",EmployeeData[[#This Row],[Age]]&lt;40,"30s",EmployeeData[[#This Row],[Age]]&lt;50,"40s",EmployeeData[[#This Row],[Age]]&lt;60,"50s",EmployeeData[[#This Row],[Age]]&gt;=60,"60s")</f>
        <v>50s</v>
      </c>
      <c r="G709" s="5">
        <v>43374</v>
      </c>
      <c r="I709" t="s">
        <v>17</v>
      </c>
      <c r="J709" t="s">
        <v>18</v>
      </c>
      <c r="K709" cm="1">
        <f t="array" aca="1" ref="K709" ca="1">_xlfn.IFS(EmployeeData[[#This Row],[Status]]="Active",_xlfn.DAYS(TODAY(),EmployeeData[[#This Row],[Join Date]]),EmployeeData[[#This Row],[Status]]="Exited",_xlfn.DAYS(EmployeeData[[#This Row],[Exit Date]],EmployeeData[[#This Row],[Join Date]]))</f>
        <v>2823</v>
      </c>
      <c r="L709" cm="1">
        <f t="array" aca="1" ref="L709" ca="1">_xlfn.IFS(EmployeeData[[#This Row],[Status]]="Exited",DATEDIF(EmployeeData[[#This Row],[Join Date]], EmployeeData[[#This Row],[Exit Date]], "Y"),EmployeeData[[#This Row],[Status]]="Active",DATEDIF(EmployeeData[[#This Row],[Join Date]], TODAY(), "Y"))</f>
        <v>7</v>
      </c>
      <c r="Q709" t="str" cm="1">
        <f t="array" aca="1" ref="Q7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23 days</v>
      </c>
    </row>
    <row r="710" spans="1:17" hidden="1" x14ac:dyDescent="0.3">
      <c r="A710">
        <v>1709</v>
      </c>
      <c r="B710" t="s">
        <v>615</v>
      </c>
      <c r="C710" t="s">
        <v>33</v>
      </c>
      <c r="D710" t="s">
        <v>24</v>
      </c>
      <c r="E710">
        <v>51</v>
      </c>
      <c r="F710" t="str" cm="1">
        <f t="array" ref="F710">_xlfn.IFS(EmployeeData[[#This Row],[Age]]&lt;30,"20s",EmployeeData[[#This Row],[Age]]&lt;40,"30s",EmployeeData[[#This Row],[Age]]&lt;50,"40s",EmployeeData[[#This Row],[Age]]&lt;60,"50s",EmployeeData[[#This Row],[Age]]&gt;=60,"60s")</f>
        <v>50s</v>
      </c>
      <c r="G710" s="5">
        <v>45944</v>
      </c>
      <c r="I710" t="s">
        <v>17</v>
      </c>
      <c r="J710" t="s">
        <v>18</v>
      </c>
      <c r="K710" cm="1">
        <f t="array" aca="1" ref="K710" ca="1">_xlfn.IFS(EmployeeData[[#This Row],[Status]]="Active",_xlfn.DAYS(TODAY(),EmployeeData[[#This Row],[Join Date]]),EmployeeData[[#This Row],[Status]]="Exited",_xlfn.DAYS(EmployeeData[[#This Row],[Exit Date]],EmployeeData[[#This Row],[Join Date]]))</f>
        <v>253</v>
      </c>
      <c r="L710" cm="1">
        <f t="array" aca="1" ref="L710" ca="1">_xlfn.IFS(EmployeeData[[#This Row],[Status]]="Exited",DATEDIF(EmployeeData[[#This Row],[Join Date]], EmployeeData[[#This Row],[Exit Date]], "Y"),EmployeeData[[#This Row],[Status]]="Active",DATEDIF(EmployeeData[[#This Row],[Join Date]], TODAY(), "Y"))</f>
        <v>0</v>
      </c>
      <c r="Q710" t="str" cm="1">
        <f t="array" aca="1" ref="Q7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10 days</v>
      </c>
    </row>
    <row r="711" spans="1:17" x14ac:dyDescent="0.3">
      <c r="A711">
        <v>1710</v>
      </c>
      <c r="B711" t="s">
        <v>152</v>
      </c>
      <c r="C711" t="s">
        <v>15</v>
      </c>
      <c r="D711" t="s">
        <v>16</v>
      </c>
      <c r="E711">
        <v>58</v>
      </c>
      <c r="F711" t="str" cm="1">
        <f t="array" ref="F711">_xlfn.IFS(EmployeeData[[#This Row],[Age]]&lt;30,"20s",EmployeeData[[#This Row],[Age]]&lt;40,"30s",EmployeeData[[#This Row],[Age]]&lt;50,"40s",EmployeeData[[#This Row],[Age]]&lt;60,"50s",EmployeeData[[#This Row],[Age]]&gt;=60,"60s")</f>
        <v>50s</v>
      </c>
      <c r="G711" s="5">
        <v>43340</v>
      </c>
      <c r="H711" s="5">
        <v>45318</v>
      </c>
      <c r="I711" t="s">
        <v>52</v>
      </c>
      <c r="J711" t="s">
        <v>13</v>
      </c>
      <c r="K711" cm="1">
        <f t="array" aca="1" ref="K711" ca="1">_xlfn.IFS(EmployeeData[[#This Row],[Status]]="Active",_xlfn.DAYS(TODAY(),EmployeeData[[#This Row],[Join Date]]),EmployeeData[[#This Row],[Status]]="Exited",_xlfn.DAYS(EmployeeData[[#This Row],[Exit Date]],EmployeeData[[#This Row],[Join Date]]))</f>
        <v>1978</v>
      </c>
      <c r="L711" cm="1">
        <f t="array" aca="1" ref="L711" ca="1">_xlfn.IFS(EmployeeData[[#This Row],[Status]]="Exited",DATEDIF(EmployeeData[[#This Row],[Join Date]], EmployeeData[[#This Row],[Exit Date]], "Y"),EmployeeData[[#This Row],[Status]]="Active",DATEDIF(EmployeeData[[#This Row],[Join Date]], TODAY(), "Y"))</f>
        <v>5</v>
      </c>
      <c r="Q711" t="str" cm="1">
        <f t="array" aca="1" ref="Q7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30 days</v>
      </c>
    </row>
    <row r="712" spans="1:17" x14ac:dyDescent="0.3">
      <c r="A712">
        <v>1711</v>
      </c>
      <c r="B712" t="s">
        <v>718</v>
      </c>
      <c r="C712" t="s">
        <v>10</v>
      </c>
      <c r="D712" t="s">
        <v>24</v>
      </c>
      <c r="E712">
        <v>43</v>
      </c>
      <c r="F712" t="str" cm="1">
        <f t="array" ref="F712">_xlfn.IFS(EmployeeData[[#This Row],[Age]]&lt;30,"20s",EmployeeData[[#This Row],[Age]]&lt;40,"30s",EmployeeData[[#This Row],[Age]]&lt;50,"40s",EmployeeData[[#This Row],[Age]]&lt;60,"50s",EmployeeData[[#This Row],[Age]]&gt;=60,"60s")</f>
        <v>40s</v>
      </c>
      <c r="G712" s="5">
        <v>43300</v>
      </c>
      <c r="H712" s="5">
        <v>43704</v>
      </c>
      <c r="I712" t="s">
        <v>65</v>
      </c>
      <c r="J712" t="s">
        <v>13</v>
      </c>
      <c r="K712" cm="1">
        <f t="array" aca="1" ref="K712" ca="1">_xlfn.IFS(EmployeeData[[#This Row],[Status]]="Active",_xlfn.DAYS(TODAY(),EmployeeData[[#This Row],[Join Date]]),EmployeeData[[#This Row],[Status]]="Exited",_xlfn.DAYS(EmployeeData[[#This Row],[Exit Date]],EmployeeData[[#This Row],[Join Date]]))</f>
        <v>404</v>
      </c>
      <c r="L712" cm="1">
        <f t="array" aca="1" ref="L712" ca="1">_xlfn.IFS(EmployeeData[[#This Row],[Status]]="Exited",DATEDIF(EmployeeData[[#This Row],[Join Date]], EmployeeData[[#This Row],[Exit Date]], "Y"),EmployeeData[[#This Row],[Status]]="Active",DATEDIF(EmployeeData[[#This Row],[Join Date]], TODAY(), "Y"))</f>
        <v>1</v>
      </c>
      <c r="Q712" t="str" cm="1">
        <f t="array" aca="1" ref="Q7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713" spans="1:17" hidden="1" x14ac:dyDescent="0.3">
      <c r="A713">
        <v>1712</v>
      </c>
      <c r="B713" t="s">
        <v>319</v>
      </c>
      <c r="C713" t="s">
        <v>23</v>
      </c>
      <c r="D713" t="s">
        <v>11</v>
      </c>
      <c r="E713">
        <v>40</v>
      </c>
      <c r="F713" t="str" cm="1">
        <f t="array" ref="F713">_xlfn.IFS(EmployeeData[[#This Row],[Age]]&lt;30,"20s",EmployeeData[[#This Row],[Age]]&lt;40,"30s",EmployeeData[[#This Row],[Age]]&lt;50,"40s",EmployeeData[[#This Row],[Age]]&lt;60,"50s",EmployeeData[[#This Row],[Age]]&gt;=60,"60s")</f>
        <v>40s</v>
      </c>
      <c r="G713" s="5">
        <v>44212</v>
      </c>
      <c r="I713" t="s">
        <v>17</v>
      </c>
      <c r="J713" t="s">
        <v>18</v>
      </c>
      <c r="K713" cm="1">
        <f t="array" aca="1" ref="K713" ca="1">_xlfn.IFS(EmployeeData[[#This Row],[Status]]="Active",_xlfn.DAYS(TODAY(),EmployeeData[[#This Row],[Join Date]]),EmployeeData[[#This Row],[Status]]="Exited",_xlfn.DAYS(EmployeeData[[#This Row],[Exit Date]],EmployeeData[[#This Row],[Join Date]]))</f>
        <v>1985</v>
      </c>
      <c r="L713" cm="1">
        <f t="array" aca="1" ref="L713" ca="1">_xlfn.IFS(EmployeeData[[#This Row],[Status]]="Exited",DATEDIF(EmployeeData[[#This Row],[Join Date]], EmployeeData[[#This Row],[Exit Date]], "Y"),EmployeeData[[#This Row],[Status]]="Active",DATEDIF(EmployeeData[[#This Row],[Join Date]], TODAY(), "Y"))</f>
        <v>5</v>
      </c>
      <c r="Q713" t="str" cm="1">
        <f t="array" aca="1" ref="Q7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8 days</v>
      </c>
    </row>
    <row r="714" spans="1:17" hidden="1" x14ac:dyDescent="0.3">
      <c r="A714">
        <v>1713</v>
      </c>
      <c r="B714" t="s">
        <v>696</v>
      </c>
      <c r="C714" t="s">
        <v>33</v>
      </c>
      <c r="D714" t="s">
        <v>16</v>
      </c>
      <c r="E714">
        <v>54</v>
      </c>
      <c r="F714" t="str" cm="1">
        <f t="array" ref="F714">_xlfn.IFS(EmployeeData[[#This Row],[Age]]&lt;30,"20s",EmployeeData[[#This Row],[Age]]&lt;40,"30s",EmployeeData[[#This Row],[Age]]&lt;50,"40s",EmployeeData[[#This Row],[Age]]&lt;60,"50s",EmployeeData[[#This Row],[Age]]&gt;=60,"60s")</f>
        <v>50s</v>
      </c>
      <c r="G714" s="5">
        <v>44253</v>
      </c>
      <c r="H714" s="5">
        <v>45336</v>
      </c>
      <c r="I714" t="s">
        <v>12</v>
      </c>
      <c r="J714" t="s">
        <v>13</v>
      </c>
      <c r="K714" cm="1">
        <f t="array" aca="1" ref="K714" ca="1">_xlfn.IFS(EmployeeData[[#This Row],[Status]]="Active",_xlfn.DAYS(TODAY(),EmployeeData[[#This Row],[Join Date]]),EmployeeData[[#This Row],[Status]]="Exited",_xlfn.DAYS(EmployeeData[[#This Row],[Exit Date]],EmployeeData[[#This Row],[Join Date]]))</f>
        <v>1083</v>
      </c>
      <c r="L714" cm="1">
        <f t="array" aca="1" ref="L714" ca="1">_xlfn.IFS(EmployeeData[[#This Row],[Status]]="Exited",DATEDIF(EmployeeData[[#This Row],[Join Date]], EmployeeData[[#This Row],[Exit Date]], "Y"),EmployeeData[[#This Row],[Status]]="Active",DATEDIF(EmployeeData[[#This Row],[Join Date]], TODAY(), "Y"))</f>
        <v>2</v>
      </c>
      <c r="Q714" t="str" cm="1">
        <f t="array" aca="1" ref="Q7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19 days</v>
      </c>
    </row>
    <row r="715" spans="1:17" hidden="1" x14ac:dyDescent="0.3">
      <c r="A715">
        <v>1714</v>
      </c>
      <c r="B715" t="s">
        <v>165</v>
      </c>
      <c r="C715" t="s">
        <v>33</v>
      </c>
      <c r="D715" t="s">
        <v>11</v>
      </c>
      <c r="E715">
        <v>56</v>
      </c>
      <c r="F715" t="str" cm="1">
        <f t="array" ref="F715">_xlfn.IFS(EmployeeData[[#This Row],[Age]]&lt;30,"20s",EmployeeData[[#This Row],[Age]]&lt;40,"30s",EmployeeData[[#This Row],[Age]]&lt;50,"40s",EmployeeData[[#This Row],[Age]]&lt;60,"50s",EmployeeData[[#This Row],[Age]]&gt;=60,"60s")</f>
        <v>50s</v>
      </c>
      <c r="G715" s="5">
        <v>45613</v>
      </c>
      <c r="I715" t="s">
        <v>17</v>
      </c>
      <c r="J715" t="s">
        <v>18</v>
      </c>
      <c r="K715" cm="1">
        <f t="array" aca="1" ref="K715" ca="1">_xlfn.IFS(EmployeeData[[#This Row],[Status]]="Active",_xlfn.DAYS(TODAY(),EmployeeData[[#This Row],[Join Date]]),EmployeeData[[#This Row],[Status]]="Exited",_xlfn.DAYS(EmployeeData[[#This Row],[Exit Date]],EmployeeData[[#This Row],[Join Date]]))</f>
        <v>584</v>
      </c>
      <c r="L715" cm="1">
        <f t="array" aca="1" ref="L715" ca="1">_xlfn.IFS(EmployeeData[[#This Row],[Status]]="Exited",DATEDIF(EmployeeData[[#This Row],[Join Date]], EmployeeData[[#This Row],[Exit Date]], "Y"),EmployeeData[[#This Row],[Status]]="Active",DATEDIF(EmployeeData[[#This Row],[Join Date]], TODAY(), "Y"))</f>
        <v>1</v>
      </c>
      <c r="Q715" t="str" cm="1">
        <f t="array" aca="1" ref="Q7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7 days</v>
      </c>
    </row>
    <row r="716" spans="1:17" hidden="1" x14ac:dyDescent="0.3">
      <c r="A716">
        <v>1715</v>
      </c>
      <c r="B716" t="s">
        <v>459</v>
      </c>
      <c r="C716" t="s">
        <v>20</v>
      </c>
      <c r="D716" t="s">
        <v>11</v>
      </c>
      <c r="E716">
        <v>47</v>
      </c>
      <c r="F716" t="str" cm="1">
        <f t="array" ref="F716">_xlfn.IFS(EmployeeData[[#This Row],[Age]]&lt;30,"20s",EmployeeData[[#This Row],[Age]]&lt;40,"30s",EmployeeData[[#This Row],[Age]]&lt;50,"40s",EmployeeData[[#This Row],[Age]]&lt;60,"50s",EmployeeData[[#This Row],[Age]]&gt;=60,"60s")</f>
        <v>40s</v>
      </c>
      <c r="G716" s="5">
        <v>44987</v>
      </c>
      <c r="I716" t="s">
        <v>17</v>
      </c>
      <c r="J716" t="s">
        <v>18</v>
      </c>
      <c r="K716" cm="1">
        <f t="array" aca="1" ref="K716" ca="1">_xlfn.IFS(EmployeeData[[#This Row],[Status]]="Active",_xlfn.DAYS(TODAY(),EmployeeData[[#This Row],[Join Date]]),EmployeeData[[#This Row],[Status]]="Exited",_xlfn.DAYS(EmployeeData[[#This Row],[Exit Date]],EmployeeData[[#This Row],[Join Date]]))</f>
        <v>1210</v>
      </c>
      <c r="L716" cm="1">
        <f t="array" aca="1" ref="L716" ca="1">_xlfn.IFS(EmployeeData[[#This Row],[Status]]="Exited",DATEDIF(EmployeeData[[#This Row],[Join Date]], EmployeeData[[#This Row],[Exit Date]], "Y"),EmployeeData[[#This Row],[Status]]="Active",DATEDIF(EmployeeData[[#This Row],[Join Date]], TODAY(), "Y"))</f>
        <v>3</v>
      </c>
      <c r="Q716" t="str" cm="1">
        <f t="array" aca="1" ref="Q7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22 days</v>
      </c>
    </row>
    <row r="717" spans="1:17" hidden="1" x14ac:dyDescent="0.3">
      <c r="A717">
        <v>1716</v>
      </c>
      <c r="B717" t="s">
        <v>867</v>
      </c>
      <c r="C717" t="s">
        <v>23</v>
      </c>
      <c r="D717" t="s">
        <v>16</v>
      </c>
      <c r="E717">
        <v>44</v>
      </c>
      <c r="F717" t="str" cm="1">
        <f t="array" ref="F717">_xlfn.IFS(EmployeeData[[#This Row],[Age]]&lt;30,"20s",EmployeeData[[#This Row],[Age]]&lt;40,"30s",EmployeeData[[#This Row],[Age]]&lt;50,"40s",EmployeeData[[#This Row],[Age]]&lt;60,"50s",EmployeeData[[#This Row],[Age]]&gt;=60,"60s")</f>
        <v>40s</v>
      </c>
      <c r="G717" s="5">
        <v>43670</v>
      </c>
      <c r="I717" t="s">
        <v>17</v>
      </c>
      <c r="J717" t="s">
        <v>18</v>
      </c>
      <c r="K717" cm="1">
        <f t="array" aca="1" ref="K717" ca="1">_xlfn.IFS(EmployeeData[[#This Row],[Status]]="Active",_xlfn.DAYS(TODAY(),EmployeeData[[#This Row],[Join Date]]),EmployeeData[[#This Row],[Status]]="Exited",_xlfn.DAYS(EmployeeData[[#This Row],[Exit Date]],EmployeeData[[#This Row],[Join Date]]))</f>
        <v>2527</v>
      </c>
      <c r="L717" cm="1">
        <f t="array" aca="1" ref="L717" ca="1">_xlfn.IFS(EmployeeData[[#This Row],[Status]]="Exited",DATEDIF(EmployeeData[[#This Row],[Join Date]], EmployeeData[[#This Row],[Exit Date]], "Y"),EmployeeData[[#This Row],[Status]]="Active",DATEDIF(EmployeeData[[#This Row],[Join Date]], TODAY(), "Y"))</f>
        <v>6</v>
      </c>
      <c r="Q717" t="str" cm="1">
        <f t="array" aca="1" ref="Q7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0 days</v>
      </c>
    </row>
    <row r="718" spans="1:17" hidden="1" x14ac:dyDescent="0.3">
      <c r="A718">
        <v>1717</v>
      </c>
      <c r="B718" t="s">
        <v>243</v>
      </c>
      <c r="C718" t="s">
        <v>15</v>
      </c>
      <c r="D718" t="s">
        <v>11</v>
      </c>
      <c r="E718">
        <v>35</v>
      </c>
      <c r="F718" t="str" cm="1">
        <f t="array" ref="F718">_xlfn.IFS(EmployeeData[[#This Row],[Age]]&lt;30,"20s",EmployeeData[[#This Row],[Age]]&lt;40,"30s",EmployeeData[[#This Row],[Age]]&lt;50,"40s",EmployeeData[[#This Row],[Age]]&lt;60,"50s",EmployeeData[[#This Row],[Age]]&gt;=60,"60s")</f>
        <v>30s</v>
      </c>
      <c r="G718" s="5">
        <v>43628</v>
      </c>
      <c r="I718" t="s">
        <v>17</v>
      </c>
      <c r="J718" t="s">
        <v>18</v>
      </c>
      <c r="K718" cm="1">
        <f t="array" aca="1" ref="K718" ca="1">_xlfn.IFS(EmployeeData[[#This Row],[Status]]="Active",_xlfn.DAYS(TODAY(),EmployeeData[[#This Row],[Join Date]]),EmployeeData[[#This Row],[Status]]="Exited",_xlfn.DAYS(EmployeeData[[#This Row],[Exit Date]],EmployeeData[[#This Row],[Join Date]]))</f>
        <v>2569</v>
      </c>
      <c r="L718" cm="1">
        <f t="array" aca="1" ref="L718" ca="1">_xlfn.IFS(EmployeeData[[#This Row],[Status]]="Exited",DATEDIF(EmployeeData[[#This Row],[Join Date]], EmployeeData[[#This Row],[Exit Date]], "Y"),EmployeeData[[#This Row],[Status]]="Active",DATEDIF(EmployeeData[[#This Row],[Join Date]], TODAY(), "Y"))</f>
        <v>7</v>
      </c>
      <c r="Q718" t="str" cm="1">
        <f t="array" aca="1" ref="Q7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12 days</v>
      </c>
    </row>
    <row r="719" spans="1:17" hidden="1" x14ac:dyDescent="0.3">
      <c r="A719">
        <v>1718</v>
      </c>
      <c r="B719" t="s">
        <v>699</v>
      </c>
      <c r="C719" t="s">
        <v>15</v>
      </c>
      <c r="D719" t="s">
        <v>11</v>
      </c>
      <c r="E719">
        <v>48</v>
      </c>
      <c r="F719" t="str" cm="1">
        <f t="array" ref="F719">_xlfn.IFS(EmployeeData[[#This Row],[Age]]&lt;30,"20s",EmployeeData[[#This Row],[Age]]&lt;40,"30s",EmployeeData[[#This Row],[Age]]&lt;50,"40s",EmployeeData[[#This Row],[Age]]&lt;60,"50s",EmployeeData[[#This Row],[Age]]&gt;=60,"60s")</f>
        <v>40s</v>
      </c>
      <c r="G719" s="5">
        <v>45930</v>
      </c>
      <c r="I719" t="s">
        <v>17</v>
      </c>
      <c r="J719" t="s">
        <v>18</v>
      </c>
      <c r="K719" cm="1">
        <f t="array" aca="1" ref="K719" ca="1">_xlfn.IFS(EmployeeData[[#This Row],[Status]]="Active",_xlfn.DAYS(TODAY(),EmployeeData[[#This Row],[Join Date]]),EmployeeData[[#This Row],[Status]]="Exited",_xlfn.DAYS(EmployeeData[[#This Row],[Exit Date]],EmployeeData[[#This Row],[Join Date]]))</f>
        <v>267</v>
      </c>
      <c r="L719" cm="1">
        <f t="array" aca="1" ref="L719" ca="1">_xlfn.IFS(EmployeeData[[#This Row],[Status]]="Exited",DATEDIF(EmployeeData[[#This Row],[Join Date]], EmployeeData[[#This Row],[Exit Date]], "Y"),EmployeeData[[#This Row],[Status]]="Active",DATEDIF(EmployeeData[[#This Row],[Join Date]], TODAY(), "Y"))</f>
        <v>0</v>
      </c>
      <c r="Q719" t="str" cm="1">
        <f t="array" aca="1" ref="Q7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720" spans="1:17" x14ac:dyDescent="0.3">
      <c r="A720">
        <v>1719</v>
      </c>
      <c r="B720" t="s">
        <v>513</v>
      </c>
      <c r="C720" t="s">
        <v>20</v>
      </c>
      <c r="D720" t="s">
        <v>16</v>
      </c>
      <c r="E720">
        <v>27</v>
      </c>
      <c r="F720" t="str" cm="1">
        <f t="array" ref="F720">_xlfn.IFS(EmployeeData[[#This Row],[Age]]&lt;30,"20s",EmployeeData[[#This Row],[Age]]&lt;40,"30s",EmployeeData[[#This Row],[Age]]&lt;50,"40s",EmployeeData[[#This Row],[Age]]&lt;60,"50s",EmployeeData[[#This Row],[Age]]&gt;=60,"60s")</f>
        <v>20s</v>
      </c>
      <c r="G720" s="5">
        <v>43235</v>
      </c>
      <c r="I720" t="s">
        <v>17</v>
      </c>
      <c r="J720" t="s">
        <v>18</v>
      </c>
      <c r="K720" cm="1">
        <f t="array" aca="1" ref="K720" ca="1">_xlfn.IFS(EmployeeData[[#This Row],[Status]]="Active",_xlfn.DAYS(TODAY(),EmployeeData[[#This Row],[Join Date]]),EmployeeData[[#This Row],[Status]]="Exited",_xlfn.DAYS(EmployeeData[[#This Row],[Exit Date]],EmployeeData[[#This Row],[Join Date]]))</f>
        <v>2962</v>
      </c>
      <c r="L720" cm="1">
        <f t="array" aca="1" ref="L720" ca="1">_xlfn.IFS(EmployeeData[[#This Row],[Status]]="Exited",DATEDIF(EmployeeData[[#This Row],[Join Date]], EmployeeData[[#This Row],[Exit Date]], "Y"),EmployeeData[[#This Row],[Status]]="Active",DATEDIF(EmployeeData[[#This Row],[Join Date]], TODAY(), "Y"))</f>
        <v>8</v>
      </c>
      <c r="Q720" t="str" cm="1">
        <f t="array" aca="1" ref="Q7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9 days</v>
      </c>
    </row>
    <row r="721" spans="1:17" hidden="1" x14ac:dyDescent="0.3">
      <c r="A721">
        <v>1720</v>
      </c>
      <c r="B721" t="s">
        <v>111</v>
      </c>
      <c r="C721" t="s">
        <v>46</v>
      </c>
      <c r="D721" t="s">
        <v>16</v>
      </c>
      <c r="E721">
        <v>40</v>
      </c>
      <c r="F721" t="str" cm="1">
        <f t="array" ref="F721">_xlfn.IFS(EmployeeData[[#This Row],[Age]]&lt;30,"20s",EmployeeData[[#This Row],[Age]]&lt;40,"30s",EmployeeData[[#This Row],[Age]]&lt;50,"40s",EmployeeData[[#This Row],[Age]]&lt;60,"50s",EmployeeData[[#This Row],[Age]]&gt;=60,"60s")</f>
        <v>40s</v>
      </c>
      <c r="G721" s="5">
        <v>45835</v>
      </c>
      <c r="H721" s="5">
        <v>45974</v>
      </c>
      <c r="I721" t="s">
        <v>52</v>
      </c>
      <c r="J721" t="s">
        <v>13</v>
      </c>
      <c r="K721" cm="1">
        <f t="array" aca="1" ref="K721" ca="1">_xlfn.IFS(EmployeeData[[#This Row],[Status]]="Active",_xlfn.DAYS(TODAY(),EmployeeData[[#This Row],[Join Date]]),EmployeeData[[#This Row],[Status]]="Exited",_xlfn.DAYS(EmployeeData[[#This Row],[Exit Date]],EmployeeData[[#This Row],[Join Date]]))</f>
        <v>139</v>
      </c>
      <c r="L721" cm="1">
        <f t="array" aca="1" ref="L721" ca="1">_xlfn.IFS(EmployeeData[[#This Row],[Status]]="Exited",DATEDIF(EmployeeData[[#This Row],[Join Date]], EmployeeData[[#This Row],[Exit Date]], "Y"),EmployeeData[[#This Row],[Status]]="Active",DATEDIF(EmployeeData[[#This Row],[Join Date]], TODAY(), "Y"))</f>
        <v>0</v>
      </c>
      <c r="Q721" t="str" cm="1">
        <f t="array" aca="1" ref="Q7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17 days</v>
      </c>
    </row>
    <row r="722" spans="1:17" hidden="1" x14ac:dyDescent="0.3">
      <c r="A722">
        <v>1721</v>
      </c>
      <c r="B722" t="s">
        <v>405</v>
      </c>
      <c r="C722" t="s">
        <v>15</v>
      </c>
      <c r="D722" t="s">
        <v>24</v>
      </c>
      <c r="E722">
        <v>26</v>
      </c>
      <c r="F722" t="str" cm="1">
        <f t="array" ref="F722">_xlfn.IFS(EmployeeData[[#This Row],[Age]]&lt;30,"20s",EmployeeData[[#This Row],[Age]]&lt;40,"30s",EmployeeData[[#This Row],[Age]]&lt;50,"40s",EmployeeData[[#This Row],[Age]]&lt;60,"50s",EmployeeData[[#This Row],[Age]]&gt;=60,"60s")</f>
        <v>20s</v>
      </c>
      <c r="G722" s="5">
        <v>43697</v>
      </c>
      <c r="I722" t="s">
        <v>17</v>
      </c>
      <c r="J722" t="s">
        <v>18</v>
      </c>
      <c r="K722" cm="1">
        <f t="array" aca="1" ref="K722" ca="1">_xlfn.IFS(EmployeeData[[#This Row],[Status]]="Active",_xlfn.DAYS(TODAY(),EmployeeData[[#This Row],[Join Date]]),EmployeeData[[#This Row],[Status]]="Exited",_xlfn.DAYS(EmployeeData[[#This Row],[Exit Date]],EmployeeData[[#This Row],[Join Date]]))</f>
        <v>2500</v>
      </c>
      <c r="L722" cm="1">
        <f t="array" aca="1" ref="L722" ca="1">_xlfn.IFS(EmployeeData[[#This Row],[Status]]="Exited",DATEDIF(EmployeeData[[#This Row],[Join Date]], EmployeeData[[#This Row],[Exit Date]], "Y"),EmployeeData[[#This Row],[Status]]="Active",DATEDIF(EmployeeData[[#This Row],[Join Date]], TODAY(), "Y"))</f>
        <v>6</v>
      </c>
      <c r="Q722" t="str" cm="1">
        <f t="array" aca="1" ref="Q7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4 days</v>
      </c>
    </row>
    <row r="723" spans="1:17" hidden="1" x14ac:dyDescent="0.3">
      <c r="A723">
        <v>1722</v>
      </c>
      <c r="B723" t="s">
        <v>88</v>
      </c>
      <c r="C723" t="s">
        <v>33</v>
      </c>
      <c r="D723" t="s">
        <v>11</v>
      </c>
      <c r="E723">
        <v>36</v>
      </c>
      <c r="F723" t="str" cm="1">
        <f t="array" ref="F723">_xlfn.IFS(EmployeeData[[#This Row],[Age]]&lt;30,"20s",EmployeeData[[#This Row],[Age]]&lt;40,"30s",EmployeeData[[#This Row],[Age]]&lt;50,"40s",EmployeeData[[#This Row],[Age]]&lt;60,"50s",EmployeeData[[#This Row],[Age]]&gt;=60,"60s")</f>
        <v>30s</v>
      </c>
      <c r="G723" s="5">
        <v>45169</v>
      </c>
      <c r="I723" t="s">
        <v>17</v>
      </c>
      <c r="J723" t="s">
        <v>18</v>
      </c>
      <c r="K723" cm="1">
        <f t="array" aca="1" ref="K723" ca="1">_xlfn.IFS(EmployeeData[[#This Row],[Status]]="Active",_xlfn.DAYS(TODAY(),EmployeeData[[#This Row],[Join Date]]),EmployeeData[[#This Row],[Status]]="Exited",_xlfn.DAYS(EmployeeData[[#This Row],[Exit Date]],EmployeeData[[#This Row],[Join Date]]))</f>
        <v>1028</v>
      </c>
      <c r="L723" cm="1">
        <f t="array" aca="1" ref="L723" ca="1">_xlfn.IFS(EmployeeData[[#This Row],[Status]]="Exited",DATEDIF(EmployeeData[[#This Row],[Join Date]], EmployeeData[[#This Row],[Exit Date]], "Y"),EmployeeData[[#This Row],[Status]]="Active",DATEDIF(EmployeeData[[#This Row],[Join Date]], TODAY(), "Y"))</f>
        <v>2</v>
      </c>
      <c r="Q723" t="str" cm="1">
        <f t="array" aca="1" ref="Q7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24 days</v>
      </c>
    </row>
    <row r="724" spans="1:17" hidden="1" x14ac:dyDescent="0.3">
      <c r="A724">
        <v>1723</v>
      </c>
      <c r="B724" t="s">
        <v>656</v>
      </c>
      <c r="C724" t="s">
        <v>23</v>
      </c>
      <c r="D724" t="s">
        <v>11</v>
      </c>
      <c r="E724">
        <v>39</v>
      </c>
      <c r="F724" t="str" cm="1">
        <f t="array" ref="F724">_xlfn.IFS(EmployeeData[[#This Row],[Age]]&lt;30,"20s",EmployeeData[[#This Row],[Age]]&lt;40,"30s",EmployeeData[[#This Row],[Age]]&lt;50,"40s",EmployeeData[[#This Row],[Age]]&lt;60,"50s",EmployeeData[[#This Row],[Age]]&gt;=60,"60s")</f>
        <v>30s</v>
      </c>
      <c r="G724" s="5">
        <v>43804</v>
      </c>
      <c r="I724" t="s">
        <v>17</v>
      </c>
      <c r="J724" t="s">
        <v>18</v>
      </c>
      <c r="K724" cm="1">
        <f t="array" aca="1" ref="K724" ca="1">_xlfn.IFS(EmployeeData[[#This Row],[Status]]="Active",_xlfn.DAYS(TODAY(),EmployeeData[[#This Row],[Join Date]]),EmployeeData[[#This Row],[Status]]="Exited",_xlfn.DAYS(EmployeeData[[#This Row],[Exit Date]],EmployeeData[[#This Row],[Join Date]]))</f>
        <v>2393</v>
      </c>
      <c r="L724" cm="1">
        <f t="array" aca="1" ref="L724" ca="1">_xlfn.IFS(EmployeeData[[#This Row],[Status]]="Exited",DATEDIF(EmployeeData[[#This Row],[Join Date]], EmployeeData[[#This Row],[Exit Date]], "Y"),EmployeeData[[#This Row],[Status]]="Active",DATEDIF(EmployeeData[[#This Row],[Join Date]], TODAY(), "Y"))</f>
        <v>6</v>
      </c>
      <c r="Q724" t="str" cm="1">
        <f t="array" aca="1" ref="Q7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725" spans="1:17" hidden="1" x14ac:dyDescent="0.3">
      <c r="A725">
        <v>1724</v>
      </c>
      <c r="B725" t="s">
        <v>785</v>
      </c>
      <c r="C725" t="s">
        <v>15</v>
      </c>
      <c r="D725" t="s">
        <v>16</v>
      </c>
      <c r="E725">
        <v>53</v>
      </c>
      <c r="F725" t="str" cm="1">
        <f t="array" ref="F725">_xlfn.IFS(EmployeeData[[#This Row],[Age]]&lt;30,"20s",EmployeeData[[#This Row],[Age]]&lt;40,"30s",EmployeeData[[#This Row],[Age]]&lt;50,"40s",EmployeeData[[#This Row],[Age]]&lt;60,"50s",EmployeeData[[#This Row],[Age]]&gt;=60,"60s")</f>
        <v>50s</v>
      </c>
      <c r="G725" s="5">
        <v>45999</v>
      </c>
      <c r="I725" t="s">
        <v>17</v>
      </c>
      <c r="J725" t="s">
        <v>18</v>
      </c>
      <c r="K725" cm="1">
        <f t="array" aca="1" ref="K725" ca="1">_xlfn.IFS(EmployeeData[[#This Row],[Status]]="Active",_xlfn.DAYS(TODAY(),EmployeeData[[#This Row],[Join Date]]),EmployeeData[[#This Row],[Status]]="Exited",_xlfn.DAYS(EmployeeData[[#This Row],[Exit Date]],EmployeeData[[#This Row],[Join Date]]))</f>
        <v>198</v>
      </c>
      <c r="L725" cm="1">
        <f t="array" aca="1" ref="L725" ca="1">_xlfn.IFS(EmployeeData[[#This Row],[Status]]="Exited",DATEDIF(EmployeeData[[#This Row],[Join Date]], EmployeeData[[#This Row],[Exit Date]], "Y"),EmployeeData[[#This Row],[Status]]="Active",DATEDIF(EmployeeData[[#This Row],[Join Date]], TODAY(), "Y"))</f>
        <v>0</v>
      </c>
      <c r="Q725" t="str" cm="1">
        <f t="array" aca="1" ref="Q7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16 days</v>
      </c>
    </row>
    <row r="726" spans="1:17" hidden="1" x14ac:dyDescent="0.3">
      <c r="A726">
        <v>1725</v>
      </c>
      <c r="B726" t="s">
        <v>274</v>
      </c>
      <c r="C726" t="s">
        <v>15</v>
      </c>
      <c r="D726" t="s">
        <v>11</v>
      </c>
      <c r="E726">
        <v>45</v>
      </c>
      <c r="F726" t="str" cm="1">
        <f t="array" ref="F726">_xlfn.IFS(EmployeeData[[#This Row],[Age]]&lt;30,"20s",EmployeeData[[#This Row],[Age]]&lt;40,"30s",EmployeeData[[#This Row],[Age]]&lt;50,"40s",EmployeeData[[#This Row],[Age]]&lt;60,"50s",EmployeeData[[#This Row],[Age]]&gt;=60,"60s")</f>
        <v>40s</v>
      </c>
      <c r="G726" s="5">
        <v>44838</v>
      </c>
      <c r="H726" s="5">
        <v>45394</v>
      </c>
      <c r="I726" t="s">
        <v>12</v>
      </c>
      <c r="J726" t="s">
        <v>13</v>
      </c>
      <c r="K726" cm="1">
        <f t="array" aca="1" ref="K726" ca="1">_xlfn.IFS(EmployeeData[[#This Row],[Status]]="Active",_xlfn.DAYS(TODAY(),EmployeeData[[#This Row],[Join Date]]),EmployeeData[[#This Row],[Status]]="Exited",_xlfn.DAYS(EmployeeData[[#This Row],[Exit Date]],EmployeeData[[#This Row],[Join Date]]))</f>
        <v>556</v>
      </c>
      <c r="L726" cm="1">
        <f t="array" aca="1" ref="L726" ca="1">_xlfn.IFS(EmployeeData[[#This Row],[Status]]="Exited",DATEDIF(EmployeeData[[#This Row],[Join Date]], EmployeeData[[#This Row],[Exit Date]], "Y"),EmployeeData[[#This Row],[Status]]="Active",DATEDIF(EmployeeData[[#This Row],[Join Date]], TODAY(), "Y"))</f>
        <v>1</v>
      </c>
      <c r="Q726" t="str" cm="1">
        <f t="array" aca="1" ref="Q7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727" spans="1:17" hidden="1" x14ac:dyDescent="0.3">
      <c r="A727">
        <v>1726</v>
      </c>
      <c r="B727" t="s">
        <v>901</v>
      </c>
      <c r="C727" t="s">
        <v>23</v>
      </c>
      <c r="D727" t="s">
        <v>24</v>
      </c>
      <c r="E727">
        <v>39</v>
      </c>
      <c r="F727" t="str" cm="1">
        <f t="array" ref="F727">_xlfn.IFS(EmployeeData[[#This Row],[Age]]&lt;30,"20s",EmployeeData[[#This Row],[Age]]&lt;40,"30s",EmployeeData[[#This Row],[Age]]&lt;50,"40s",EmployeeData[[#This Row],[Age]]&lt;60,"50s",EmployeeData[[#This Row],[Age]]&gt;=60,"60s")</f>
        <v>30s</v>
      </c>
      <c r="G727" s="5">
        <v>45383</v>
      </c>
      <c r="I727" t="s">
        <v>17</v>
      </c>
      <c r="J727" t="s">
        <v>18</v>
      </c>
      <c r="K727" cm="1">
        <f t="array" aca="1" ref="K727" ca="1">_xlfn.IFS(EmployeeData[[#This Row],[Status]]="Active",_xlfn.DAYS(TODAY(),EmployeeData[[#This Row],[Join Date]]),EmployeeData[[#This Row],[Status]]="Exited",_xlfn.DAYS(EmployeeData[[#This Row],[Exit Date]],EmployeeData[[#This Row],[Join Date]]))</f>
        <v>814</v>
      </c>
      <c r="L727" cm="1">
        <f t="array" aca="1" ref="L727" ca="1">_xlfn.IFS(EmployeeData[[#This Row],[Status]]="Exited",DATEDIF(EmployeeData[[#This Row],[Join Date]], EmployeeData[[#This Row],[Exit Date]], "Y"),EmployeeData[[#This Row],[Status]]="Active",DATEDIF(EmployeeData[[#This Row],[Join Date]], TODAY(), "Y"))</f>
        <v>2</v>
      </c>
      <c r="Q727" t="str" cm="1">
        <f t="array" aca="1" ref="Q7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23 days</v>
      </c>
    </row>
    <row r="728" spans="1:17" hidden="1" x14ac:dyDescent="0.3">
      <c r="A728">
        <v>1727</v>
      </c>
      <c r="B728" t="s">
        <v>682</v>
      </c>
      <c r="C728" t="s">
        <v>10</v>
      </c>
      <c r="D728" t="s">
        <v>24</v>
      </c>
      <c r="E728">
        <v>40</v>
      </c>
      <c r="F728" t="str" cm="1">
        <f t="array" ref="F728">_xlfn.IFS(EmployeeData[[#This Row],[Age]]&lt;30,"20s",EmployeeData[[#This Row],[Age]]&lt;40,"30s",EmployeeData[[#This Row],[Age]]&lt;50,"40s",EmployeeData[[#This Row],[Age]]&lt;60,"50s",EmployeeData[[#This Row],[Age]]&gt;=60,"60s")</f>
        <v>40s</v>
      </c>
      <c r="G728" s="5">
        <v>45915</v>
      </c>
      <c r="I728" t="s">
        <v>17</v>
      </c>
      <c r="J728" t="s">
        <v>18</v>
      </c>
      <c r="K728" cm="1">
        <f t="array" aca="1" ref="K728" ca="1">_xlfn.IFS(EmployeeData[[#This Row],[Status]]="Active",_xlfn.DAYS(TODAY(),EmployeeData[[#This Row],[Join Date]]),EmployeeData[[#This Row],[Status]]="Exited",_xlfn.DAYS(EmployeeData[[#This Row],[Exit Date]],EmployeeData[[#This Row],[Join Date]]))</f>
        <v>282</v>
      </c>
      <c r="L728" cm="1">
        <f t="array" aca="1" ref="L728" ca="1">_xlfn.IFS(EmployeeData[[#This Row],[Status]]="Exited",DATEDIF(EmployeeData[[#This Row],[Join Date]], EmployeeData[[#This Row],[Exit Date]], "Y"),EmployeeData[[#This Row],[Status]]="Active",DATEDIF(EmployeeData[[#This Row],[Join Date]], TODAY(), "Y"))</f>
        <v>0</v>
      </c>
      <c r="Q728" t="str" cm="1">
        <f t="array" aca="1" ref="Q7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729" spans="1:17" hidden="1" x14ac:dyDescent="0.3">
      <c r="A729">
        <v>1728</v>
      </c>
      <c r="B729" t="s">
        <v>188</v>
      </c>
      <c r="C729" t="s">
        <v>46</v>
      </c>
      <c r="D729" t="s">
        <v>24</v>
      </c>
      <c r="E729">
        <v>25</v>
      </c>
      <c r="F729" t="str" cm="1">
        <f t="array" ref="F729">_xlfn.IFS(EmployeeData[[#This Row],[Age]]&lt;30,"20s",EmployeeData[[#This Row],[Age]]&lt;40,"30s",EmployeeData[[#This Row],[Age]]&lt;50,"40s",EmployeeData[[#This Row],[Age]]&lt;60,"50s",EmployeeData[[#This Row],[Age]]&gt;=60,"60s")</f>
        <v>20s</v>
      </c>
      <c r="G729" s="5">
        <v>45049</v>
      </c>
      <c r="I729" t="s">
        <v>17</v>
      </c>
      <c r="J729" t="s">
        <v>18</v>
      </c>
      <c r="K729" cm="1">
        <f t="array" aca="1" ref="K729" ca="1">_xlfn.IFS(EmployeeData[[#This Row],[Status]]="Active",_xlfn.DAYS(TODAY(),EmployeeData[[#This Row],[Join Date]]),EmployeeData[[#This Row],[Status]]="Exited",_xlfn.DAYS(EmployeeData[[#This Row],[Exit Date]],EmployeeData[[#This Row],[Join Date]]))</f>
        <v>1148</v>
      </c>
      <c r="L729" cm="1">
        <f t="array" aca="1" ref="L729" ca="1">_xlfn.IFS(EmployeeData[[#This Row],[Status]]="Exited",DATEDIF(EmployeeData[[#This Row],[Join Date]], EmployeeData[[#This Row],[Exit Date]], "Y"),EmployeeData[[#This Row],[Status]]="Active",DATEDIF(EmployeeData[[#This Row],[Join Date]], TODAY(), "Y"))</f>
        <v>3</v>
      </c>
      <c r="Q729" t="str" cm="1">
        <f t="array" aca="1" ref="Q7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730" spans="1:17" hidden="1" x14ac:dyDescent="0.3">
      <c r="A730">
        <v>1729</v>
      </c>
      <c r="B730" t="s">
        <v>608</v>
      </c>
      <c r="C730" t="s">
        <v>20</v>
      </c>
      <c r="D730" t="s">
        <v>24</v>
      </c>
      <c r="E730">
        <v>54</v>
      </c>
      <c r="F730" t="str" cm="1">
        <f t="array" ref="F730">_xlfn.IFS(EmployeeData[[#This Row],[Age]]&lt;30,"20s",EmployeeData[[#This Row],[Age]]&lt;40,"30s",EmployeeData[[#This Row],[Age]]&lt;50,"40s",EmployeeData[[#This Row],[Age]]&lt;60,"50s",EmployeeData[[#This Row],[Age]]&gt;=60,"60s")</f>
        <v>50s</v>
      </c>
      <c r="G730" s="5">
        <v>45798</v>
      </c>
      <c r="I730" t="s">
        <v>17</v>
      </c>
      <c r="J730" t="s">
        <v>18</v>
      </c>
      <c r="K730" cm="1">
        <f t="array" aca="1" ref="K730" ca="1">_xlfn.IFS(EmployeeData[[#This Row],[Status]]="Active",_xlfn.DAYS(TODAY(),EmployeeData[[#This Row],[Join Date]]),EmployeeData[[#This Row],[Status]]="Exited",_xlfn.DAYS(EmployeeData[[#This Row],[Exit Date]],EmployeeData[[#This Row],[Join Date]]))</f>
        <v>399</v>
      </c>
      <c r="L730" cm="1">
        <f t="array" aca="1" ref="L730" ca="1">_xlfn.IFS(EmployeeData[[#This Row],[Status]]="Exited",DATEDIF(EmployeeData[[#This Row],[Join Date]], EmployeeData[[#This Row],[Exit Date]], "Y"),EmployeeData[[#This Row],[Status]]="Active",DATEDIF(EmployeeData[[#This Row],[Join Date]], TODAY(), "Y"))</f>
        <v>1</v>
      </c>
      <c r="Q730" t="str" cm="1">
        <f t="array" aca="1" ref="Q7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 days</v>
      </c>
    </row>
    <row r="731" spans="1:17" x14ac:dyDescent="0.3">
      <c r="A731">
        <v>1730</v>
      </c>
      <c r="B731" t="s">
        <v>368</v>
      </c>
      <c r="C731" t="s">
        <v>20</v>
      </c>
      <c r="D731" t="s">
        <v>11</v>
      </c>
      <c r="E731">
        <v>62</v>
      </c>
      <c r="F731" t="str" cm="1">
        <f t="array" ref="F731">_xlfn.IFS(EmployeeData[[#This Row],[Age]]&lt;30,"20s",EmployeeData[[#This Row],[Age]]&lt;40,"30s",EmployeeData[[#This Row],[Age]]&lt;50,"40s",EmployeeData[[#This Row],[Age]]&lt;60,"50s",EmployeeData[[#This Row],[Age]]&gt;=60,"60s")</f>
        <v>60s</v>
      </c>
      <c r="G731" s="5">
        <v>43366</v>
      </c>
      <c r="H731" s="5">
        <v>44271</v>
      </c>
      <c r="I731" t="s">
        <v>26</v>
      </c>
      <c r="J731" t="s">
        <v>13</v>
      </c>
      <c r="K731" cm="1">
        <f t="array" aca="1" ref="K731" ca="1">_xlfn.IFS(EmployeeData[[#This Row],[Status]]="Active",_xlfn.DAYS(TODAY(),EmployeeData[[#This Row],[Join Date]]),EmployeeData[[#This Row],[Status]]="Exited",_xlfn.DAYS(EmployeeData[[#This Row],[Exit Date]],EmployeeData[[#This Row],[Join Date]]))</f>
        <v>905</v>
      </c>
      <c r="L731" cm="1">
        <f t="array" aca="1" ref="L731" ca="1">_xlfn.IFS(EmployeeData[[#This Row],[Status]]="Exited",DATEDIF(EmployeeData[[#This Row],[Join Date]], EmployeeData[[#This Row],[Exit Date]], "Y"),EmployeeData[[#This Row],[Status]]="Active",DATEDIF(EmployeeData[[#This Row],[Join Date]], TODAY(), "Y"))</f>
        <v>2</v>
      </c>
      <c r="Q731" t="str" cm="1">
        <f t="array" aca="1" ref="Q7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32" spans="1:17" hidden="1" x14ac:dyDescent="0.3">
      <c r="A732">
        <v>1731</v>
      </c>
      <c r="B732" t="s">
        <v>174</v>
      </c>
      <c r="C732" t="s">
        <v>20</v>
      </c>
      <c r="D732" t="s">
        <v>16</v>
      </c>
      <c r="E732">
        <v>58</v>
      </c>
      <c r="F732" t="str" cm="1">
        <f t="array" ref="F732">_xlfn.IFS(EmployeeData[[#This Row],[Age]]&lt;30,"20s",EmployeeData[[#This Row],[Age]]&lt;40,"30s",EmployeeData[[#This Row],[Age]]&lt;50,"40s",EmployeeData[[#This Row],[Age]]&lt;60,"50s",EmployeeData[[#This Row],[Age]]&gt;=60,"60s")</f>
        <v>50s</v>
      </c>
      <c r="G732" s="5">
        <v>45532</v>
      </c>
      <c r="H732" s="5">
        <v>46031</v>
      </c>
      <c r="I732" t="s">
        <v>12</v>
      </c>
      <c r="J732" t="s">
        <v>13</v>
      </c>
      <c r="K732" cm="1">
        <f t="array" aca="1" ref="K732" ca="1">_xlfn.IFS(EmployeeData[[#This Row],[Status]]="Active",_xlfn.DAYS(TODAY(),EmployeeData[[#This Row],[Join Date]]),EmployeeData[[#This Row],[Status]]="Exited",_xlfn.DAYS(EmployeeData[[#This Row],[Exit Date]],EmployeeData[[#This Row],[Join Date]]))</f>
        <v>499</v>
      </c>
      <c r="L732" cm="1">
        <f t="array" aca="1" ref="L732" ca="1">_xlfn.IFS(EmployeeData[[#This Row],[Status]]="Exited",DATEDIF(EmployeeData[[#This Row],[Join Date]], EmployeeData[[#This Row],[Exit Date]], "Y"),EmployeeData[[#This Row],[Status]]="Active",DATEDIF(EmployeeData[[#This Row],[Join Date]], TODAY(), "Y"))</f>
        <v>1</v>
      </c>
      <c r="Q732" t="str" cm="1">
        <f t="array" aca="1" ref="Q7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12 days</v>
      </c>
    </row>
    <row r="733" spans="1:17" hidden="1" x14ac:dyDescent="0.3">
      <c r="A733">
        <v>1732</v>
      </c>
      <c r="B733" t="s">
        <v>992</v>
      </c>
      <c r="C733" t="s">
        <v>20</v>
      </c>
      <c r="D733" t="s">
        <v>16</v>
      </c>
      <c r="E733">
        <v>37</v>
      </c>
      <c r="F733" t="str" cm="1">
        <f t="array" ref="F733">_xlfn.IFS(EmployeeData[[#This Row],[Age]]&lt;30,"20s",EmployeeData[[#This Row],[Age]]&lt;40,"30s",EmployeeData[[#This Row],[Age]]&lt;50,"40s",EmployeeData[[#This Row],[Age]]&lt;60,"50s",EmployeeData[[#This Row],[Age]]&gt;=60,"60s")</f>
        <v>30s</v>
      </c>
      <c r="G733" s="5">
        <v>45105</v>
      </c>
      <c r="I733" t="s">
        <v>17</v>
      </c>
      <c r="J733" t="s">
        <v>18</v>
      </c>
      <c r="K733" cm="1">
        <f t="array" aca="1" ref="K733" ca="1">_xlfn.IFS(EmployeeData[[#This Row],[Status]]="Active",_xlfn.DAYS(TODAY(),EmployeeData[[#This Row],[Join Date]]),EmployeeData[[#This Row],[Status]]="Exited",_xlfn.DAYS(EmployeeData[[#This Row],[Exit Date]],EmployeeData[[#This Row],[Join Date]]))</f>
        <v>1092</v>
      </c>
      <c r="L733" cm="1">
        <f t="array" aca="1" ref="L733" ca="1">_xlfn.IFS(EmployeeData[[#This Row],[Status]]="Exited",DATEDIF(EmployeeData[[#This Row],[Join Date]], EmployeeData[[#This Row],[Exit Date]], "Y"),EmployeeData[[#This Row],[Status]]="Active",DATEDIF(EmployeeData[[#This Row],[Join Date]], TODAY(), "Y"))</f>
        <v>2</v>
      </c>
      <c r="Q733" t="str" cm="1">
        <f t="array" aca="1" ref="Q7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27 days</v>
      </c>
    </row>
    <row r="734" spans="1:17" hidden="1" x14ac:dyDescent="0.3">
      <c r="A734">
        <v>1733</v>
      </c>
      <c r="B734" t="s">
        <v>548</v>
      </c>
      <c r="C734" t="s">
        <v>33</v>
      </c>
      <c r="D734" t="s">
        <v>24</v>
      </c>
      <c r="E734">
        <v>22</v>
      </c>
      <c r="F734" t="str" cm="1">
        <f t="array" ref="F734">_xlfn.IFS(EmployeeData[[#This Row],[Age]]&lt;30,"20s",EmployeeData[[#This Row],[Age]]&lt;40,"30s",EmployeeData[[#This Row],[Age]]&lt;50,"40s",EmployeeData[[#This Row],[Age]]&lt;60,"50s",EmployeeData[[#This Row],[Age]]&gt;=60,"60s")</f>
        <v>20s</v>
      </c>
      <c r="G734" s="5">
        <v>43834</v>
      </c>
      <c r="I734" t="s">
        <v>17</v>
      </c>
      <c r="J734" t="s">
        <v>18</v>
      </c>
      <c r="K734" cm="1">
        <f t="array" aca="1" ref="K734" ca="1">_xlfn.IFS(EmployeeData[[#This Row],[Status]]="Active",_xlfn.DAYS(TODAY(),EmployeeData[[#This Row],[Join Date]]),EmployeeData[[#This Row],[Status]]="Exited",_xlfn.DAYS(EmployeeData[[#This Row],[Exit Date]],EmployeeData[[#This Row],[Join Date]]))</f>
        <v>2363</v>
      </c>
      <c r="L734" cm="1">
        <f t="array" aca="1" ref="L734" ca="1">_xlfn.IFS(EmployeeData[[#This Row],[Status]]="Exited",DATEDIF(EmployeeData[[#This Row],[Join Date]], EmployeeData[[#This Row],[Exit Date]], "Y"),EmployeeData[[#This Row],[Status]]="Active",DATEDIF(EmployeeData[[#This Row],[Join Date]], TODAY(), "Y"))</f>
        <v>6</v>
      </c>
      <c r="Q734" t="str" cm="1">
        <f t="array" aca="1" ref="Q7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20 days</v>
      </c>
    </row>
    <row r="735" spans="1:17" hidden="1" x14ac:dyDescent="0.3">
      <c r="A735">
        <v>1734</v>
      </c>
      <c r="B735" t="s">
        <v>229</v>
      </c>
      <c r="C735" t="s">
        <v>20</v>
      </c>
      <c r="D735" t="s">
        <v>24</v>
      </c>
      <c r="E735">
        <v>54</v>
      </c>
      <c r="F735" t="str" cm="1">
        <f t="array" ref="F735">_xlfn.IFS(EmployeeData[[#This Row],[Age]]&lt;30,"20s",EmployeeData[[#This Row],[Age]]&lt;40,"30s",EmployeeData[[#This Row],[Age]]&lt;50,"40s",EmployeeData[[#This Row],[Age]]&lt;60,"50s",EmployeeData[[#This Row],[Age]]&gt;=60,"60s")</f>
        <v>50s</v>
      </c>
      <c r="G735" s="5">
        <v>45117</v>
      </c>
      <c r="I735" t="s">
        <v>17</v>
      </c>
      <c r="J735" t="s">
        <v>18</v>
      </c>
      <c r="K735" cm="1">
        <f t="array" aca="1" ref="K735" ca="1">_xlfn.IFS(EmployeeData[[#This Row],[Status]]="Active",_xlfn.DAYS(TODAY(),EmployeeData[[#This Row],[Join Date]]),EmployeeData[[#This Row],[Status]]="Exited",_xlfn.DAYS(EmployeeData[[#This Row],[Exit Date]],EmployeeData[[#This Row],[Join Date]]))</f>
        <v>1080</v>
      </c>
      <c r="L735" cm="1">
        <f t="array" aca="1" ref="L735" ca="1">_xlfn.IFS(EmployeeData[[#This Row],[Status]]="Exited",DATEDIF(EmployeeData[[#This Row],[Join Date]], EmployeeData[[#This Row],[Exit Date]], "Y"),EmployeeData[[#This Row],[Status]]="Active",DATEDIF(EmployeeData[[#This Row],[Join Date]], TODAY(), "Y"))</f>
        <v>2</v>
      </c>
      <c r="Q735" t="str" cm="1">
        <f t="array" aca="1" ref="Q7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14 days</v>
      </c>
    </row>
    <row r="736" spans="1:17" hidden="1" x14ac:dyDescent="0.3">
      <c r="A736">
        <v>1735</v>
      </c>
      <c r="B736" t="s">
        <v>161</v>
      </c>
      <c r="C736" t="s">
        <v>23</v>
      </c>
      <c r="D736" t="s">
        <v>16</v>
      </c>
      <c r="E736">
        <v>42</v>
      </c>
      <c r="F736" t="str" cm="1">
        <f t="array" ref="F736">_xlfn.IFS(EmployeeData[[#This Row],[Age]]&lt;30,"20s",EmployeeData[[#This Row],[Age]]&lt;40,"30s",EmployeeData[[#This Row],[Age]]&lt;50,"40s",EmployeeData[[#This Row],[Age]]&lt;60,"50s",EmployeeData[[#This Row],[Age]]&gt;=60,"60s")</f>
        <v>40s</v>
      </c>
      <c r="G736" s="5">
        <v>45315</v>
      </c>
      <c r="I736" t="s">
        <v>17</v>
      </c>
      <c r="J736" t="s">
        <v>18</v>
      </c>
      <c r="K736" cm="1">
        <f t="array" aca="1" ref="K736" ca="1">_xlfn.IFS(EmployeeData[[#This Row],[Status]]="Active",_xlfn.DAYS(TODAY(),EmployeeData[[#This Row],[Join Date]]),EmployeeData[[#This Row],[Status]]="Exited",_xlfn.DAYS(EmployeeData[[#This Row],[Exit Date]],EmployeeData[[#This Row],[Join Date]]))</f>
        <v>882</v>
      </c>
      <c r="L736" cm="1">
        <f t="array" aca="1" ref="L736" ca="1">_xlfn.IFS(EmployeeData[[#This Row],[Status]]="Exited",DATEDIF(EmployeeData[[#This Row],[Join Date]], EmployeeData[[#This Row],[Exit Date]], "Y"),EmployeeData[[#This Row],[Status]]="Active",DATEDIF(EmployeeData[[#This Row],[Join Date]], TODAY(), "Y"))</f>
        <v>2</v>
      </c>
      <c r="Q736" t="str" cm="1">
        <f t="array" aca="1" ref="Q7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0 days</v>
      </c>
    </row>
    <row r="737" spans="1:17" hidden="1" x14ac:dyDescent="0.3">
      <c r="A737">
        <v>1736</v>
      </c>
      <c r="B737" t="s">
        <v>763</v>
      </c>
      <c r="C737" t="s">
        <v>15</v>
      </c>
      <c r="D737" t="s">
        <v>24</v>
      </c>
      <c r="E737">
        <v>45</v>
      </c>
      <c r="F737" t="str" cm="1">
        <f t="array" ref="F737">_xlfn.IFS(EmployeeData[[#This Row],[Age]]&lt;30,"20s",EmployeeData[[#This Row],[Age]]&lt;40,"30s",EmployeeData[[#This Row],[Age]]&lt;50,"40s",EmployeeData[[#This Row],[Age]]&lt;60,"50s",EmployeeData[[#This Row],[Age]]&gt;=60,"60s")</f>
        <v>40s</v>
      </c>
      <c r="G737" s="5">
        <v>44913</v>
      </c>
      <c r="I737" t="s">
        <v>17</v>
      </c>
      <c r="J737" t="s">
        <v>18</v>
      </c>
      <c r="K737" cm="1">
        <f t="array" aca="1" ref="K737" ca="1">_xlfn.IFS(EmployeeData[[#This Row],[Status]]="Active",_xlfn.DAYS(TODAY(),EmployeeData[[#This Row],[Join Date]]),EmployeeData[[#This Row],[Status]]="Exited",_xlfn.DAYS(EmployeeData[[#This Row],[Exit Date]],EmployeeData[[#This Row],[Join Date]]))</f>
        <v>1284</v>
      </c>
      <c r="L737" cm="1">
        <f t="array" aca="1" ref="L737" ca="1">_xlfn.IFS(EmployeeData[[#This Row],[Status]]="Exited",DATEDIF(EmployeeData[[#This Row],[Join Date]], EmployeeData[[#This Row],[Exit Date]], "Y"),EmployeeData[[#This Row],[Status]]="Active",DATEDIF(EmployeeData[[#This Row],[Join Date]], TODAY(), "Y"))</f>
        <v>3</v>
      </c>
      <c r="Q737" t="str" cm="1">
        <f t="array" aca="1" ref="Q7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6 days</v>
      </c>
    </row>
    <row r="738" spans="1:17" hidden="1" x14ac:dyDescent="0.3">
      <c r="A738">
        <v>1737</v>
      </c>
      <c r="B738" t="s">
        <v>988</v>
      </c>
      <c r="C738" t="s">
        <v>33</v>
      </c>
      <c r="D738" t="s">
        <v>16</v>
      </c>
      <c r="E738">
        <v>48</v>
      </c>
      <c r="F738" t="str" cm="1">
        <f t="array" ref="F738">_xlfn.IFS(EmployeeData[[#This Row],[Age]]&lt;30,"20s",EmployeeData[[#This Row],[Age]]&lt;40,"30s",EmployeeData[[#This Row],[Age]]&lt;50,"40s",EmployeeData[[#This Row],[Age]]&lt;60,"50s",EmployeeData[[#This Row],[Age]]&gt;=60,"60s")</f>
        <v>40s</v>
      </c>
      <c r="G738" s="5">
        <v>43651</v>
      </c>
      <c r="H738" s="5">
        <v>45334</v>
      </c>
      <c r="I738" t="s">
        <v>65</v>
      </c>
      <c r="J738" t="s">
        <v>13</v>
      </c>
      <c r="K738" cm="1">
        <f t="array" aca="1" ref="K738" ca="1">_xlfn.IFS(EmployeeData[[#This Row],[Status]]="Active",_xlfn.DAYS(TODAY(),EmployeeData[[#This Row],[Join Date]]),EmployeeData[[#This Row],[Status]]="Exited",_xlfn.DAYS(EmployeeData[[#This Row],[Exit Date]],EmployeeData[[#This Row],[Join Date]]))</f>
        <v>1683</v>
      </c>
      <c r="L738" cm="1">
        <f t="array" aca="1" ref="L738" ca="1">_xlfn.IFS(EmployeeData[[#This Row],[Status]]="Exited",DATEDIF(EmployeeData[[#This Row],[Join Date]], EmployeeData[[#This Row],[Exit Date]], "Y"),EmployeeData[[#This Row],[Status]]="Active",DATEDIF(EmployeeData[[#This Row],[Join Date]], TODAY(), "Y"))</f>
        <v>4</v>
      </c>
      <c r="Q738" t="str" cm="1">
        <f t="array" aca="1" ref="Q7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7 days</v>
      </c>
    </row>
    <row r="739" spans="1:17" hidden="1" x14ac:dyDescent="0.3">
      <c r="A739">
        <v>1738</v>
      </c>
      <c r="B739" t="s">
        <v>911</v>
      </c>
      <c r="C739" t="s">
        <v>20</v>
      </c>
      <c r="D739" t="s">
        <v>11</v>
      </c>
      <c r="E739">
        <v>57</v>
      </c>
      <c r="F739" t="str" cm="1">
        <f t="array" ref="F739">_xlfn.IFS(EmployeeData[[#This Row],[Age]]&lt;30,"20s",EmployeeData[[#This Row],[Age]]&lt;40,"30s",EmployeeData[[#This Row],[Age]]&lt;50,"40s",EmployeeData[[#This Row],[Age]]&lt;60,"50s",EmployeeData[[#This Row],[Age]]&gt;=60,"60s")</f>
        <v>50s</v>
      </c>
      <c r="G739" s="5">
        <v>45025</v>
      </c>
      <c r="I739" t="s">
        <v>17</v>
      </c>
      <c r="J739" t="s">
        <v>18</v>
      </c>
      <c r="K739" cm="1">
        <f t="array" aca="1" ref="K739" ca="1">_xlfn.IFS(EmployeeData[[#This Row],[Status]]="Active",_xlfn.DAYS(TODAY(),EmployeeData[[#This Row],[Join Date]]),EmployeeData[[#This Row],[Status]]="Exited",_xlfn.DAYS(EmployeeData[[#This Row],[Exit Date]],EmployeeData[[#This Row],[Join Date]]))</f>
        <v>1172</v>
      </c>
      <c r="L739" cm="1">
        <f t="array" aca="1" ref="L739" ca="1">_xlfn.IFS(EmployeeData[[#This Row],[Status]]="Exited",DATEDIF(EmployeeData[[#This Row],[Join Date]], EmployeeData[[#This Row],[Exit Date]], "Y"),EmployeeData[[#This Row],[Status]]="Active",DATEDIF(EmployeeData[[#This Row],[Join Date]], TODAY(), "Y"))</f>
        <v>3</v>
      </c>
      <c r="Q739" t="str" cm="1">
        <f t="array" aca="1" ref="Q7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15 days</v>
      </c>
    </row>
    <row r="740" spans="1:17" hidden="1" x14ac:dyDescent="0.3">
      <c r="A740">
        <v>1739</v>
      </c>
      <c r="B740" t="s">
        <v>164</v>
      </c>
      <c r="C740" t="s">
        <v>23</v>
      </c>
      <c r="D740" t="s">
        <v>11</v>
      </c>
      <c r="E740">
        <v>43</v>
      </c>
      <c r="F740" t="str" cm="1">
        <f t="array" ref="F740">_xlfn.IFS(EmployeeData[[#This Row],[Age]]&lt;30,"20s",EmployeeData[[#This Row],[Age]]&lt;40,"30s",EmployeeData[[#This Row],[Age]]&lt;50,"40s",EmployeeData[[#This Row],[Age]]&lt;60,"50s",EmployeeData[[#This Row],[Age]]&gt;=60,"60s")</f>
        <v>40s</v>
      </c>
      <c r="G740" s="5">
        <v>44266</v>
      </c>
      <c r="H740" s="5">
        <v>44413</v>
      </c>
      <c r="I740" t="s">
        <v>28</v>
      </c>
      <c r="J740" t="s">
        <v>13</v>
      </c>
      <c r="K740" cm="1">
        <f t="array" aca="1" ref="K740" ca="1">_xlfn.IFS(EmployeeData[[#This Row],[Status]]="Active",_xlfn.DAYS(TODAY(),EmployeeData[[#This Row],[Join Date]]),EmployeeData[[#This Row],[Status]]="Exited",_xlfn.DAYS(EmployeeData[[#This Row],[Exit Date]],EmployeeData[[#This Row],[Join Date]]))</f>
        <v>147</v>
      </c>
      <c r="L740" cm="1">
        <f t="array" aca="1" ref="L740" ca="1">_xlfn.IFS(EmployeeData[[#This Row],[Status]]="Exited",DATEDIF(EmployeeData[[#This Row],[Join Date]], EmployeeData[[#This Row],[Exit Date]], "Y"),EmployeeData[[#This Row],[Status]]="Active",DATEDIF(EmployeeData[[#This Row],[Join Date]], TODAY(), "Y"))</f>
        <v>0</v>
      </c>
      <c r="Q740" t="str" cm="1">
        <f t="array" aca="1" ref="Q7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741" spans="1:17" hidden="1" x14ac:dyDescent="0.3">
      <c r="A741">
        <v>1740</v>
      </c>
      <c r="B741" t="s">
        <v>934</v>
      </c>
      <c r="C741" t="s">
        <v>20</v>
      </c>
      <c r="D741" t="s">
        <v>24</v>
      </c>
      <c r="E741">
        <v>45</v>
      </c>
      <c r="F741" t="str" cm="1">
        <f t="array" ref="F741">_xlfn.IFS(EmployeeData[[#This Row],[Age]]&lt;30,"20s",EmployeeData[[#This Row],[Age]]&lt;40,"30s",EmployeeData[[#This Row],[Age]]&lt;50,"40s",EmployeeData[[#This Row],[Age]]&lt;60,"50s",EmployeeData[[#This Row],[Age]]&gt;=60,"60s")</f>
        <v>40s</v>
      </c>
      <c r="G741" s="5">
        <v>43499</v>
      </c>
      <c r="I741" t="s">
        <v>17</v>
      </c>
      <c r="J741" t="s">
        <v>18</v>
      </c>
      <c r="K741" cm="1">
        <f t="array" aca="1" ref="K741" ca="1">_xlfn.IFS(EmployeeData[[#This Row],[Status]]="Active",_xlfn.DAYS(TODAY(),EmployeeData[[#This Row],[Join Date]]),EmployeeData[[#This Row],[Status]]="Exited",_xlfn.DAYS(EmployeeData[[#This Row],[Exit Date]],EmployeeData[[#This Row],[Join Date]]))</f>
        <v>2698</v>
      </c>
      <c r="L741" cm="1">
        <f t="array" aca="1" ref="L741" ca="1">_xlfn.IFS(EmployeeData[[#This Row],[Status]]="Exited",DATEDIF(EmployeeData[[#This Row],[Join Date]], EmployeeData[[#This Row],[Exit Date]], "Y"),EmployeeData[[#This Row],[Status]]="Active",DATEDIF(EmployeeData[[#This Row],[Join Date]], TODAY(), "Y"))</f>
        <v>7</v>
      </c>
      <c r="Q741" t="str" cm="1">
        <f t="array" aca="1" ref="Q7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742" spans="1:17" x14ac:dyDescent="0.3">
      <c r="A742">
        <v>1741</v>
      </c>
      <c r="B742" t="s">
        <v>1080</v>
      </c>
      <c r="C742" t="s">
        <v>10</v>
      </c>
      <c r="D742" t="s">
        <v>24</v>
      </c>
      <c r="E742">
        <v>58</v>
      </c>
      <c r="F742" t="str" cm="1">
        <f t="array" ref="F742">_xlfn.IFS(EmployeeData[[#This Row],[Age]]&lt;30,"20s",EmployeeData[[#This Row],[Age]]&lt;40,"30s",EmployeeData[[#This Row],[Age]]&lt;50,"40s",EmployeeData[[#This Row],[Age]]&lt;60,"50s",EmployeeData[[#This Row],[Age]]&gt;=60,"60s")</f>
        <v>50s</v>
      </c>
      <c r="G742" s="5">
        <v>43448</v>
      </c>
      <c r="I742" t="s">
        <v>17</v>
      </c>
      <c r="J742" t="s">
        <v>18</v>
      </c>
      <c r="K742" cm="1">
        <f t="array" aca="1" ref="K742" ca="1">_xlfn.IFS(EmployeeData[[#This Row],[Status]]="Active",_xlfn.DAYS(TODAY(),EmployeeData[[#This Row],[Join Date]]),EmployeeData[[#This Row],[Status]]="Exited",_xlfn.DAYS(EmployeeData[[#This Row],[Exit Date]],EmployeeData[[#This Row],[Join Date]]))</f>
        <v>2749</v>
      </c>
      <c r="L742" cm="1">
        <f t="array" aca="1" ref="L742" ca="1">_xlfn.IFS(EmployeeData[[#This Row],[Status]]="Exited",DATEDIF(EmployeeData[[#This Row],[Join Date]], EmployeeData[[#This Row],[Exit Date]], "Y"),EmployeeData[[#This Row],[Status]]="Active",DATEDIF(EmployeeData[[#This Row],[Join Date]], TODAY(), "Y"))</f>
        <v>7</v>
      </c>
      <c r="Q742" t="str" cm="1">
        <f t="array" aca="1" ref="Q7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10 days</v>
      </c>
    </row>
    <row r="743" spans="1:17" hidden="1" x14ac:dyDescent="0.3">
      <c r="A743">
        <v>1742</v>
      </c>
      <c r="B743" t="s">
        <v>1081</v>
      </c>
      <c r="C743" t="s">
        <v>15</v>
      </c>
      <c r="D743" t="s">
        <v>24</v>
      </c>
      <c r="E743">
        <v>50</v>
      </c>
      <c r="F743" t="str" cm="1">
        <f t="array" ref="F743">_xlfn.IFS(EmployeeData[[#This Row],[Age]]&lt;30,"20s",EmployeeData[[#This Row],[Age]]&lt;40,"30s",EmployeeData[[#This Row],[Age]]&lt;50,"40s",EmployeeData[[#This Row],[Age]]&lt;60,"50s",EmployeeData[[#This Row],[Age]]&gt;=60,"60s")</f>
        <v>50s</v>
      </c>
      <c r="G743" s="5">
        <v>45795</v>
      </c>
      <c r="I743" t="s">
        <v>17</v>
      </c>
      <c r="J743" t="s">
        <v>18</v>
      </c>
      <c r="K743" cm="1">
        <f t="array" aca="1" ref="K743" ca="1">_xlfn.IFS(EmployeeData[[#This Row],[Status]]="Active",_xlfn.DAYS(TODAY(),EmployeeData[[#This Row],[Join Date]]),EmployeeData[[#This Row],[Status]]="Exited",_xlfn.DAYS(EmployeeData[[#This Row],[Exit Date]],EmployeeData[[#This Row],[Join Date]]))</f>
        <v>402</v>
      </c>
      <c r="L743" cm="1">
        <f t="array" aca="1" ref="L743" ca="1">_xlfn.IFS(EmployeeData[[#This Row],[Status]]="Exited",DATEDIF(EmployeeData[[#This Row],[Join Date]], EmployeeData[[#This Row],[Exit Date]], "Y"),EmployeeData[[#This Row],[Status]]="Active",DATEDIF(EmployeeData[[#This Row],[Join Date]], TODAY(), "Y"))</f>
        <v>1</v>
      </c>
      <c r="Q743" t="str" cm="1">
        <f t="array" aca="1" ref="Q7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6 days</v>
      </c>
    </row>
    <row r="744" spans="1:17" x14ac:dyDescent="0.3">
      <c r="A744">
        <v>1743</v>
      </c>
      <c r="B744" t="s">
        <v>731</v>
      </c>
      <c r="C744" t="s">
        <v>10</v>
      </c>
      <c r="D744" t="s">
        <v>11</v>
      </c>
      <c r="E744">
        <v>58</v>
      </c>
      <c r="F744" t="str" cm="1">
        <f t="array" ref="F744">_xlfn.IFS(EmployeeData[[#This Row],[Age]]&lt;30,"20s",EmployeeData[[#This Row],[Age]]&lt;40,"30s",EmployeeData[[#This Row],[Age]]&lt;50,"40s",EmployeeData[[#This Row],[Age]]&lt;60,"50s",EmployeeData[[#This Row],[Age]]&gt;=60,"60s")</f>
        <v>50s</v>
      </c>
      <c r="G744" s="5">
        <v>43192</v>
      </c>
      <c r="I744" t="s">
        <v>17</v>
      </c>
      <c r="J744" t="s">
        <v>18</v>
      </c>
      <c r="K744" cm="1">
        <f t="array" aca="1" ref="K744" ca="1">_xlfn.IFS(EmployeeData[[#This Row],[Status]]="Active",_xlfn.DAYS(TODAY(),EmployeeData[[#This Row],[Join Date]]),EmployeeData[[#This Row],[Status]]="Exited",_xlfn.DAYS(EmployeeData[[#This Row],[Exit Date]],EmployeeData[[#This Row],[Join Date]]))</f>
        <v>3005</v>
      </c>
      <c r="L744" cm="1">
        <f t="array" aca="1" ref="L744" ca="1">_xlfn.IFS(EmployeeData[[#This Row],[Status]]="Exited",DATEDIF(EmployeeData[[#This Row],[Join Date]], EmployeeData[[#This Row],[Exit Date]], "Y"),EmployeeData[[#This Row],[Status]]="Active",DATEDIF(EmployeeData[[#This Row],[Join Date]], TODAY(), "Y"))</f>
        <v>8</v>
      </c>
      <c r="Q744" t="str" cm="1">
        <f t="array" aca="1" ref="Q7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22 days</v>
      </c>
    </row>
    <row r="745" spans="1:17" hidden="1" x14ac:dyDescent="0.3">
      <c r="A745">
        <v>1744</v>
      </c>
      <c r="B745" t="s">
        <v>850</v>
      </c>
      <c r="C745" t="s">
        <v>33</v>
      </c>
      <c r="D745" t="s">
        <v>16</v>
      </c>
      <c r="E745">
        <v>34</v>
      </c>
      <c r="F745" t="str" cm="1">
        <f t="array" ref="F745">_xlfn.IFS(EmployeeData[[#This Row],[Age]]&lt;30,"20s",EmployeeData[[#This Row],[Age]]&lt;40,"30s",EmployeeData[[#This Row],[Age]]&lt;50,"40s",EmployeeData[[#This Row],[Age]]&lt;60,"50s",EmployeeData[[#This Row],[Age]]&gt;=60,"60s")</f>
        <v>30s</v>
      </c>
      <c r="G745" s="5">
        <v>44477</v>
      </c>
      <c r="I745" t="s">
        <v>17</v>
      </c>
      <c r="J745" t="s">
        <v>18</v>
      </c>
      <c r="K745" cm="1">
        <f t="array" aca="1" ref="K745" ca="1">_xlfn.IFS(EmployeeData[[#This Row],[Status]]="Active",_xlfn.DAYS(TODAY(),EmployeeData[[#This Row],[Join Date]]),EmployeeData[[#This Row],[Status]]="Exited",_xlfn.DAYS(EmployeeData[[#This Row],[Exit Date]],EmployeeData[[#This Row],[Join Date]]))</f>
        <v>1720</v>
      </c>
      <c r="L745" cm="1">
        <f t="array" aca="1" ref="L745" ca="1">_xlfn.IFS(EmployeeData[[#This Row],[Status]]="Exited",DATEDIF(EmployeeData[[#This Row],[Join Date]], EmployeeData[[#This Row],[Exit Date]], "Y"),EmployeeData[[#This Row],[Status]]="Active",DATEDIF(EmployeeData[[#This Row],[Join Date]], TODAY(), "Y"))</f>
        <v>4</v>
      </c>
      <c r="Q745" t="str" cm="1">
        <f t="array" aca="1" ref="Q7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746" spans="1:17" hidden="1" x14ac:dyDescent="0.3">
      <c r="A746">
        <v>1745</v>
      </c>
      <c r="B746" t="s">
        <v>841</v>
      </c>
      <c r="C746" t="s">
        <v>10</v>
      </c>
      <c r="D746" t="s">
        <v>24</v>
      </c>
      <c r="E746">
        <v>52</v>
      </c>
      <c r="F746" t="str" cm="1">
        <f t="array" ref="F746">_xlfn.IFS(EmployeeData[[#This Row],[Age]]&lt;30,"20s",EmployeeData[[#This Row],[Age]]&lt;40,"30s",EmployeeData[[#This Row],[Age]]&lt;50,"40s",EmployeeData[[#This Row],[Age]]&lt;60,"50s",EmployeeData[[#This Row],[Age]]&gt;=60,"60s")</f>
        <v>50s</v>
      </c>
      <c r="G746" s="5">
        <v>45703</v>
      </c>
      <c r="I746" t="s">
        <v>17</v>
      </c>
      <c r="J746" t="s">
        <v>18</v>
      </c>
      <c r="K746" cm="1">
        <f t="array" aca="1" ref="K746" ca="1">_xlfn.IFS(EmployeeData[[#This Row],[Status]]="Active",_xlfn.DAYS(TODAY(),EmployeeData[[#This Row],[Join Date]]),EmployeeData[[#This Row],[Status]]="Exited",_xlfn.DAYS(EmployeeData[[#This Row],[Exit Date]],EmployeeData[[#This Row],[Join Date]]))</f>
        <v>494</v>
      </c>
      <c r="L746" cm="1">
        <f t="array" aca="1" ref="L746" ca="1">_xlfn.IFS(EmployeeData[[#This Row],[Status]]="Exited",DATEDIF(EmployeeData[[#This Row],[Join Date]], EmployeeData[[#This Row],[Exit Date]], "Y"),EmployeeData[[#This Row],[Status]]="Active",DATEDIF(EmployeeData[[#This Row],[Join Date]], TODAY(), "Y"))</f>
        <v>1</v>
      </c>
      <c r="Q746" t="str" cm="1">
        <f t="array" aca="1" ref="Q7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9 days</v>
      </c>
    </row>
    <row r="747" spans="1:17" hidden="1" x14ac:dyDescent="0.3">
      <c r="A747">
        <v>1746</v>
      </c>
      <c r="B747" t="s">
        <v>620</v>
      </c>
      <c r="C747" t="s">
        <v>15</v>
      </c>
      <c r="D747" t="s">
        <v>11</v>
      </c>
      <c r="E747">
        <v>46</v>
      </c>
      <c r="F747" t="str" cm="1">
        <f t="array" ref="F747">_xlfn.IFS(EmployeeData[[#This Row],[Age]]&lt;30,"20s",EmployeeData[[#This Row],[Age]]&lt;40,"30s",EmployeeData[[#This Row],[Age]]&lt;50,"40s",EmployeeData[[#This Row],[Age]]&lt;60,"50s",EmployeeData[[#This Row],[Age]]&gt;=60,"60s")</f>
        <v>40s</v>
      </c>
      <c r="G747" s="5">
        <v>44026</v>
      </c>
      <c r="I747" t="s">
        <v>17</v>
      </c>
      <c r="J747" t="s">
        <v>18</v>
      </c>
      <c r="K747" cm="1">
        <f t="array" aca="1" ref="K747" ca="1">_xlfn.IFS(EmployeeData[[#This Row],[Status]]="Active",_xlfn.DAYS(TODAY(),EmployeeData[[#This Row],[Join Date]]),EmployeeData[[#This Row],[Status]]="Exited",_xlfn.DAYS(EmployeeData[[#This Row],[Exit Date]],EmployeeData[[#This Row],[Join Date]]))</f>
        <v>2171</v>
      </c>
      <c r="L747" cm="1">
        <f t="array" aca="1" ref="L747" ca="1">_xlfn.IFS(EmployeeData[[#This Row],[Status]]="Exited",DATEDIF(EmployeeData[[#This Row],[Join Date]], EmployeeData[[#This Row],[Exit Date]], "Y"),EmployeeData[[#This Row],[Status]]="Active",DATEDIF(EmployeeData[[#This Row],[Join Date]], TODAY(), "Y"))</f>
        <v>5</v>
      </c>
      <c r="Q747" t="str" cm="1">
        <f t="array" aca="1" ref="Q7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10 days</v>
      </c>
    </row>
    <row r="748" spans="1:17" hidden="1" x14ac:dyDescent="0.3">
      <c r="A748">
        <v>1747</v>
      </c>
      <c r="B748" t="s">
        <v>795</v>
      </c>
      <c r="C748" t="s">
        <v>15</v>
      </c>
      <c r="D748" t="s">
        <v>24</v>
      </c>
      <c r="E748">
        <v>25</v>
      </c>
      <c r="F748" t="str" cm="1">
        <f t="array" ref="F748">_xlfn.IFS(EmployeeData[[#This Row],[Age]]&lt;30,"20s",EmployeeData[[#This Row],[Age]]&lt;40,"30s",EmployeeData[[#This Row],[Age]]&lt;50,"40s",EmployeeData[[#This Row],[Age]]&lt;60,"50s",EmployeeData[[#This Row],[Age]]&gt;=60,"60s")</f>
        <v>20s</v>
      </c>
      <c r="G748" s="5">
        <v>45421</v>
      </c>
      <c r="I748" t="s">
        <v>17</v>
      </c>
      <c r="J748" t="s">
        <v>18</v>
      </c>
      <c r="K748" cm="1">
        <f t="array" aca="1" ref="K748" ca="1">_xlfn.IFS(EmployeeData[[#This Row],[Status]]="Active",_xlfn.DAYS(TODAY(),EmployeeData[[#This Row],[Join Date]]),EmployeeData[[#This Row],[Status]]="Exited",_xlfn.DAYS(EmployeeData[[#This Row],[Exit Date]],EmployeeData[[#This Row],[Join Date]]))</f>
        <v>776</v>
      </c>
      <c r="L748" cm="1">
        <f t="array" aca="1" ref="L748" ca="1">_xlfn.IFS(EmployeeData[[#This Row],[Status]]="Exited",DATEDIF(EmployeeData[[#This Row],[Join Date]], EmployeeData[[#This Row],[Exit Date]], "Y"),EmployeeData[[#This Row],[Status]]="Active",DATEDIF(EmployeeData[[#This Row],[Join Date]], TODAY(), "Y"))</f>
        <v>2</v>
      </c>
      <c r="Q748" t="str" cm="1">
        <f t="array" aca="1" ref="Q7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749" spans="1:17" hidden="1" x14ac:dyDescent="0.3">
      <c r="A749">
        <v>1748</v>
      </c>
      <c r="B749" t="s">
        <v>253</v>
      </c>
      <c r="C749" t="s">
        <v>20</v>
      </c>
      <c r="D749" t="s">
        <v>16</v>
      </c>
      <c r="E749">
        <v>40</v>
      </c>
      <c r="F749" t="str" cm="1">
        <f t="array" ref="F749">_xlfn.IFS(EmployeeData[[#This Row],[Age]]&lt;30,"20s",EmployeeData[[#This Row],[Age]]&lt;40,"30s",EmployeeData[[#This Row],[Age]]&lt;50,"40s",EmployeeData[[#This Row],[Age]]&lt;60,"50s",EmployeeData[[#This Row],[Age]]&gt;=60,"60s")</f>
        <v>40s</v>
      </c>
      <c r="G749" s="5">
        <v>44874</v>
      </c>
      <c r="I749" t="s">
        <v>17</v>
      </c>
      <c r="J749" t="s">
        <v>18</v>
      </c>
      <c r="K749" cm="1">
        <f t="array" aca="1" ref="K749" ca="1">_xlfn.IFS(EmployeeData[[#This Row],[Status]]="Active",_xlfn.DAYS(TODAY(),EmployeeData[[#This Row],[Join Date]]),EmployeeData[[#This Row],[Status]]="Exited",_xlfn.DAYS(EmployeeData[[#This Row],[Exit Date]],EmployeeData[[#This Row],[Join Date]]))</f>
        <v>1323</v>
      </c>
      <c r="L749" cm="1">
        <f t="array" aca="1" ref="L749" ca="1">_xlfn.IFS(EmployeeData[[#This Row],[Status]]="Exited",DATEDIF(EmployeeData[[#This Row],[Join Date]], EmployeeData[[#This Row],[Exit Date]], "Y"),EmployeeData[[#This Row],[Status]]="Active",DATEDIF(EmployeeData[[#This Row],[Join Date]], TODAY(), "Y"))</f>
        <v>3</v>
      </c>
      <c r="Q749" t="str" cm="1">
        <f t="array" aca="1" ref="Q7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15 days</v>
      </c>
    </row>
    <row r="750" spans="1:17" hidden="1" x14ac:dyDescent="0.3">
      <c r="A750">
        <v>1749</v>
      </c>
      <c r="B750" t="s">
        <v>1045</v>
      </c>
      <c r="C750" t="s">
        <v>23</v>
      </c>
      <c r="D750" t="s">
        <v>24</v>
      </c>
      <c r="E750">
        <v>56</v>
      </c>
      <c r="F750" t="str" cm="1">
        <f t="array" ref="F750">_xlfn.IFS(EmployeeData[[#This Row],[Age]]&lt;30,"20s",EmployeeData[[#This Row],[Age]]&lt;40,"30s",EmployeeData[[#This Row],[Age]]&lt;50,"40s",EmployeeData[[#This Row],[Age]]&lt;60,"50s",EmployeeData[[#This Row],[Age]]&gt;=60,"60s")</f>
        <v>50s</v>
      </c>
      <c r="G750" s="5">
        <v>43840</v>
      </c>
      <c r="I750" t="s">
        <v>17</v>
      </c>
      <c r="J750" t="s">
        <v>18</v>
      </c>
      <c r="K750" cm="1">
        <f t="array" aca="1" ref="K750" ca="1">_xlfn.IFS(EmployeeData[[#This Row],[Status]]="Active",_xlfn.DAYS(TODAY(),EmployeeData[[#This Row],[Join Date]]),EmployeeData[[#This Row],[Status]]="Exited",_xlfn.DAYS(EmployeeData[[#This Row],[Exit Date]],EmployeeData[[#This Row],[Join Date]]))</f>
        <v>2357</v>
      </c>
      <c r="L750" cm="1">
        <f t="array" aca="1" ref="L750" ca="1">_xlfn.IFS(EmployeeData[[#This Row],[Status]]="Exited",DATEDIF(EmployeeData[[#This Row],[Join Date]], EmployeeData[[#This Row],[Exit Date]], "Y"),EmployeeData[[#This Row],[Status]]="Active",DATEDIF(EmployeeData[[#This Row],[Join Date]], TODAY(), "Y"))</f>
        <v>6</v>
      </c>
      <c r="Q750" t="str" cm="1">
        <f t="array" aca="1" ref="Q7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14 days</v>
      </c>
    </row>
    <row r="751" spans="1:17" hidden="1" x14ac:dyDescent="0.3">
      <c r="A751">
        <v>1750</v>
      </c>
      <c r="B751" t="s">
        <v>852</v>
      </c>
      <c r="C751" t="s">
        <v>20</v>
      </c>
      <c r="D751" t="s">
        <v>11</v>
      </c>
      <c r="E751">
        <v>50</v>
      </c>
      <c r="F751" t="str" cm="1">
        <f t="array" ref="F751">_xlfn.IFS(EmployeeData[[#This Row],[Age]]&lt;30,"20s",EmployeeData[[#This Row],[Age]]&lt;40,"30s",EmployeeData[[#This Row],[Age]]&lt;50,"40s",EmployeeData[[#This Row],[Age]]&lt;60,"50s",EmployeeData[[#This Row],[Age]]&gt;=60,"60s")</f>
        <v>50s</v>
      </c>
      <c r="G751" s="5">
        <v>44198</v>
      </c>
      <c r="I751" t="s">
        <v>17</v>
      </c>
      <c r="J751" t="s">
        <v>18</v>
      </c>
      <c r="K751" cm="1">
        <f t="array" aca="1" ref="K751" ca="1">_xlfn.IFS(EmployeeData[[#This Row],[Status]]="Active",_xlfn.DAYS(TODAY(),EmployeeData[[#This Row],[Join Date]]),EmployeeData[[#This Row],[Status]]="Exited",_xlfn.DAYS(EmployeeData[[#This Row],[Exit Date]],EmployeeData[[#This Row],[Join Date]]))</f>
        <v>1999</v>
      </c>
      <c r="L751" cm="1">
        <f t="array" aca="1" ref="L751" ca="1">_xlfn.IFS(EmployeeData[[#This Row],[Status]]="Exited",DATEDIF(EmployeeData[[#This Row],[Join Date]], EmployeeData[[#This Row],[Exit Date]], "Y"),EmployeeData[[#This Row],[Status]]="Active",DATEDIF(EmployeeData[[#This Row],[Join Date]], TODAY(), "Y"))</f>
        <v>5</v>
      </c>
      <c r="Q751" t="str" cm="1">
        <f t="array" aca="1" ref="Q7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752" spans="1:17" hidden="1" x14ac:dyDescent="0.3">
      <c r="A752">
        <v>1751</v>
      </c>
      <c r="B752" t="s">
        <v>750</v>
      </c>
      <c r="C752" t="s">
        <v>46</v>
      </c>
      <c r="D752" t="s">
        <v>11</v>
      </c>
      <c r="E752">
        <v>24</v>
      </c>
      <c r="F752" t="str" cm="1">
        <f t="array" ref="F752">_xlfn.IFS(EmployeeData[[#This Row],[Age]]&lt;30,"20s",EmployeeData[[#This Row],[Age]]&lt;40,"30s",EmployeeData[[#This Row],[Age]]&lt;50,"40s",EmployeeData[[#This Row],[Age]]&lt;60,"50s",EmployeeData[[#This Row],[Age]]&gt;=60,"60s")</f>
        <v>20s</v>
      </c>
      <c r="G752" s="5">
        <v>45240</v>
      </c>
      <c r="H752" s="5">
        <v>45803</v>
      </c>
      <c r="I752" t="s">
        <v>31</v>
      </c>
      <c r="J752" t="s">
        <v>13</v>
      </c>
      <c r="K752" cm="1">
        <f t="array" aca="1" ref="K752" ca="1">_xlfn.IFS(EmployeeData[[#This Row],[Status]]="Active",_xlfn.DAYS(TODAY(),EmployeeData[[#This Row],[Join Date]]),EmployeeData[[#This Row],[Status]]="Exited",_xlfn.DAYS(EmployeeData[[#This Row],[Exit Date]],EmployeeData[[#This Row],[Join Date]]))</f>
        <v>563</v>
      </c>
      <c r="L752" cm="1">
        <f t="array" aca="1" ref="L752" ca="1">_xlfn.IFS(EmployeeData[[#This Row],[Status]]="Exited",DATEDIF(EmployeeData[[#This Row],[Join Date]], EmployeeData[[#This Row],[Exit Date]], "Y"),EmployeeData[[#This Row],[Status]]="Active",DATEDIF(EmployeeData[[#This Row],[Join Date]], TODAY(), "Y"))</f>
        <v>1</v>
      </c>
      <c r="Q752" t="str" cm="1">
        <f t="array" aca="1" ref="Q7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16 days</v>
      </c>
    </row>
    <row r="753" spans="1:17" x14ac:dyDescent="0.3">
      <c r="A753">
        <v>1752</v>
      </c>
      <c r="B753" t="s">
        <v>434</v>
      </c>
      <c r="C753" t="s">
        <v>10</v>
      </c>
      <c r="D753" t="s">
        <v>24</v>
      </c>
      <c r="E753">
        <v>41</v>
      </c>
      <c r="F753" t="str" cm="1">
        <f t="array" ref="F753">_xlfn.IFS(EmployeeData[[#This Row],[Age]]&lt;30,"20s",EmployeeData[[#This Row],[Age]]&lt;40,"30s",EmployeeData[[#This Row],[Age]]&lt;50,"40s",EmployeeData[[#This Row],[Age]]&lt;60,"50s",EmployeeData[[#This Row],[Age]]&gt;=60,"60s")</f>
        <v>40s</v>
      </c>
      <c r="G753" s="5">
        <v>43364</v>
      </c>
      <c r="I753" t="s">
        <v>17</v>
      </c>
      <c r="J753" t="s">
        <v>18</v>
      </c>
      <c r="K753" cm="1">
        <f t="array" aca="1" ref="K753" ca="1">_xlfn.IFS(EmployeeData[[#This Row],[Status]]="Active",_xlfn.DAYS(TODAY(),EmployeeData[[#This Row],[Join Date]]),EmployeeData[[#This Row],[Status]]="Exited",_xlfn.DAYS(EmployeeData[[#This Row],[Exit Date]],EmployeeData[[#This Row],[Join Date]]))</f>
        <v>2833</v>
      </c>
      <c r="L753" cm="1">
        <f t="array" aca="1" ref="L753" ca="1">_xlfn.IFS(EmployeeData[[#This Row],[Status]]="Exited",DATEDIF(EmployeeData[[#This Row],[Join Date]], EmployeeData[[#This Row],[Exit Date]], "Y"),EmployeeData[[#This Row],[Status]]="Active",DATEDIF(EmployeeData[[#This Row],[Join Date]], TODAY(), "Y"))</f>
        <v>7</v>
      </c>
      <c r="Q753" t="str" cm="1">
        <f t="array" aca="1" ref="Q7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3 days</v>
      </c>
    </row>
    <row r="754" spans="1:17" hidden="1" x14ac:dyDescent="0.3">
      <c r="A754">
        <v>1753</v>
      </c>
      <c r="B754" t="s">
        <v>375</v>
      </c>
      <c r="C754" t="s">
        <v>20</v>
      </c>
      <c r="D754" t="s">
        <v>16</v>
      </c>
      <c r="E754">
        <v>36</v>
      </c>
      <c r="F754" t="str" cm="1">
        <f t="array" ref="F754">_xlfn.IFS(EmployeeData[[#This Row],[Age]]&lt;30,"20s",EmployeeData[[#This Row],[Age]]&lt;40,"30s",EmployeeData[[#This Row],[Age]]&lt;50,"40s",EmployeeData[[#This Row],[Age]]&lt;60,"50s",EmployeeData[[#This Row],[Age]]&gt;=60,"60s")</f>
        <v>30s</v>
      </c>
      <c r="G754" s="5">
        <v>44763</v>
      </c>
      <c r="H754" s="5">
        <v>45160</v>
      </c>
      <c r="I754" t="s">
        <v>31</v>
      </c>
      <c r="J754" t="s">
        <v>13</v>
      </c>
      <c r="K754" cm="1">
        <f t="array" aca="1" ref="K754" ca="1">_xlfn.IFS(EmployeeData[[#This Row],[Status]]="Active",_xlfn.DAYS(TODAY(),EmployeeData[[#This Row],[Join Date]]),EmployeeData[[#This Row],[Status]]="Exited",_xlfn.DAYS(EmployeeData[[#This Row],[Exit Date]],EmployeeData[[#This Row],[Join Date]]))</f>
        <v>397</v>
      </c>
      <c r="L754" cm="1">
        <f t="array" aca="1" ref="L754" ca="1">_xlfn.IFS(EmployeeData[[#This Row],[Status]]="Exited",DATEDIF(EmployeeData[[#This Row],[Join Date]], EmployeeData[[#This Row],[Exit Date]], "Y"),EmployeeData[[#This Row],[Status]]="Active",DATEDIF(EmployeeData[[#This Row],[Join Date]], TODAY(), "Y"))</f>
        <v>1</v>
      </c>
      <c r="Q754" t="str" cm="1">
        <f t="array" aca="1" ref="Q7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55" spans="1:17" hidden="1" x14ac:dyDescent="0.3">
      <c r="A755">
        <v>1754</v>
      </c>
      <c r="B755" t="s">
        <v>691</v>
      </c>
      <c r="C755" t="s">
        <v>10</v>
      </c>
      <c r="D755" t="s">
        <v>11</v>
      </c>
      <c r="E755">
        <v>58</v>
      </c>
      <c r="F755" t="str" cm="1">
        <f t="array" ref="F755">_xlfn.IFS(EmployeeData[[#This Row],[Age]]&lt;30,"20s",EmployeeData[[#This Row],[Age]]&lt;40,"30s",EmployeeData[[#This Row],[Age]]&lt;50,"40s",EmployeeData[[#This Row],[Age]]&lt;60,"50s",EmployeeData[[#This Row],[Age]]&gt;=60,"60s")</f>
        <v>50s</v>
      </c>
      <c r="G755" s="5">
        <v>43753</v>
      </c>
      <c r="H755" s="5">
        <v>43962</v>
      </c>
      <c r="I755" t="s">
        <v>26</v>
      </c>
      <c r="J755" t="s">
        <v>13</v>
      </c>
      <c r="K755" cm="1">
        <f t="array" aca="1" ref="K755" ca="1">_xlfn.IFS(EmployeeData[[#This Row],[Status]]="Active",_xlfn.DAYS(TODAY(),EmployeeData[[#This Row],[Join Date]]),EmployeeData[[#This Row],[Status]]="Exited",_xlfn.DAYS(EmployeeData[[#This Row],[Exit Date]],EmployeeData[[#This Row],[Join Date]]))</f>
        <v>209</v>
      </c>
      <c r="L755" cm="1">
        <f t="array" aca="1" ref="L755" ca="1">_xlfn.IFS(EmployeeData[[#This Row],[Status]]="Exited",DATEDIF(EmployeeData[[#This Row],[Join Date]], EmployeeData[[#This Row],[Exit Date]], "Y"),EmployeeData[[#This Row],[Status]]="Active",DATEDIF(EmployeeData[[#This Row],[Join Date]], TODAY(), "Y"))</f>
        <v>0</v>
      </c>
      <c r="Q755" t="str" cm="1">
        <f t="array" aca="1" ref="Q7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756" spans="1:17" x14ac:dyDescent="0.3">
      <c r="A756">
        <v>1755</v>
      </c>
      <c r="B756" t="s">
        <v>96</v>
      </c>
      <c r="C756" t="s">
        <v>15</v>
      </c>
      <c r="D756" t="s">
        <v>11</v>
      </c>
      <c r="E756">
        <v>22</v>
      </c>
      <c r="F756" t="str" cm="1">
        <f t="array" ref="F756">_xlfn.IFS(EmployeeData[[#This Row],[Age]]&lt;30,"20s",EmployeeData[[#This Row],[Age]]&lt;40,"30s",EmployeeData[[#This Row],[Age]]&lt;50,"40s",EmployeeData[[#This Row],[Age]]&lt;60,"50s",EmployeeData[[#This Row],[Age]]&gt;=60,"60s")</f>
        <v>20s</v>
      </c>
      <c r="G756" s="5">
        <v>43327</v>
      </c>
      <c r="I756" t="s">
        <v>17</v>
      </c>
      <c r="J756" t="s">
        <v>18</v>
      </c>
      <c r="K756" cm="1">
        <f t="array" aca="1" ref="K756" ca="1">_xlfn.IFS(EmployeeData[[#This Row],[Status]]="Active",_xlfn.DAYS(TODAY(),EmployeeData[[#This Row],[Join Date]]),EmployeeData[[#This Row],[Status]]="Exited",_xlfn.DAYS(EmployeeData[[#This Row],[Exit Date]],EmployeeData[[#This Row],[Join Date]]))</f>
        <v>2870</v>
      </c>
      <c r="L756" cm="1">
        <f t="array" aca="1" ref="L756" ca="1">_xlfn.IFS(EmployeeData[[#This Row],[Status]]="Exited",DATEDIF(EmployeeData[[#This Row],[Join Date]], EmployeeData[[#This Row],[Exit Date]], "Y"),EmployeeData[[#This Row],[Status]]="Active",DATEDIF(EmployeeData[[#This Row],[Join Date]], TODAY(), "Y"))</f>
        <v>7</v>
      </c>
      <c r="Q756" t="str" cm="1">
        <f t="array" aca="1" ref="Q7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9 days</v>
      </c>
    </row>
    <row r="757" spans="1:17" hidden="1" x14ac:dyDescent="0.3">
      <c r="A757">
        <v>1756</v>
      </c>
      <c r="B757" t="s">
        <v>853</v>
      </c>
      <c r="C757" t="s">
        <v>33</v>
      </c>
      <c r="D757" t="s">
        <v>11</v>
      </c>
      <c r="E757">
        <v>47</v>
      </c>
      <c r="F757" t="str" cm="1">
        <f t="array" ref="F757">_xlfn.IFS(EmployeeData[[#This Row],[Age]]&lt;30,"20s",EmployeeData[[#This Row],[Age]]&lt;40,"30s",EmployeeData[[#This Row],[Age]]&lt;50,"40s",EmployeeData[[#This Row],[Age]]&lt;60,"50s",EmployeeData[[#This Row],[Age]]&gt;=60,"60s")</f>
        <v>40s</v>
      </c>
      <c r="G757" s="5">
        <v>44589</v>
      </c>
      <c r="I757" t="s">
        <v>17</v>
      </c>
      <c r="J757" t="s">
        <v>18</v>
      </c>
      <c r="K757" cm="1">
        <f t="array" aca="1" ref="K757" ca="1">_xlfn.IFS(EmployeeData[[#This Row],[Status]]="Active",_xlfn.DAYS(TODAY(),EmployeeData[[#This Row],[Join Date]]),EmployeeData[[#This Row],[Status]]="Exited",_xlfn.DAYS(EmployeeData[[#This Row],[Exit Date]],EmployeeData[[#This Row],[Join Date]]))</f>
        <v>1608</v>
      </c>
      <c r="L757" cm="1">
        <f t="array" aca="1" ref="L757" ca="1">_xlfn.IFS(EmployeeData[[#This Row],[Status]]="Exited",DATEDIF(EmployeeData[[#This Row],[Join Date]], EmployeeData[[#This Row],[Exit Date]], "Y"),EmployeeData[[#This Row],[Status]]="Active",DATEDIF(EmployeeData[[#This Row],[Join Date]], TODAY(), "Y"))</f>
        <v>4</v>
      </c>
      <c r="Q757" t="str" cm="1">
        <f t="array" aca="1" ref="Q7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758" spans="1:17" hidden="1" x14ac:dyDescent="0.3">
      <c r="A758">
        <v>1757</v>
      </c>
      <c r="B758" t="s">
        <v>497</v>
      </c>
      <c r="C758" t="s">
        <v>20</v>
      </c>
      <c r="D758" t="s">
        <v>16</v>
      </c>
      <c r="E758">
        <v>28</v>
      </c>
      <c r="F758" t="str" cm="1">
        <f t="array" ref="F758">_xlfn.IFS(EmployeeData[[#This Row],[Age]]&lt;30,"20s",EmployeeData[[#This Row],[Age]]&lt;40,"30s",EmployeeData[[#This Row],[Age]]&lt;50,"40s",EmployeeData[[#This Row],[Age]]&lt;60,"50s",EmployeeData[[#This Row],[Age]]&gt;=60,"60s")</f>
        <v>20s</v>
      </c>
      <c r="G758" s="5">
        <v>45439</v>
      </c>
      <c r="I758" t="s">
        <v>17</v>
      </c>
      <c r="J758" t="s">
        <v>18</v>
      </c>
      <c r="K758" cm="1">
        <f t="array" aca="1" ref="K758" ca="1">_xlfn.IFS(EmployeeData[[#This Row],[Status]]="Active",_xlfn.DAYS(TODAY(),EmployeeData[[#This Row],[Join Date]]),EmployeeData[[#This Row],[Status]]="Exited",_xlfn.DAYS(EmployeeData[[#This Row],[Exit Date]],EmployeeData[[#This Row],[Join Date]]))</f>
        <v>758</v>
      </c>
      <c r="L758" cm="1">
        <f t="array" aca="1" ref="L758" ca="1">_xlfn.IFS(EmployeeData[[#This Row],[Status]]="Exited",DATEDIF(EmployeeData[[#This Row],[Join Date]], EmployeeData[[#This Row],[Exit Date]], "Y"),EmployeeData[[#This Row],[Status]]="Active",DATEDIF(EmployeeData[[#This Row],[Join Date]], TODAY(), "Y"))</f>
        <v>2</v>
      </c>
      <c r="Q758" t="str" cm="1">
        <f t="array" aca="1" ref="Q7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28 days</v>
      </c>
    </row>
    <row r="759" spans="1:17" hidden="1" x14ac:dyDescent="0.3">
      <c r="A759">
        <v>1758</v>
      </c>
      <c r="B759" t="s">
        <v>606</v>
      </c>
      <c r="C759" t="s">
        <v>23</v>
      </c>
      <c r="D759" t="s">
        <v>11</v>
      </c>
      <c r="E759">
        <v>54</v>
      </c>
      <c r="F759" t="str" cm="1">
        <f t="array" ref="F759">_xlfn.IFS(EmployeeData[[#This Row],[Age]]&lt;30,"20s",EmployeeData[[#This Row],[Age]]&lt;40,"30s",EmployeeData[[#This Row],[Age]]&lt;50,"40s",EmployeeData[[#This Row],[Age]]&lt;60,"50s",EmployeeData[[#This Row],[Age]]&gt;=60,"60s")</f>
        <v>50s</v>
      </c>
      <c r="G759" s="5">
        <v>44132</v>
      </c>
      <c r="I759" t="s">
        <v>17</v>
      </c>
      <c r="J759" t="s">
        <v>18</v>
      </c>
      <c r="K759" cm="1">
        <f t="array" aca="1" ref="K759" ca="1">_xlfn.IFS(EmployeeData[[#This Row],[Status]]="Active",_xlfn.DAYS(TODAY(),EmployeeData[[#This Row],[Join Date]]),EmployeeData[[#This Row],[Status]]="Exited",_xlfn.DAYS(EmployeeData[[#This Row],[Exit Date]],EmployeeData[[#This Row],[Join Date]]))</f>
        <v>2065</v>
      </c>
      <c r="L759" cm="1">
        <f t="array" aca="1" ref="L759" ca="1">_xlfn.IFS(EmployeeData[[#This Row],[Status]]="Exited",DATEDIF(EmployeeData[[#This Row],[Join Date]], EmployeeData[[#This Row],[Exit Date]], "Y"),EmployeeData[[#This Row],[Status]]="Active",DATEDIF(EmployeeData[[#This Row],[Join Date]], TODAY(), "Y"))</f>
        <v>5</v>
      </c>
      <c r="Q759" t="str" cm="1">
        <f t="array" aca="1" ref="Q7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27 days</v>
      </c>
    </row>
    <row r="760" spans="1:17" hidden="1" x14ac:dyDescent="0.3">
      <c r="A760">
        <v>1759</v>
      </c>
      <c r="B760" t="s">
        <v>264</v>
      </c>
      <c r="C760" t="s">
        <v>10</v>
      </c>
      <c r="D760" t="s">
        <v>24</v>
      </c>
      <c r="E760">
        <v>45</v>
      </c>
      <c r="F760" t="str" cm="1">
        <f t="array" ref="F760">_xlfn.IFS(EmployeeData[[#This Row],[Age]]&lt;30,"20s",EmployeeData[[#This Row],[Age]]&lt;40,"30s",EmployeeData[[#This Row],[Age]]&lt;50,"40s",EmployeeData[[#This Row],[Age]]&lt;60,"50s",EmployeeData[[#This Row],[Age]]&gt;=60,"60s")</f>
        <v>40s</v>
      </c>
      <c r="G760" s="5">
        <v>44067</v>
      </c>
      <c r="I760" t="s">
        <v>17</v>
      </c>
      <c r="J760" t="s">
        <v>18</v>
      </c>
      <c r="K760" cm="1">
        <f t="array" aca="1" ref="K760" ca="1">_xlfn.IFS(EmployeeData[[#This Row],[Status]]="Active",_xlfn.DAYS(TODAY(),EmployeeData[[#This Row],[Join Date]]),EmployeeData[[#This Row],[Status]]="Exited",_xlfn.DAYS(EmployeeData[[#This Row],[Exit Date]],EmployeeData[[#This Row],[Join Date]]))</f>
        <v>2130</v>
      </c>
      <c r="L760" cm="1">
        <f t="array" aca="1" ref="L760" ca="1">_xlfn.IFS(EmployeeData[[#This Row],[Status]]="Exited",DATEDIF(EmployeeData[[#This Row],[Join Date]], EmployeeData[[#This Row],[Exit Date]], "Y"),EmployeeData[[#This Row],[Status]]="Active",DATEDIF(EmployeeData[[#This Row],[Join Date]], TODAY(), "Y"))</f>
        <v>5</v>
      </c>
      <c r="Q760" t="str" cm="1">
        <f t="array" aca="1" ref="Q7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0 days</v>
      </c>
    </row>
    <row r="761" spans="1:17" hidden="1" x14ac:dyDescent="0.3">
      <c r="A761">
        <v>1760</v>
      </c>
      <c r="B761" t="s">
        <v>198</v>
      </c>
      <c r="C761" t="s">
        <v>46</v>
      </c>
      <c r="D761" t="s">
        <v>24</v>
      </c>
      <c r="E761">
        <v>37</v>
      </c>
      <c r="F761" t="str" cm="1">
        <f t="array" ref="F761">_xlfn.IFS(EmployeeData[[#This Row],[Age]]&lt;30,"20s",EmployeeData[[#This Row],[Age]]&lt;40,"30s",EmployeeData[[#This Row],[Age]]&lt;50,"40s",EmployeeData[[#This Row],[Age]]&lt;60,"50s",EmployeeData[[#This Row],[Age]]&gt;=60,"60s")</f>
        <v>30s</v>
      </c>
      <c r="G761" s="5">
        <v>45515</v>
      </c>
      <c r="H761" s="5">
        <v>46151</v>
      </c>
      <c r="I761" t="s">
        <v>12</v>
      </c>
      <c r="J761" t="s">
        <v>13</v>
      </c>
      <c r="K761" cm="1">
        <f t="array" aca="1" ref="K761" ca="1">_xlfn.IFS(EmployeeData[[#This Row],[Status]]="Active",_xlfn.DAYS(TODAY(),EmployeeData[[#This Row],[Join Date]]),EmployeeData[[#This Row],[Status]]="Exited",_xlfn.DAYS(EmployeeData[[#This Row],[Exit Date]],EmployeeData[[#This Row],[Join Date]]))</f>
        <v>636</v>
      </c>
      <c r="L761" cm="1">
        <f t="array" aca="1" ref="L761" ca="1">_xlfn.IFS(EmployeeData[[#This Row],[Status]]="Exited",DATEDIF(EmployeeData[[#This Row],[Join Date]], EmployeeData[[#This Row],[Exit Date]], "Y"),EmployeeData[[#This Row],[Status]]="Active",DATEDIF(EmployeeData[[#This Row],[Join Date]], TODAY(), "Y"))</f>
        <v>1</v>
      </c>
      <c r="Q761" t="str" cm="1">
        <f t="array" aca="1" ref="Q7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28 days</v>
      </c>
    </row>
    <row r="762" spans="1:17" hidden="1" x14ac:dyDescent="0.3">
      <c r="A762">
        <v>1761</v>
      </c>
      <c r="B762" t="s">
        <v>1014</v>
      </c>
      <c r="C762" t="s">
        <v>20</v>
      </c>
      <c r="D762" t="s">
        <v>11</v>
      </c>
      <c r="E762">
        <v>30</v>
      </c>
      <c r="F762" t="str" cm="1">
        <f t="array" ref="F762">_xlfn.IFS(EmployeeData[[#This Row],[Age]]&lt;30,"20s",EmployeeData[[#This Row],[Age]]&lt;40,"30s",EmployeeData[[#This Row],[Age]]&lt;50,"40s",EmployeeData[[#This Row],[Age]]&lt;60,"50s",EmployeeData[[#This Row],[Age]]&gt;=60,"60s")</f>
        <v>30s</v>
      </c>
      <c r="G762" s="5">
        <v>44587</v>
      </c>
      <c r="I762" t="s">
        <v>17</v>
      </c>
      <c r="J762" t="s">
        <v>18</v>
      </c>
      <c r="K762" cm="1">
        <f t="array" aca="1" ref="K762" ca="1">_xlfn.IFS(EmployeeData[[#This Row],[Status]]="Active",_xlfn.DAYS(TODAY(),EmployeeData[[#This Row],[Join Date]]),EmployeeData[[#This Row],[Status]]="Exited",_xlfn.DAYS(EmployeeData[[#This Row],[Exit Date]],EmployeeData[[#This Row],[Join Date]]))</f>
        <v>1610</v>
      </c>
      <c r="L762" cm="1">
        <f t="array" aca="1" ref="L762" ca="1">_xlfn.IFS(EmployeeData[[#This Row],[Status]]="Exited",DATEDIF(EmployeeData[[#This Row],[Join Date]], EmployeeData[[#This Row],[Exit Date]], "Y"),EmployeeData[[#This Row],[Status]]="Active",DATEDIF(EmployeeData[[#This Row],[Join Date]], TODAY(), "Y"))</f>
        <v>4</v>
      </c>
      <c r="Q762" t="str" cm="1">
        <f t="array" aca="1" ref="Q7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29 days</v>
      </c>
    </row>
    <row r="763" spans="1:17" hidden="1" x14ac:dyDescent="0.3">
      <c r="A763">
        <v>1762</v>
      </c>
      <c r="B763" t="s">
        <v>1079</v>
      </c>
      <c r="C763" t="s">
        <v>33</v>
      </c>
      <c r="D763" t="s">
        <v>24</v>
      </c>
      <c r="E763">
        <v>24</v>
      </c>
      <c r="F763" t="str" cm="1">
        <f t="array" ref="F763">_xlfn.IFS(EmployeeData[[#This Row],[Age]]&lt;30,"20s",EmployeeData[[#This Row],[Age]]&lt;40,"30s",EmployeeData[[#This Row],[Age]]&lt;50,"40s",EmployeeData[[#This Row],[Age]]&lt;60,"50s",EmployeeData[[#This Row],[Age]]&gt;=60,"60s")</f>
        <v>20s</v>
      </c>
      <c r="G763" s="5">
        <v>45930</v>
      </c>
      <c r="I763" t="s">
        <v>17</v>
      </c>
      <c r="J763" t="s">
        <v>18</v>
      </c>
      <c r="K763" cm="1">
        <f t="array" aca="1" ref="K763" ca="1">_xlfn.IFS(EmployeeData[[#This Row],[Status]]="Active",_xlfn.DAYS(TODAY(),EmployeeData[[#This Row],[Join Date]]),EmployeeData[[#This Row],[Status]]="Exited",_xlfn.DAYS(EmployeeData[[#This Row],[Exit Date]],EmployeeData[[#This Row],[Join Date]]))</f>
        <v>267</v>
      </c>
      <c r="L763" cm="1">
        <f t="array" aca="1" ref="L763" ca="1">_xlfn.IFS(EmployeeData[[#This Row],[Status]]="Exited",DATEDIF(EmployeeData[[#This Row],[Join Date]], EmployeeData[[#This Row],[Exit Date]], "Y"),EmployeeData[[#This Row],[Status]]="Active",DATEDIF(EmployeeData[[#This Row],[Join Date]], TODAY(), "Y"))</f>
        <v>0</v>
      </c>
      <c r="Q763" t="str" cm="1">
        <f t="array" aca="1" ref="Q7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764" spans="1:17" hidden="1" x14ac:dyDescent="0.3">
      <c r="A764">
        <v>1763</v>
      </c>
      <c r="B764" t="s">
        <v>1084</v>
      </c>
      <c r="C764" t="s">
        <v>23</v>
      </c>
      <c r="D764" t="s">
        <v>11</v>
      </c>
      <c r="E764">
        <v>28</v>
      </c>
      <c r="F764" t="str" cm="1">
        <f t="array" ref="F764">_xlfn.IFS(EmployeeData[[#This Row],[Age]]&lt;30,"20s",EmployeeData[[#This Row],[Age]]&lt;40,"30s",EmployeeData[[#This Row],[Age]]&lt;50,"40s",EmployeeData[[#This Row],[Age]]&lt;60,"50s",EmployeeData[[#This Row],[Age]]&gt;=60,"60s")</f>
        <v>20s</v>
      </c>
      <c r="G764" s="5">
        <v>45291</v>
      </c>
      <c r="I764" t="s">
        <v>17</v>
      </c>
      <c r="J764" t="s">
        <v>18</v>
      </c>
      <c r="K764" cm="1">
        <f t="array" aca="1" ref="K764" ca="1">_xlfn.IFS(EmployeeData[[#This Row],[Status]]="Active",_xlfn.DAYS(TODAY(),EmployeeData[[#This Row],[Join Date]]),EmployeeData[[#This Row],[Status]]="Exited",_xlfn.DAYS(EmployeeData[[#This Row],[Exit Date]],EmployeeData[[#This Row],[Join Date]]))</f>
        <v>906</v>
      </c>
      <c r="L764" cm="1">
        <f t="array" aca="1" ref="L764" ca="1">_xlfn.IFS(EmployeeData[[#This Row],[Status]]="Exited",DATEDIF(EmployeeData[[#This Row],[Join Date]], EmployeeData[[#This Row],[Exit Date]], "Y"),EmployeeData[[#This Row],[Status]]="Active",DATEDIF(EmployeeData[[#This Row],[Join Date]], TODAY(), "Y"))</f>
        <v>2</v>
      </c>
      <c r="Q764" t="str" cm="1">
        <f t="array" aca="1" ref="Q7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24 days</v>
      </c>
    </row>
    <row r="765" spans="1:17" hidden="1" x14ac:dyDescent="0.3">
      <c r="A765">
        <v>1764</v>
      </c>
      <c r="B765" t="s">
        <v>184</v>
      </c>
      <c r="C765" t="s">
        <v>46</v>
      </c>
      <c r="D765" t="s">
        <v>11</v>
      </c>
      <c r="E765">
        <v>40</v>
      </c>
      <c r="F765" t="str" cm="1">
        <f t="array" ref="F765">_xlfn.IFS(EmployeeData[[#This Row],[Age]]&lt;30,"20s",EmployeeData[[#This Row],[Age]]&lt;40,"30s",EmployeeData[[#This Row],[Age]]&lt;50,"40s",EmployeeData[[#This Row],[Age]]&lt;60,"50s",EmployeeData[[#This Row],[Age]]&gt;=60,"60s")</f>
        <v>40s</v>
      </c>
      <c r="G765" s="5">
        <v>43470</v>
      </c>
      <c r="I765" t="s">
        <v>17</v>
      </c>
      <c r="J765" t="s">
        <v>18</v>
      </c>
      <c r="K765" cm="1">
        <f t="array" aca="1" ref="K765" ca="1">_xlfn.IFS(EmployeeData[[#This Row],[Status]]="Active",_xlfn.DAYS(TODAY(),EmployeeData[[#This Row],[Join Date]]),EmployeeData[[#This Row],[Status]]="Exited",_xlfn.DAYS(EmployeeData[[#This Row],[Exit Date]],EmployeeData[[#This Row],[Join Date]]))</f>
        <v>2727</v>
      </c>
      <c r="L765" cm="1">
        <f t="array" aca="1" ref="L765" ca="1">_xlfn.IFS(EmployeeData[[#This Row],[Status]]="Exited",DATEDIF(EmployeeData[[#This Row],[Join Date]], EmployeeData[[#This Row],[Exit Date]], "Y"),EmployeeData[[#This Row],[Status]]="Active",DATEDIF(EmployeeData[[#This Row],[Join Date]], TODAY(), "Y"))</f>
        <v>7</v>
      </c>
      <c r="Q765" t="str" cm="1">
        <f t="array" aca="1" ref="Q7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19 days</v>
      </c>
    </row>
    <row r="766" spans="1:17" x14ac:dyDescent="0.3">
      <c r="A766">
        <v>1765</v>
      </c>
      <c r="B766" t="s">
        <v>306</v>
      </c>
      <c r="C766" t="s">
        <v>46</v>
      </c>
      <c r="D766" t="s">
        <v>24</v>
      </c>
      <c r="E766">
        <v>47</v>
      </c>
      <c r="F766" t="str" cm="1">
        <f t="array" ref="F766">_xlfn.IFS(EmployeeData[[#This Row],[Age]]&lt;30,"20s",EmployeeData[[#This Row],[Age]]&lt;40,"30s",EmployeeData[[#This Row],[Age]]&lt;50,"40s",EmployeeData[[#This Row],[Age]]&lt;60,"50s",EmployeeData[[#This Row],[Age]]&gt;=60,"60s")</f>
        <v>40s</v>
      </c>
      <c r="G766" s="5">
        <v>43239</v>
      </c>
      <c r="H766" s="5">
        <v>43657</v>
      </c>
      <c r="I766" t="s">
        <v>52</v>
      </c>
      <c r="J766" t="s">
        <v>13</v>
      </c>
      <c r="K766" cm="1">
        <f t="array" aca="1" ref="K766" ca="1">_xlfn.IFS(EmployeeData[[#This Row],[Status]]="Active",_xlfn.DAYS(TODAY(),EmployeeData[[#This Row],[Join Date]]),EmployeeData[[#This Row],[Status]]="Exited",_xlfn.DAYS(EmployeeData[[#This Row],[Exit Date]],EmployeeData[[#This Row],[Join Date]]))</f>
        <v>418</v>
      </c>
      <c r="L766" cm="1">
        <f t="array" aca="1" ref="L766" ca="1">_xlfn.IFS(EmployeeData[[#This Row],[Status]]="Exited",DATEDIF(EmployeeData[[#This Row],[Join Date]], EmployeeData[[#This Row],[Exit Date]], "Y"),EmployeeData[[#This Row],[Status]]="Active",DATEDIF(EmployeeData[[#This Row],[Join Date]], TODAY(), "Y"))</f>
        <v>1</v>
      </c>
      <c r="Q766" t="str" cm="1">
        <f t="array" aca="1" ref="Q7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22 days</v>
      </c>
    </row>
    <row r="767" spans="1:17" hidden="1" x14ac:dyDescent="0.3">
      <c r="A767">
        <v>1766</v>
      </c>
      <c r="B767" t="s">
        <v>975</v>
      </c>
      <c r="C767" t="s">
        <v>46</v>
      </c>
      <c r="D767" t="s">
        <v>24</v>
      </c>
      <c r="E767">
        <v>48</v>
      </c>
      <c r="F767" t="str" cm="1">
        <f t="array" ref="F767">_xlfn.IFS(EmployeeData[[#This Row],[Age]]&lt;30,"20s",EmployeeData[[#This Row],[Age]]&lt;40,"30s",EmployeeData[[#This Row],[Age]]&lt;50,"40s",EmployeeData[[#This Row],[Age]]&lt;60,"50s",EmployeeData[[#This Row],[Age]]&gt;=60,"60s")</f>
        <v>40s</v>
      </c>
      <c r="G767" s="5">
        <v>43512</v>
      </c>
      <c r="I767" t="s">
        <v>17</v>
      </c>
      <c r="J767" t="s">
        <v>18</v>
      </c>
      <c r="K767" cm="1">
        <f t="array" aca="1" ref="K767" ca="1">_xlfn.IFS(EmployeeData[[#This Row],[Status]]="Active",_xlfn.DAYS(TODAY(),EmployeeData[[#This Row],[Join Date]]),EmployeeData[[#This Row],[Status]]="Exited",_xlfn.DAYS(EmployeeData[[#This Row],[Exit Date]],EmployeeData[[#This Row],[Join Date]]))</f>
        <v>2685</v>
      </c>
      <c r="L767" cm="1">
        <f t="array" aca="1" ref="L767" ca="1">_xlfn.IFS(EmployeeData[[#This Row],[Status]]="Exited",DATEDIF(EmployeeData[[#This Row],[Join Date]], EmployeeData[[#This Row],[Exit Date]], "Y"),EmployeeData[[#This Row],[Status]]="Active",DATEDIF(EmployeeData[[#This Row],[Join Date]], TODAY(), "Y"))</f>
        <v>7</v>
      </c>
      <c r="Q767" t="str" cm="1">
        <f t="array" aca="1" ref="Q7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8 days</v>
      </c>
    </row>
    <row r="768" spans="1:17" hidden="1" x14ac:dyDescent="0.3">
      <c r="A768">
        <v>1767</v>
      </c>
      <c r="B768" t="s">
        <v>332</v>
      </c>
      <c r="C768" t="s">
        <v>23</v>
      </c>
      <c r="D768" t="s">
        <v>11</v>
      </c>
      <c r="E768">
        <v>41</v>
      </c>
      <c r="F768" t="str" cm="1">
        <f t="array" ref="F768">_xlfn.IFS(EmployeeData[[#This Row],[Age]]&lt;30,"20s",EmployeeData[[#This Row],[Age]]&lt;40,"30s",EmployeeData[[#This Row],[Age]]&lt;50,"40s",EmployeeData[[#This Row],[Age]]&lt;60,"50s",EmployeeData[[#This Row],[Age]]&gt;=60,"60s")</f>
        <v>40s</v>
      </c>
      <c r="G768" s="5">
        <v>44957</v>
      </c>
      <c r="I768" t="s">
        <v>17</v>
      </c>
      <c r="J768" t="s">
        <v>18</v>
      </c>
      <c r="K768" cm="1">
        <f t="array" aca="1" ref="K768" ca="1">_xlfn.IFS(EmployeeData[[#This Row],[Status]]="Active",_xlfn.DAYS(TODAY(),EmployeeData[[#This Row],[Join Date]]),EmployeeData[[#This Row],[Status]]="Exited",_xlfn.DAYS(EmployeeData[[#This Row],[Exit Date]],EmployeeData[[#This Row],[Join Date]]))</f>
        <v>1240</v>
      </c>
      <c r="L768" cm="1">
        <f t="array" aca="1" ref="L768" ca="1">_xlfn.IFS(EmployeeData[[#This Row],[Status]]="Exited",DATEDIF(EmployeeData[[#This Row],[Join Date]], EmployeeData[[#This Row],[Exit Date]], "Y"),EmployeeData[[#This Row],[Status]]="Active",DATEDIF(EmployeeData[[#This Row],[Join Date]], TODAY(), "Y"))</f>
        <v>3</v>
      </c>
      <c r="Q768" t="str" cm="1">
        <f t="array" aca="1" ref="Q7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24 days</v>
      </c>
    </row>
    <row r="769" spans="1:17" x14ac:dyDescent="0.3">
      <c r="A769">
        <v>1768</v>
      </c>
      <c r="B769" t="s">
        <v>634</v>
      </c>
      <c r="C769" t="s">
        <v>23</v>
      </c>
      <c r="D769" t="s">
        <v>11</v>
      </c>
      <c r="E769">
        <v>29</v>
      </c>
      <c r="F769" t="str" cm="1">
        <f t="array" ref="F769">_xlfn.IFS(EmployeeData[[#This Row],[Age]]&lt;30,"20s",EmployeeData[[#This Row],[Age]]&lt;40,"30s",EmployeeData[[#This Row],[Age]]&lt;50,"40s",EmployeeData[[#This Row],[Age]]&lt;60,"50s",EmployeeData[[#This Row],[Age]]&gt;=60,"60s")</f>
        <v>20s</v>
      </c>
      <c r="G769" s="5">
        <v>43113</v>
      </c>
      <c r="I769" t="s">
        <v>17</v>
      </c>
      <c r="J769" t="s">
        <v>18</v>
      </c>
      <c r="K769" cm="1">
        <f t="array" aca="1" ref="K769" ca="1">_xlfn.IFS(EmployeeData[[#This Row],[Status]]="Active",_xlfn.DAYS(TODAY(),EmployeeData[[#This Row],[Join Date]]),EmployeeData[[#This Row],[Status]]="Exited",_xlfn.DAYS(EmployeeData[[#This Row],[Exit Date]],EmployeeData[[#This Row],[Join Date]]))</f>
        <v>3084</v>
      </c>
      <c r="L769" cm="1">
        <f t="array" aca="1" ref="L769" ca="1">_xlfn.IFS(EmployeeData[[#This Row],[Status]]="Exited",DATEDIF(EmployeeData[[#This Row],[Join Date]], EmployeeData[[#This Row],[Exit Date]], "Y"),EmployeeData[[#This Row],[Status]]="Active",DATEDIF(EmployeeData[[#This Row],[Join Date]], TODAY(), "Y"))</f>
        <v>8</v>
      </c>
      <c r="Q769" t="str" cm="1">
        <f t="array" aca="1" ref="Q7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11 days</v>
      </c>
    </row>
    <row r="770" spans="1:17" hidden="1" x14ac:dyDescent="0.3">
      <c r="A770">
        <v>1769</v>
      </c>
      <c r="B770" t="s">
        <v>483</v>
      </c>
      <c r="C770" t="s">
        <v>15</v>
      </c>
      <c r="D770" t="s">
        <v>24</v>
      </c>
      <c r="E770">
        <v>29</v>
      </c>
      <c r="F770" t="str" cm="1">
        <f t="array" ref="F770">_xlfn.IFS(EmployeeData[[#This Row],[Age]]&lt;30,"20s",EmployeeData[[#This Row],[Age]]&lt;40,"30s",EmployeeData[[#This Row],[Age]]&lt;50,"40s",EmployeeData[[#This Row],[Age]]&lt;60,"50s",EmployeeData[[#This Row],[Age]]&gt;=60,"60s")</f>
        <v>20s</v>
      </c>
      <c r="G770" s="5">
        <v>45534</v>
      </c>
      <c r="I770" t="s">
        <v>17</v>
      </c>
      <c r="J770" t="s">
        <v>18</v>
      </c>
      <c r="K770" cm="1">
        <f t="array" aca="1" ref="K770" ca="1">_xlfn.IFS(EmployeeData[[#This Row],[Status]]="Active",_xlfn.DAYS(TODAY(),EmployeeData[[#This Row],[Join Date]]),EmployeeData[[#This Row],[Status]]="Exited",_xlfn.DAYS(EmployeeData[[#This Row],[Exit Date]],EmployeeData[[#This Row],[Join Date]]))</f>
        <v>663</v>
      </c>
      <c r="L770" cm="1">
        <f t="array" aca="1" ref="L770" ca="1">_xlfn.IFS(EmployeeData[[#This Row],[Status]]="Exited",DATEDIF(EmployeeData[[#This Row],[Join Date]], EmployeeData[[#This Row],[Exit Date]], "Y"),EmployeeData[[#This Row],[Status]]="Active",DATEDIF(EmployeeData[[#This Row],[Join Date]], TODAY(), "Y"))</f>
        <v>1</v>
      </c>
      <c r="Q770" t="str" cm="1">
        <f t="array" aca="1" ref="Q7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25 days</v>
      </c>
    </row>
    <row r="771" spans="1:17" hidden="1" x14ac:dyDescent="0.3">
      <c r="A771">
        <v>1770</v>
      </c>
      <c r="B771" t="s">
        <v>93</v>
      </c>
      <c r="C771" t="s">
        <v>10</v>
      </c>
      <c r="D771" t="s">
        <v>11</v>
      </c>
      <c r="E771">
        <v>41</v>
      </c>
      <c r="F771" t="str" cm="1">
        <f t="array" ref="F771">_xlfn.IFS(EmployeeData[[#This Row],[Age]]&lt;30,"20s",EmployeeData[[#This Row],[Age]]&lt;40,"30s",EmployeeData[[#This Row],[Age]]&lt;50,"40s",EmployeeData[[#This Row],[Age]]&lt;60,"50s",EmployeeData[[#This Row],[Age]]&gt;=60,"60s")</f>
        <v>40s</v>
      </c>
      <c r="G771" s="5">
        <v>44255</v>
      </c>
      <c r="H771" s="5">
        <v>45193</v>
      </c>
      <c r="I771" t="s">
        <v>12</v>
      </c>
      <c r="J771" t="s">
        <v>13</v>
      </c>
      <c r="K771" cm="1">
        <f t="array" aca="1" ref="K771" ca="1">_xlfn.IFS(EmployeeData[[#This Row],[Status]]="Active",_xlfn.DAYS(TODAY(),EmployeeData[[#This Row],[Join Date]]),EmployeeData[[#This Row],[Status]]="Exited",_xlfn.DAYS(EmployeeData[[#This Row],[Exit Date]],EmployeeData[[#This Row],[Join Date]]))</f>
        <v>938</v>
      </c>
      <c r="L771" cm="1">
        <f t="array" aca="1" ref="L771" ca="1">_xlfn.IFS(EmployeeData[[#This Row],[Status]]="Exited",DATEDIF(EmployeeData[[#This Row],[Join Date]], EmployeeData[[#This Row],[Exit Date]], "Y"),EmployeeData[[#This Row],[Status]]="Active",DATEDIF(EmployeeData[[#This Row],[Join Date]], TODAY(), "Y"))</f>
        <v>2</v>
      </c>
      <c r="Q771" t="str" cm="1">
        <f t="array" aca="1" ref="Q7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772" spans="1:17" hidden="1" x14ac:dyDescent="0.3">
      <c r="A772">
        <v>1771</v>
      </c>
      <c r="B772" t="s">
        <v>294</v>
      </c>
      <c r="C772" t="s">
        <v>33</v>
      </c>
      <c r="D772" t="s">
        <v>16</v>
      </c>
      <c r="E772">
        <v>22</v>
      </c>
      <c r="F772" t="str" cm="1">
        <f t="array" ref="F772">_xlfn.IFS(EmployeeData[[#This Row],[Age]]&lt;30,"20s",EmployeeData[[#This Row],[Age]]&lt;40,"30s",EmployeeData[[#This Row],[Age]]&lt;50,"40s",EmployeeData[[#This Row],[Age]]&lt;60,"50s",EmployeeData[[#This Row],[Age]]&gt;=60,"60s")</f>
        <v>20s</v>
      </c>
      <c r="G772" s="5">
        <v>45388</v>
      </c>
      <c r="I772" t="s">
        <v>17</v>
      </c>
      <c r="J772" t="s">
        <v>18</v>
      </c>
      <c r="K772" cm="1">
        <f t="array" aca="1" ref="K772" ca="1">_xlfn.IFS(EmployeeData[[#This Row],[Status]]="Active",_xlfn.DAYS(TODAY(),EmployeeData[[#This Row],[Join Date]]),EmployeeData[[#This Row],[Status]]="Exited",_xlfn.DAYS(EmployeeData[[#This Row],[Exit Date]],EmployeeData[[#This Row],[Join Date]]))</f>
        <v>809</v>
      </c>
      <c r="L772" cm="1">
        <f t="array" aca="1" ref="L772" ca="1">_xlfn.IFS(EmployeeData[[#This Row],[Status]]="Exited",DATEDIF(EmployeeData[[#This Row],[Join Date]], EmployeeData[[#This Row],[Exit Date]], "Y"),EmployeeData[[#This Row],[Status]]="Active",DATEDIF(EmployeeData[[#This Row],[Join Date]], TODAY(), "Y"))</f>
        <v>2</v>
      </c>
      <c r="Q772" t="str" cm="1">
        <f t="array" aca="1" ref="Q7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18 days</v>
      </c>
    </row>
    <row r="773" spans="1:17" x14ac:dyDescent="0.3">
      <c r="A773">
        <v>1772</v>
      </c>
      <c r="B773" t="s">
        <v>660</v>
      </c>
      <c r="C773" t="s">
        <v>15</v>
      </c>
      <c r="D773" t="s">
        <v>11</v>
      </c>
      <c r="E773">
        <v>31</v>
      </c>
      <c r="F773" t="str" cm="1">
        <f t="array" ref="F773">_xlfn.IFS(EmployeeData[[#This Row],[Age]]&lt;30,"20s",EmployeeData[[#This Row],[Age]]&lt;40,"30s",EmployeeData[[#This Row],[Age]]&lt;50,"40s",EmployeeData[[#This Row],[Age]]&lt;60,"50s",EmployeeData[[#This Row],[Age]]&gt;=60,"60s")</f>
        <v>30s</v>
      </c>
      <c r="G773" s="5">
        <v>43304</v>
      </c>
      <c r="I773" t="s">
        <v>17</v>
      </c>
      <c r="J773" t="s">
        <v>18</v>
      </c>
      <c r="K773" cm="1">
        <f t="array" aca="1" ref="K773" ca="1">_xlfn.IFS(EmployeeData[[#This Row],[Status]]="Active",_xlfn.DAYS(TODAY(),EmployeeData[[#This Row],[Join Date]]),EmployeeData[[#This Row],[Status]]="Exited",_xlfn.DAYS(EmployeeData[[#This Row],[Exit Date]],EmployeeData[[#This Row],[Join Date]]))</f>
        <v>2893</v>
      </c>
      <c r="L773" cm="1">
        <f t="array" aca="1" ref="L773" ca="1">_xlfn.IFS(EmployeeData[[#This Row],[Status]]="Exited",DATEDIF(EmployeeData[[#This Row],[Join Date]], EmployeeData[[#This Row],[Exit Date]], "Y"),EmployeeData[[#This Row],[Status]]="Active",DATEDIF(EmployeeData[[#This Row],[Join Date]], TODAY(), "Y"))</f>
        <v>7</v>
      </c>
      <c r="Q773" t="str" cm="1">
        <f t="array" aca="1" ref="Q7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 days</v>
      </c>
    </row>
    <row r="774" spans="1:17" hidden="1" x14ac:dyDescent="0.3">
      <c r="A774">
        <v>1773</v>
      </c>
      <c r="B774" t="s">
        <v>787</v>
      </c>
      <c r="C774" t="s">
        <v>46</v>
      </c>
      <c r="D774" t="s">
        <v>16</v>
      </c>
      <c r="E774">
        <v>57</v>
      </c>
      <c r="F774" t="str" cm="1">
        <f t="array" ref="F774">_xlfn.IFS(EmployeeData[[#This Row],[Age]]&lt;30,"20s",EmployeeData[[#This Row],[Age]]&lt;40,"30s",EmployeeData[[#This Row],[Age]]&lt;50,"40s",EmployeeData[[#This Row],[Age]]&lt;60,"50s",EmployeeData[[#This Row],[Age]]&gt;=60,"60s")</f>
        <v>50s</v>
      </c>
      <c r="G774" s="5">
        <v>43581</v>
      </c>
      <c r="H774" s="5">
        <v>45453</v>
      </c>
      <c r="I774" t="s">
        <v>34</v>
      </c>
      <c r="J774" t="s">
        <v>13</v>
      </c>
      <c r="K774" cm="1">
        <f t="array" aca="1" ref="K774" ca="1">_xlfn.IFS(EmployeeData[[#This Row],[Status]]="Active",_xlfn.DAYS(TODAY(),EmployeeData[[#This Row],[Join Date]]),EmployeeData[[#This Row],[Status]]="Exited",_xlfn.DAYS(EmployeeData[[#This Row],[Exit Date]],EmployeeData[[#This Row],[Join Date]]))</f>
        <v>1872</v>
      </c>
      <c r="L774" cm="1">
        <f t="array" aca="1" ref="L774" ca="1">_xlfn.IFS(EmployeeData[[#This Row],[Status]]="Exited",DATEDIF(EmployeeData[[#This Row],[Join Date]], EmployeeData[[#This Row],[Exit Date]], "Y"),EmployeeData[[#This Row],[Status]]="Active",DATEDIF(EmployeeData[[#This Row],[Join Date]], TODAY(), "Y"))</f>
        <v>5</v>
      </c>
      <c r="Q774" t="str" cm="1">
        <f t="array" aca="1" ref="Q7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775" spans="1:17" hidden="1" x14ac:dyDescent="0.3">
      <c r="A775">
        <v>1774</v>
      </c>
      <c r="B775" t="s">
        <v>1072</v>
      </c>
      <c r="C775" t="s">
        <v>20</v>
      </c>
      <c r="D775" t="s">
        <v>16</v>
      </c>
      <c r="E775">
        <v>38</v>
      </c>
      <c r="F775" t="str" cm="1">
        <f t="array" ref="F775">_xlfn.IFS(EmployeeData[[#This Row],[Age]]&lt;30,"20s",EmployeeData[[#This Row],[Age]]&lt;40,"30s",EmployeeData[[#This Row],[Age]]&lt;50,"40s",EmployeeData[[#This Row],[Age]]&lt;60,"50s",EmployeeData[[#This Row],[Age]]&gt;=60,"60s")</f>
        <v>30s</v>
      </c>
      <c r="G775" s="5">
        <v>44280</v>
      </c>
      <c r="I775" t="s">
        <v>17</v>
      </c>
      <c r="J775" t="s">
        <v>18</v>
      </c>
      <c r="K775" cm="1">
        <f t="array" aca="1" ref="K775" ca="1">_xlfn.IFS(EmployeeData[[#This Row],[Status]]="Active",_xlfn.DAYS(TODAY(),EmployeeData[[#This Row],[Join Date]]),EmployeeData[[#This Row],[Status]]="Exited",_xlfn.DAYS(EmployeeData[[#This Row],[Exit Date]],EmployeeData[[#This Row],[Join Date]]))</f>
        <v>1917</v>
      </c>
      <c r="L775" cm="1">
        <f t="array" aca="1" ref="L775" ca="1">_xlfn.IFS(EmployeeData[[#This Row],[Status]]="Exited",DATEDIF(EmployeeData[[#This Row],[Join Date]], EmployeeData[[#This Row],[Exit Date]], "Y"),EmployeeData[[#This Row],[Status]]="Active",DATEDIF(EmployeeData[[#This Row],[Join Date]], TODAY(), "Y"))</f>
        <v>5</v>
      </c>
      <c r="Q775" t="str" cm="1">
        <f t="array" aca="1" ref="Q7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30 days</v>
      </c>
    </row>
    <row r="776" spans="1:17" hidden="1" x14ac:dyDescent="0.3">
      <c r="A776">
        <v>1775</v>
      </c>
      <c r="B776" t="s">
        <v>554</v>
      </c>
      <c r="C776" t="s">
        <v>23</v>
      </c>
      <c r="D776" t="s">
        <v>11</v>
      </c>
      <c r="E776">
        <v>39</v>
      </c>
      <c r="F776" t="str" cm="1">
        <f t="array" ref="F776">_xlfn.IFS(EmployeeData[[#This Row],[Age]]&lt;30,"20s",EmployeeData[[#This Row],[Age]]&lt;40,"30s",EmployeeData[[#This Row],[Age]]&lt;50,"40s",EmployeeData[[#This Row],[Age]]&lt;60,"50s",EmployeeData[[#This Row],[Age]]&gt;=60,"60s")</f>
        <v>30s</v>
      </c>
      <c r="G776" s="5">
        <v>45874</v>
      </c>
      <c r="H776" s="5">
        <v>46010</v>
      </c>
      <c r="I776" t="s">
        <v>12</v>
      </c>
      <c r="J776" t="s">
        <v>13</v>
      </c>
      <c r="K776" cm="1">
        <f t="array" aca="1" ref="K776" ca="1">_xlfn.IFS(EmployeeData[[#This Row],[Status]]="Active",_xlfn.DAYS(TODAY(),EmployeeData[[#This Row],[Join Date]]),EmployeeData[[#This Row],[Status]]="Exited",_xlfn.DAYS(EmployeeData[[#This Row],[Exit Date]],EmployeeData[[#This Row],[Join Date]]))</f>
        <v>136</v>
      </c>
      <c r="L776" cm="1">
        <f t="array" aca="1" ref="L776" ca="1">_xlfn.IFS(EmployeeData[[#This Row],[Status]]="Exited",DATEDIF(EmployeeData[[#This Row],[Join Date]], EmployeeData[[#This Row],[Exit Date]], "Y"),EmployeeData[[#This Row],[Status]]="Active",DATEDIF(EmployeeData[[#This Row],[Join Date]], TODAY(), "Y"))</f>
        <v>0</v>
      </c>
      <c r="Q776" t="str" cm="1">
        <f t="array" aca="1" ref="Q7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777" spans="1:17" hidden="1" x14ac:dyDescent="0.3">
      <c r="A777">
        <v>1776</v>
      </c>
      <c r="B777" t="s">
        <v>185</v>
      </c>
      <c r="C777" t="s">
        <v>15</v>
      </c>
      <c r="D777" t="s">
        <v>24</v>
      </c>
      <c r="E777">
        <v>36</v>
      </c>
      <c r="F777" t="str" cm="1">
        <f t="array" ref="F777">_xlfn.IFS(EmployeeData[[#This Row],[Age]]&lt;30,"20s",EmployeeData[[#This Row],[Age]]&lt;40,"30s",EmployeeData[[#This Row],[Age]]&lt;50,"40s",EmployeeData[[#This Row],[Age]]&lt;60,"50s",EmployeeData[[#This Row],[Age]]&gt;=60,"60s")</f>
        <v>30s</v>
      </c>
      <c r="G777" s="5">
        <v>44615</v>
      </c>
      <c r="I777" t="s">
        <v>17</v>
      </c>
      <c r="J777" t="s">
        <v>18</v>
      </c>
      <c r="K777" cm="1">
        <f t="array" aca="1" ref="K777" ca="1">_xlfn.IFS(EmployeeData[[#This Row],[Status]]="Active",_xlfn.DAYS(TODAY(),EmployeeData[[#This Row],[Join Date]]),EmployeeData[[#This Row],[Status]]="Exited",_xlfn.DAYS(EmployeeData[[#This Row],[Exit Date]],EmployeeData[[#This Row],[Join Date]]))</f>
        <v>1582</v>
      </c>
      <c r="L777" cm="1">
        <f t="array" aca="1" ref="L777" ca="1">_xlfn.IFS(EmployeeData[[#This Row],[Status]]="Exited",DATEDIF(EmployeeData[[#This Row],[Join Date]], EmployeeData[[#This Row],[Exit Date]], "Y"),EmployeeData[[#This Row],[Status]]="Active",DATEDIF(EmployeeData[[#This Row],[Join Date]], TODAY(), "Y"))</f>
        <v>4</v>
      </c>
      <c r="Q777" t="str" cm="1">
        <f t="array" aca="1" ref="Q7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 days</v>
      </c>
    </row>
    <row r="778" spans="1:17" hidden="1" x14ac:dyDescent="0.3">
      <c r="A778">
        <v>1777</v>
      </c>
      <c r="B778" t="s">
        <v>501</v>
      </c>
      <c r="C778" t="s">
        <v>33</v>
      </c>
      <c r="D778" t="s">
        <v>11</v>
      </c>
      <c r="E778">
        <v>46</v>
      </c>
      <c r="F778" t="str" cm="1">
        <f t="array" ref="F778">_xlfn.IFS(EmployeeData[[#This Row],[Age]]&lt;30,"20s",EmployeeData[[#This Row],[Age]]&lt;40,"30s",EmployeeData[[#This Row],[Age]]&lt;50,"40s",EmployeeData[[#This Row],[Age]]&lt;60,"50s",EmployeeData[[#This Row],[Age]]&gt;=60,"60s")</f>
        <v>40s</v>
      </c>
      <c r="G778" s="5">
        <v>45914</v>
      </c>
      <c r="H778" s="5">
        <v>46102</v>
      </c>
      <c r="I778" t="s">
        <v>34</v>
      </c>
      <c r="J778" t="s">
        <v>13</v>
      </c>
      <c r="K778" cm="1">
        <f t="array" aca="1" ref="K778" ca="1">_xlfn.IFS(EmployeeData[[#This Row],[Status]]="Active",_xlfn.DAYS(TODAY(),EmployeeData[[#This Row],[Join Date]]),EmployeeData[[#This Row],[Status]]="Exited",_xlfn.DAYS(EmployeeData[[#This Row],[Exit Date]],EmployeeData[[#This Row],[Join Date]]))</f>
        <v>188</v>
      </c>
      <c r="L778" cm="1">
        <f t="array" aca="1" ref="L778" ca="1">_xlfn.IFS(EmployeeData[[#This Row],[Status]]="Exited",DATEDIF(EmployeeData[[#This Row],[Join Date]], EmployeeData[[#This Row],[Exit Date]], "Y"),EmployeeData[[#This Row],[Status]]="Active",DATEDIF(EmployeeData[[#This Row],[Join Date]], TODAY(), "Y"))</f>
        <v>0</v>
      </c>
      <c r="Q778" t="str" cm="1">
        <f t="array" aca="1" ref="Q7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779" spans="1:17" hidden="1" x14ac:dyDescent="0.3">
      <c r="A779">
        <v>1778</v>
      </c>
      <c r="B779" t="s">
        <v>345</v>
      </c>
      <c r="C779" t="s">
        <v>15</v>
      </c>
      <c r="D779" t="s">
        <v>11</v>
      </c>
      <c r="E779">
        <v>51</v>
      </c>
      <c r="F779" t="str" cm="1">
        <f t="array" ref="F779">_xlfn.IFS(EmployeeData[[#This Row],[Age]]&lt;30,"20s",EmployeeData[[#This Row],[Age]]&lt;40,"30s",EmployeeData[[#This Row],[Age]]&lt;50,"40s",EmployeeData[[#This Row],[Age]]&lt;60,"50s",EmployeeData[[#This Row],[Age]]&gt;=60,"60s")</f>
        <v>50s</v>
      </c>
      <c r="G779" s="5">
        <v>44552</v>
      </c>
      <c r="I779" t="s">
        <v>17</v>
      </c>
      <c r="J779" t="s">
        <v>18</v>
      </c>
      <c r="K779" cm="1">
        <f t="array" aca="1" ref="K779" ca="1">_xlfn.IFS(EmployeeData[[#This Row],[Status]]="Active",_xlfn.DAYS(TODAY(),EmployeeData[[#This Row],[Join Date]]),EmployeeData[[#This Row],[Status]]="Exited",_xlfn.DAYS(EmployeeData[[#This Row],[Exit Date]],EmployeeData[[#This Row],[Join Date]]))</f>
        <v>1645</v>
      </c>
      <c r="L779" cm="1">
        <f t="array" aca="1" ref="L779" ca="1">_xlfn.IFS(EmployeeData[[#This Row],[Status]]="Exited",DATEDIF(EmployeeData[[#This Row],[Join Date]], EmployeeData[[#This Row],[Exit Date]], "Y"),EmployeeData[[#This Row],[Status]]="Active",DATEDIF(EmployeeData[[#This Row],[Join Date]], TODAY(), "Y"))</f>
        <v>4</v>
      </c>
      <c r="Q779" t="str" cm="1">
        <f t="array" aca="1" ref="Q7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780" spans="1:17" hidden="1" x14ac:dyDescent="0.3">
      <c r="A780">
        <v>1779</v>
      </c>
      <c r="B780" t="s">
        <v>137</v>
      </c>
      <c r="C780" t="s">
        <v>15</v>
      </c>
      <c r="D780" t="s">
        <v>16</v>
      </c>
      <c r="E780">
        <v>45</v>
      </c>
      <c r="F780" t="str" cm="1">
        <f t="array" ref="F780">_xlfn.IFS(EmployeeData[[#This Row],[Age]]&lt;30,"20s",EmployeeData[[#This Row],[Age]]&lt;40,"30s",EmployeeData[[#This Row],[Age]]&lt;50,"40s",EmployeeData[[#This Row],[Age]]&lt;60,"50s",EmployeeData[[#This Row],[Age]]&gt;=60,"60s")</f>
        <v>40s</v>
      </c>
      <c r="G780" s="5">
        <v>44340</v>
      </c>
      <c r="I780" t="s">
        <v>17</v>
      </c>
      <c r="J780" t="s">
        <v>18</v>
      </c>
      <c r="K780" cm="1">
        <f t="array" aca="1" ref="K780" ca="1">_xlfn.IFS(EmployeeData[[#This Row],[Status]]="Active",_xlfn.DAYS(TODAY(),EmployeeData[[#This Row],[Join Date]]),EmployeeData[[#This Row],[Status]]="Exited",_xlfn.DAYS(EmployeeData[[#This Row],[Exit Date]],EmployeeData[[#This Row],[Join Date]]))</f>
        <v>1857</v>
      </c>
      <c r="L780" cm="1">
        <f t="array" aca="1" ref="L780" ca="1">_xlfn.IFS(EmployeeData[[#This Row],[Status]]="Exited",DATEDIF(EmployeeData[[#This Row],[Join Date]], EmployeeData[[#This Row],[Exit Date]], "Y"),EmployeeData[[#This Row],[Status]]="Active",DATEDIF(EmployeeData[[#This Row],[Join Date]], TODAY(), "Y"))</f>
        <v>5</v>
      </c>
      <c r="Q780" t="str" cm="1">
        <f t="array" aca="1" ref="Q7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0 days</v>
      </c>
    </row>
    <row r="781" spans="1:17" hidden="1" x14ac:dyDescent="0.3">
      <c r="A781">
        <v>1780</v>
      </c>
      <c r="B781" t="s">
        <v>1064</v>
      </c>
      <c r="C781" t="s">
        <v>23</v>
      </c>
      <c r="D781" t="s">
        <v>24</v>
      </c>
      <c r="E781">
        <v>37</v>
      </c>
      <c r="F781" t="str" cm="1">
        <f t="array" ref="F781">_xlfn.IFS(EmployeeData[[#This Row],[Age]]&lt;30,"20s",EmployeeData[[#This Row],[Age]]&lt;40,"30s",EmployeeData[[#This Row],[Age]]&lt;50,"40s",EmployeeData[[#This Row],[Age]]&lt;60,"50s",EmployeeData[[#This Row],[Age]]&gt;=60,"60s")</f>
        <v>30s</v>
      </c>
      <c r="G781" s="5">
        <v>43796</v>
      </c>
      <c r="I781" t="s">
        <v>17</v>
      </c>
      <c r="J781" t="s">
        <v>18</v>
      </c>
      <c r="K781" cm="1">
        <f t="array" aca="1" ref="K781" ca="1">_xlfn.IFS(EmployeeData[[#This Row],[Status]]="Active",_xlfn.DAYS(TODAY(),EmployeeData[[#This Row],[Join Date]]),EmployeeData[[#This Row],[Status]]="Exited",_xlfn.DAYS(EmployeeData[[#This Row],[Exit Date]],EmployeeData[[#This Row],[Join Date]]))</f>
        <v>2401</v>
      </c>
      <c r="L781" cm="1">
        <f t="array" aca="1" ref="L781" ca="1">_xlfn.IFS(EmployeeData[[#This Row],[Status]]="Exited",DATEDIF(EmployeeData[[#This Row],[Join Date]], EmployeeData[[#This Row],[Exit Date]], "Y"),EmployeeData[[#This Row],[Status]]="Active",DATEDIF(EmployeeData[[#This Row],[Join Date]], TODAY(), "Y"))</f>
        <v>6</v>
      </c>
      <c r="Q781" t="str" cm="1">
        <f t="array" aca="1" ref="Q7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28 days</v>
      </c>
    </row>
    <row r="782" spans="1:17" hidden="1" x14ac:dyDescent="0.3">
      <c r="A782">
        <v>1781</v>
      </c>
      <c r="B782" t="s">
        <v>678</v>
      </c>
      <c r="C782" t="s">
        <v>20</v>
      </c>
      <c r="D782" t="s">
        <v>24</v>
      </c>
      <c r="E782">
        <v>37</v>
      </c>
      <c r="F782" t="str" cm="1">
        <f t="array" ref="F782">_xlfn.IFS(EmployeeData[[#This Row],[Age]]&lt;30,"20s",EmployeeData[[#This Row],[Age]]&lt;40,"30s",EmployeeData[[#This Row],[Age]]&lt;50,"40s",EmployeeData[[#This Row],[Age]]&lt;60,"50s",EmployeeData[[#This Row],[Age]]&gt;=60,"60s")</f>
        <v>30s</v>
      </c>
      <c r="G782" s="5">
        <v>43579</v>
      </c>
      <c r="H782" s="5">
        <v>44192</v>
      </c>
      <c r="I782" t="s">
        <v>65</v>
      </c>
      <c r="J782" t="s">
        <v>13</v>
      </c>
      <c r="K782" cm="1">
        <f t="array" aca="1" ref="K782" ca="1">_xlfn.IFS(EmployeeData[[#This Row],[Status]]="Active",_xlfn.DAYS(TODAY(),EmployeeData[[#This Row],[Join Date]]),EmployeeData[[#This Row],[Status]]="Exited",_xlfn.DAYS(EmployeeData[[#This Row],[Exit Date]],EmployeeData[[#This Row],[Join Date]]))</f>
        <v>613</v>
      </c>
      <c r="L782" cm="1">
        <f t="array" aca="1" ref="L782" ca="1">_xlfn.IFS(EmployeeData[[#This Row],[Status]]="Exited",DATEDIF(EmployeeData[[#This Row],[Join Date]], EmployeeData[[#This Row],[Exit Date]], "Y"),EmployeeData[[#This Row],[Status]]="Active",DATEDIF(EmployeeData[[#This Row],[Join Date]], TODAY(), "Y"))</f>
        <v>1</v>
      </c>
      <c r="Q782" t="str" cm="1">
        <f t="array" aca="1" ref="Q7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783" spans="1:17" hidden="1" x14ac:dyDescent="0.3">
      <c r="A783">
        <v>1782</v>
      </c>
      <c r="B783" t="s">
        <v>743</v>
      </c>
      <c r="C783" t="s">
        <v>10</v>
      </c>
      <c r="D783" t="s">
        <v>11</v>
      </c>
      <c r="E783">
        <v>65</v>
      </c>
      <c r="F783" t="str" cm="1">
        <f t="array" ref="F783">_xlfn.IFS(EmployeeData[[#This Row],[Age]]&lt;30,"20s",EmployeeData[[#This Row],[Age]]&lt;40,"30s",EmployeeData[[#This Row],[Age]]&lt;50,"40s",EmployeeData[[#This Row],[Age]]&lt;60,"50s",EmployeeData[[#This Row],[Age]]&gt;=60,"60s")</f>
        <v>60s</v>
      </c>
      <c r="G783" s="5">
        <v>45218</v>
      </c>
      <c r="H783" s="5">
        <v>45476</v>
      </c>
      <c r="I783" t="s">
        <v>26</v>
      </c>
      <c r="J783" t="s">
        <v>13</v>
      </c>
      <c r="K783" cm="1">
        <f t="array" aca="1" ref="K783" ca="1">_xlfn.IFS(EmployeeData[[#This Row],[Status]]="Active",_xlfn.DAYS(TODAY(),EmployeeData[[#This Row],[Join Date]]),EmployeeData[[#This Row],[Status]]="Exited",_xlfn.DAYS(EmployeeData[[#This Row],[Exit Date]],EmployeeData[[#This Row],[Join Date]]))</f>
        <v>258</v>
      </c>
      <c r="L783" cm="1">
        <f t="array" aca="1" ref="L783" ca="1">_xlfn.IFS(EmployeeData[[#This Row],[Status]]="Exited",DATEDIF(EmployeeData[[#This Row],[Join Date]], EmployeeData[[#This Row],[Exit Date]], "Y"),EmployeeData[[#This Row],[Status]]="Active",DATEDIF(EmployeeData[[#This Row],[Join Date]], TODAY(), "Y"))</f>
        <v>0</v>
      </c>
      <c r="Q783" t="str" cm="1">
        <f t="array" aca="1" ref="Q7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784" spans="1:17" hidden="1" x14ac:dyDescent="0.3">
      <c r="A784">
        <v>1783</v>
      </c>
      <c r="B784" t="s">
        <v>976</v>
      </c>
      <c r="C784" t="s">
        <v>20</v>
      </c>
      <c r="D784" t="s">
        <v>11</v>
      </c>
      <c r="E784">
        <v>24</v>
      </c>
      <c r="F784" t="str" cm="1">
        <f t="array" ref="F784">_xlfn.IFS(EmployeeData[[#This Row],[Age]]&lt;30,"20s",EmployeeData[[#This Row],[Age]]&lt;40,"30s",EmployeeData[[#This Row],[Age]]&lt;50,"40s",EmployeeData[[#This Row],[Age]]&lt;60,"50s",EmployeeData[[#This Row],[Age]]&gt;=60,"60s")</f>
        <v>20s</v>
      </c>
      <c r="G784" s="5">
        <v>43874</v>
      </c>
      <c r="H784" s="5">
        <v>44905</v>
      </c>
      <c r="I784" t="s">
        <v>31</v>
      </c>
      <c r="J784" t="s">
        <v>13</v>
      </c>
      <c r="K784" cm="1">
        <f t="array" aca="1" ref="K784" ca="1">_xlfn.IFS(EmployeeData[[#This Row],[Status]]="Active",_xlfn.DAYS(TODAY(),EmployeeData[[#This Row],[Join Date]]),EmployeeData[[#This Row],[Status]]="Exited",_xlfn.DAYS(EmployeeData[[#This Row],[Exit Date]],EmployeeData[[#This Row],[Join Date]]))</f>
        <v>1031</v>
      </c>
      <c r="L784" cm="1">
        <f t="array" aca="1" ref="L784" ca="1">_xlfn.IFS(EmployeeData[[#This Row],[Status]]="Exited",DATEDIF(EmployeeData[[#This Row],[Join Date]], EmployeeData[[#This Row],[Exit Date]], "Y"),EmployeeData[[#This Row],[Status]]="Active",DATEDIF(EmployeeData[[#This Row],[Join Date]], TODAY(), "Y"))</f>
        <v>2</v>
      </c>
      <c r="Q784" t="str" cm="1">
        <f t="array" aca="1" ref="Q7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785" spans="1:17" x14ac:dyDescent="0.3">
      <c r="A785">
        <v>1784</v>
      </c>
      <c r="B785" t="s">
        <v>799</v>
      </c>
      <c r="C785" t="s">
        <v>10</v>
      </c>
      <c r="D785" t="s">
        <v>11</v>
      </c>
      <c r="E785">
        <v>52</v>
      </c>
      <c r="F785" t="str" cm="1">
        <f t="array" ref="F785">_xlfn.IFS(EmployeeData[[#This Row],[Age]]&lt;30,"20s",EmployeeData[[#This Row],[Age]]&lt;40,"30s",EmployeeData[[#This Row],[Age]]&lt;50,"40s",EmployeeData[[#This Row],[Age]]&lt;60,"50s",EmployeeData[[#This Row],[Age]]&gt;=60,"60s")</f>
        <v>50s</v>
      </c>
      <c r="G785" s="5">
        <v>43268</v>
      </c>
      <c r="I785" t="s">
        <v>17</v>
      </c>
      <c r="J785" t="s">
        <v>18</v>
      </c>
      <c r="K785" cm="1">
        <f t="array" aca="1" ref="K785" ca="1">_xlfn.IFS(EmployeeData[[#This Row],[Status]]="Active",_xlfn.DAYS(TODAY(),EmployeeData[[#This Row],[Join Date]]),EmployeeData[[#This Row],[Status]]="Exited",_xlfn.DAYS(EmployeeData[[#This Row],[Exit Date]],EmployeeData[[#This Row],[Join Date]]))</f>
        <v>2929</v>
      </c>
      <c r="L785" cm="1">
        <f t="array" aca="1" ref="L785" ca="1">_xlfn.IFS(EmployeeData[[#This Row],[Status]]="Exited",DATEDIF(EmployeeData[[#This Row],[Join Date]], EmployeeData[[#This Row],[Exit Date]], "Y"),EmployeeData[[#This Row],[Status]]="Active",DATEDIF(EmployeeData[[#This Row],[Join Date]], TODAY(), "Y"))</f>
        <v>8</v>
      </c>
      <c r="Q785" t="str" cm="1">
        <f t="array" aca="1" ref="Q7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7 days</v>
      </c>
    </row>
    <row r="786" spans="1:17" hidden="1" x14ac:dyDescent="0.3">
      <c r="A786">
        <v>1785</v>
      </c>
      <c r="B786" t="s">
        <v>970</v>
      </c>
      <c r="C786" t="s">
        <v>33</v>
      </c>
      <c r="D786" t="s">
        <v>11</v>
      </c>
      <c r="E786">
        <v>28</v>
      </c>
      <c r="F786" t="str" cm="1">
        <f t="array" ref="F786">_xlfn.IFS(EmployeeData[[#This Row],[Age]]&lt;30,"20s",EmployeeData[[#This Row],[Age]]&lt;40,"30s",EmployeeData[[#This Row],[Age]]&lt;50,"40s",EmployeeData[[#This Row],[Age]]&lt;60,"50s",EmployeeData[[#This Row],[Age]]&gt;=60,"60s")</f>
        <v>20s</v>
      </c>
      <c r="G786" s="5">
        <v>44532</v>
      </c>
      <c r="H786" s="5">
        <v>45203</v>
      </c>
      <c r="I786" t="s">
        <v>31</v>
      </c>
      <c r="J786" t="s">
        <v>13</v>
      </c>
      <c r="K786" cm="1">
        <f t="array" aca="1" ref="K786" ca="1">_xlfn.IFS(EmployeeData[[#This Row],[Status]]="Active",_xlfn.DAYS(TODAY(),EmployeeData[[#This Row],[Join Date]]),EmployeeData[[#This Row],[Status]]="Exited",_xlfn.DAYS(EmployeeData[[#This Row],[Exit Date]],EmployeeData[[#This Row],[Join Date]]))</f>
        <v>671</v>
      </c>
      <c r="L786" cm="1">
        <f t="array" aca="1" ref="L786" ca="1">_xlfn.IFS(EmployeeData[[#This Row],[Status]]="Exited",DATEDIF(EmployeeData[[#This Row],[Join Date]], EmployeeData[[#This Row],[Exit Date]], "Y"),EmployeeData[[#This Row],[Status]]="Active",DATEDIF(EmployeeData[[#This Row],[Join Date]], TODAY(), "Y"))</f>
        <v>1</v>
      </c>
      <c r="Q786" t="str" cm="1">
        <f t="array" aca="1" ref="Q7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787" spans="1:17" hidden="1" x14ac:dyDescent="0.3">
      <c r="A787">
        <v>1786</v>
      </c>
      <c r="B787" t="s">
        <v>205</v>
      </c>
      <c r="C787" t="s">
        <v>23</v>
      </c>
      <c r="D787" t="s">
        <v>24</v>
      </c>
      <c r="E787">
        <v>34</v>
      </c>
      <c r="F787" t="str" cm="1">
        <f t="array" ref="F787">_xlfn.IFS(EmployeeData[[#This Row],[Age]]&lt;30,"20s",EmployeeData[[#This Row],[Age]]&lt;40,"30s",EmployeeData[[#This Row],[Age]]&lt;50,"40s",EmployeeData[[#This Row],[Age]]&lt;60,"50s",EmployeeData[[#This Row],[Age]]&gt;=60,"60s")</f>
        <v>30s</v>
      </c>
      <c r="G787" s="5">
        <v>45491</v>
      </c>
      <c r="I787" t="s">
        <v>17</v>
      </c>
      <c r="J787" t="s">
        <v>18</v>
      </c>
      <c r="K787" cm="1">
        <f t="array" aca="1" ref="K787" ca="1">_xlfn.IFS(EmployeeData[[#This Row],[Status]]="Active",_xlfn.DAYS(TODAY(),EmployeeData[[#This Row],[Join Date]]),EmployeeData[[#This Row],[Status]]="Exited",_xlfn.DAYS(EmployeeData[[#This Row],[Exit Date]],EmployeeData[[#This Row],[Join Date]]))</f>
        <v>706</v>
      </c>
      <c r="L787" cm="1">
        <f t="array" aca="1" ref="L787" ca="1">_xlfn.IFS(EmployeeData[[#This Row],[Status]]="Exited",DATEDIF(EmployeeData[[#This Row],[Join Date]], EmployeeData[[#This Row],[Exit Date]], "Y"),EmployeeData[[#This Row],[Status]]="Active",DATEDIF(EmployeeData[[#This Row],[Join Date]], TODAY(), "Y"))</f>
        <v>1</v>
      </c>
      <c r="Q787" t="str" cm="1">
        <f t="array" aca="1" ref="Q7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6 days</v>
      </c>
    </row>
    <row r="788" spans="1:17" hidden="1" x14ac:dyDescent="0.3">
      <c r="A788">
        <v>1787</v>
      </c>
      <c r="B788" t="s">
        <v>570</v>
      </c>
      <c r="C788" t="s">
        <v>15</v>
      </c>
      <c r="D788" t="s">
        <v>11</v>
      </c>
      <c r="E788">
        <v>36</v>
      </c>
      <c r="F788" t="str" cm="1">
        <f t="array" ref="F788">_xlfn.IFS(EmployeeData[[#This Row],[Age]]&lt;30,"20s",EmployeeData[[#This Row],[Age]]&lt;40,"30s",EmployeeData[[#This Row],[Age]]&lt;50,"40s",EmployeeData[[#This Row],[Age]]&lt;60,"50s",EmployeeData[[#This Row],[Age]]&gt;=60,"60s")</f>
        <v>30s</v>
      </c>
      <c r="G788" s="5">
        <v>45141</v>
      </c>
      <c r="I788" t="s">
        <v>17</v>
      </c>
      <c r="J788" t="s">
        <v>18</v>
      </c>
      <c r="K788" cm="1">
        <f t="array" aca="1" ref="K788" ca="1">_xlfn.IFS(EmployeeData[[#This Row],[Status]]="Active",_xlfn.DAYS(TODAY(),EmployeeData[[#This Row],[Join Date]]),EmployeeData[[#This Row],[Status]]="Exited",_xlfn.DAYS(EmployeeData[[#This Row],[Exit Date]],EmployeeData[[#This Row],[Join Date]]))</f>
        <v>1056</v>
      </c>
      <c r="L788" cm="1">
        <f t="array" aca="1" ref="L788" ca="1">_xlfn.IFS(EmployeeData[[#This Row],[Status]]="Exited",DATEDIF(EmployeeData[[#This Row],[Join Date]], EmployeeData[[#This Row],[Exit Date]], "Y"),EmployeeData[[#This Row],[Status]]="Active",DATEDIF(EmployeeData[[#This Row],[Join Date]], TODAY(), "Y"))</f>
        <v>2</v>
      </c>
      <c r="Q788" t="str" cm="1">
        <f t="array" aca="1" ref="Q7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789" spans="1:17" hidden="1" x14ac:dyDescent="0.3">
      <c r="A789">
        <v>1788</v>
      </c>
      <c r="B789" t="s">
        <v>266</v>
      </c>
      <c r="C789" t="s">
        <v>10</v>
      </c>
      <c r="D789" t="s">
        <v>24</v>
      </c>
      <c r="E789">
        <v>27</v>
      </c>
      <c r="F789" t="str" cm="1">
        <f t="array" ref="F789">_xlfn.IFS(EmployeeData[[#This Row],[Age]]&lt;30,"20s",EmployeeData[[#This Row],[Age]]&lt;40,"30s",EmployeeData[[#This Row],[Age]]&lt;50,"40s",EmployeeData[[#This Row],[Age]]&lt;60,"50s",EmployeeData[[#This Row],[Age]]&gt;=60,"60s")</f>
        <v>20s</v>
      </c>
      <c r="G789" s="5">
        <v>44426</v>
      </c>
      <c r="H789" s="5">
        <v>44682</v>
      </c>
      <c r="I789" t="s">
        <v>12</v>
      </c>
      <c r="J789" t="s">
        <v>13</v>
      </c>
      <c r="K789" cm="1">
        <f t="array" aca="1" ref="K789" ca="1">_xlfn.IFS(EmployeeData[[#This Row],[Status]]="Active",_xlfn.DAYS(TODAY(),EmployeeData[[#This Row],[Join Date]]),EmployeeData[[#This Row],[Status]]="Exited",_xlfn.DAYS(EmployeeData[[#This Row],[Exit Date]],EmployeeData[[#This Row],[Join Date]]))</f>
        <v>256</v>
      </c>
      <c r="L789" cm="1">
        <f t="array" aca="1" ref="L789" ca="1">_xlfn.IFS(EmployeeData[[#This Row],[Status]]="Exited",DATEDIF(EmployeeData[[#This Row],[Join Date]], EmployeeData[[#This Row],[Exit Date]], "Y"),EmployeeData[[#This Row],[Status]]="Active",DATEDIF(EmployeeData[[#This Row],[Join Date]], TODAY(), "Y"))</f>
        <v>0</v>
      </c>
      <c r="Q789" t="str" cm="1">
        <f t="array" aca="1" ref="Q7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13 days</v>
      </c>
    </row>
    <row r="790" spans="1:17" x14ac:dyDescent="0.3">
      <c r="A790">
        <v>1789</v>
      </c>
      <c r="B790" t="s">
        <v>456</v>
      </c>
      <c r="C790" t="s">
        <v>10</v>
      </c>
      <c r="D790" t="s">
        <v>24</v>
      </c>
      <c r="E790">
        <v>42</v>
      </c>
      <c r="F790" t="str" cm="1">
        <f t="array" ref="F790">_xlfn.IFS(EmployeeData[[#This Row],[Age]]&lt;30,"20s",EmployeeData[[#This Row],[Age]]&lt;40,"30s",EmployeeData[[#This Row],[Age]]&lt;50,"40s",EmployeeData[[#This Row],[Age]]&lt;60,"50s",EmployeeData[[#This Row],[Age]]&gt;=60,"60s")</f>
        <v>40s</v>
      </c>
      <c r="G790" s="5">
        <v>43280</v>
      </c>
      <c r="I790" t="s">
        <v>17</v>
      </c>
      <c r="J790" t="s">
        <v>18</v>
      </c>
      <c r="K790" cm="1">
        <f t="array" aca="1" ref="K790" ca="1">_xlfn.IFS(EmployeeData[[#This Row],[Status]]="Active",_xlfn.DAYS(TODAY(),EmployeeData[[#This Row],[Join Date]]),EmployeeData[[#This Row],[Status]]="Exited",_xlfn.DAYS(EmployeeData[[#This Row],[Exit Date]],EmployeeData[[#This Row],[Join Date]]))</f>
        <v>2917</v>
      </c>
      <c r="L790" cm="1">
        <f t="array" aca="1" ref="L790" ca="1">_xlfn.IFS(EmployeeData[[#This Row],[Status]]="Exited",DATEDIF(EmployeeData[[#This Row],[Join Date]], EmployeeData[[#This Row],[Exit Date]], "Y"),EmployeeData[[#This Row],[Status]]="Active",DATEDIF(EmployeeData[[#This Row],[Join Date]], TODAY(), "Y"))</f>
        <v>7</v>
      </c>
      <c r="Q790" t="str" cm="1">
        <f t="array" aca="1" ref="Q7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26 days</v>
      </c>
    </row>
    <row r="791" spans="1:17" hidden="1" x14ac:dyDescent="0.3">
      <c r="A791">
        <v>1790</v>
      </c>
      <c r="B791" t="s">
        <v>749</v>
      </c>
      <c r="C791" t="s">
        <v>46</v>
      </c>
      <c r="D791" t="s">
        <v>11</v>
      </c>
      <c r="E791">
        <v>57</v>
      </c>
      <c r="F791" t="str" cm="1">
        <f t="array" ref="F791">_xlfn.IFS(EmployeeData[[#This Row],[Age]]&lt;30,"20s",EmployeeData[[#This Row],[Age]]&lt;40,"30s",EmployeeData[[#This Row],[Age]]&lt;50,"40s",EmployeeData[[#This Row],[Age]]&lt;60,"50s",EmployeeData[[#This Row],[Age]]&gt;=60,"60s")</f>
        <v>50s</v>
      </c>
      <c r="G791" s="5">
        <v>43630</v>
      </c>
      <c r="H791" s="5">
        <v>43919</v>
      </c>
      <c r="I791" t="s">
        <v>52</v>
      </c>
      <c r="J791" t="s">
        <v>13</v>
      </c>
      <c r="K791" cm="1">
        <f t="array" aca="1" ref="K791" ca="1">_xlfn.IFS(EmployeeData[[#This Row],[Status]]="Active",_xlfn.DAYS(TODAY(),EmployeeData[[#This Row],[Join Date]]),EmployeeData[[#This Row],[Status]]="Exited",_xlfn.DAYS(EmployeeData[[#This Row],[Exit Date]],EmployeeData[[#This Row],[Join Date]]))</f>
        <v>289</v>
      </c>
      <c r="L791" cm="1">
        <f t="array" aca="1" ref="L791" ca="1">_xlfn.IFS(EmployeeData[[#This Row],[Status]]="Exited",DATEDIF(EmployeeData[[#This Row],[Join Date]], EmployeeData[[#This Row],[Exit Date]], "Y"),EmployeeData[[#This Row],[Status]]="Active",DATEDIF(EmployeeData[[#This Row],[Join Date]], TODAY(), "Y"))</f>
        <v>0</v>
      </c>
      <c r="Q791" t="str" cm="1">
        <f t="array" aca="1" ref="Q7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792" spans="1:17" hidden="1" x14ac:dyDescent="0.3">
      <c r="A792">
        <v>1791</v>
      </c>
      <c r="B792" t="s">
        <v>452</v>
      </c>
      <c r="C792" t="s">
        <v>20</v>
      </c>
      <c r="D792" t="s">
        <v>24</v>
      </c>
      <c r="E792">
        <v>45</v>
      </c>
      <c r="F792" t="str" cm="1">
        <f t="array" ref="F792">_xlfn.IFS(EmployeeData[[#This Row],[Age]]&lt;30,"20s",EmployeeData[[#This Row],[Age]]&lt;40,"30s",EmployeeData[[#This Row],[Age]]&lt;50,"40s",EmployeeData[[#This Row],[Age]]&lt;60,"50s",EmployeeData[[#This Row],[Age]]&gt;=60,"60s")</f>
        <v>40s</v>
      </c>
      <c r="G792" s="5">
        <v>43480</v>
      </c>
      <c r="I792" t="s">
        <v>17</v>
      </c>
      <c r="J792" t="s">
        <v>18</v>
      </c>
      <c r="K792" cm="1">
        <f t="array" aca="1" ref="K792" ca="1">_xlfn.IFS(EmployeeData[[#This Row],[Status]]="Active",_xlfn.DAYS(TODAY(),EmployeeData[[#This Row],[Join Date]]),EmployeeData[[#This Row],[Status]]="Exited",_xlfn.DAYS(EmployeeData[[#This Row],[Exit Date]],EmployeeData[[#This Row],[Join Date]]))</f>
        <v>2717</v>
      </c>
      <c r="L792" cm="1">
        <f t="array" aca="1" ref="L792" ca="1">_xlfn.IFS(EmployeeData[[#This Row],[Status]]="Exited",DATEDIF(EmployeeData[[#This Row],[Join Date]], EmployeeData[[#This Row],[Exit Date]], "Y"),EmployeeData[[#This Row],[Status]]="Active",DATEDIF(EmployeeData[[#This Row],[Join Date]], TODAY(), "Y"))</f>
        <v>7</v>
      </c>
      <c r="Q792" t="str" cm="1">
        <f t="array" aca="1" ref="Q7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9 days</v>
      </c>
    </row>
    <row r="793" spans="1:17" hidden="1" x14ac:dyDescent="0.3">
      <c r="A793">
        <v>1792</v>
      </c>
      <c r="B793" t="s">
        <v>358</v>
      </c>
      <c r="C793" t="s">
        <v>33</v>
      </c>
      <c r="D793" t="s">
        <v>16</v>
      </c>
      <c r="E793">
        <v>34</v>
      </c>
      <c r="F793" t="str" cm="1">
        <f t="array" ref="F793">_xlfn.IFS(EmployeeData[[#This Row],[Age]]&lt;30,"20s",EmployeeData[[#This Row],[Age]]&lt;40,"30s",EmployeeData[[#This Row],[Age]]&lt;50,"40s",EmployeeData[[#This Row],[Age]]&lt;60,"50s",EmployeeData[[#This Row],[Age]]&gt;=60,"60s")</f>
        <v>30s</v>
      </c>
      <c r="G793" s="5">
        <v>43768</v>
      </c>
      <c r="I793" t="s">
        <v>17</v>
      </c>
      <c r="J793" t="s">
        <v>18</v>
      </c>
      <c r="K793" cm="1">
        <f t="array" aca="1" ref="K793" ca="1">_xlfn.IFS(EmployeeData[[#This Row],[Status]]="Active",_xlfn.DAYS(TODAY(),EmployeeData[[#This Row],[Join Date]]),EmployeeData[[#This Row],[Status]]="Exited",_xlfn.DAYS(EmployeeData[[#This Row],[Exit Date]],EmployeeData[[#This Row],[Join Date]]))</f>
        <v>2429</v>
      </c>
      <c r="L793" cm="1">
        <f t="array" aca="1" ref="L793" ca="1">_xlfn.IFS(EmployeeData[[#This Row],[Status]]="Exited",DATEDIF(EmployeeData[[#This Row],[Join Date]], EmployeeData[[#This Row],[Exit Date]], "Y"),EmployeeData[[#This Row],[Status]]="Active",DATEDIF(EmployeeData[[#This Row],[Join Date]], TODAY(), "Y"))</f>
        <v>6</v>
      </c>
      <c r="Q793" t="str" cm="1">
        <f t="array" aca="1" ref="Q7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25 days</v>
      </c>
    </row>
    <row r="794" spans="1:17" hidden="1" x14ac:dyDescent="0.3">
      <c r="A794">
        <v>1793</v>
      </c>
      <c r="B794" t="s">
        <v>377</v>
      </c>
      <c r="C794" t="s">
        <v>46</v>
      </c>
      <c r="D794" t="s">
        <v>16</v>
      </c>
      <c r="E794">
        <v>40</v>
      </c>
      <c r="F794" t="str" cm="1">
        <f t="array" ref="F794">_xlfn.IFS(EmployeeData[[#This Row],[Age]]&lt;30,"20s",EmployeeData[[#This Row],[Age]]&lt;40,"30s",EmployeeData[[#This Row],[Age]]&lt;50,"40s",EmployeeData[[#This Row],[Age]]&lt;60,"50s",EmployeeData[[#This Row],[Age]]&gt;=60,"60s")</f>
        <v>40s</v>
      </c>
      <c r="G794" s="5">
        <v>45111</v>
      </c>
      <c r="I794" t="s">
        <v>17</v>
      </c>
      <c r="J794" t="s">
        <v>18</v>
      </c>
      <c r="K794" cm="1">
        <f t="array" aca="1" ref="K794" ca="1">_xlfn.IFS(EmployeeData[[#This Row],[Status]]="Active",_xlfn.DAYS(TODAY(),EmployeeData[[#This Row],[Join Date]]),EmployeeData[[#This Row],[Status]]="Exited",_xlfn.DAYS(EmployeeData[[#This Row],[Exit Date]],EmployeeData[[#This Row],[Join Date]]))</f>
        <v>1086</v>
      </c>
      <c r="L794" cm="1">
        <f t="array" aca="1" ref="L794" ca="1">_xlfn.IFS(EmployeeData[[#This Row],[Status]]="Exited",DATEDIF(EmployeeData[[#This Row],[Join Date]], EmployeeData[[#This Row],[Exit Date]], "Y"),EmployeeData[[#This Row],[Status]]="Active",DATEDIF(EmployeeData[[#This Row],[Join Date]], TODAY(), "Y"))</f>
        <v>2</v>
      </c>
      <c r="Q794" t="str" cm="1">
        <f t="array" aca="1" ref="Q7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20 days</v>
      </c>
    </row>
    <row r="795" spans="1:17" hidden="1" x14ac:dyDescent="0.3">
      <c r="A795">
        <v>1794</v>
      </c>
      <c r="B795" t="s">
        <v>621</v>
      </c>
      <c r="C795" t="s">
        <v>10</v>
      </c>
      <c r="D795" t="s">
        <v>16</v>
      </c>
      <c r="E795">
        <v>44</v>
      </c>
      <c r="F795" t="str" cm="1">
        <f t="array" ref="F795">_xlfn.IFS(EmployeeData[[#This Row],[Age]]&lt;30,"20s",EmployeeData[[#This Row],[Age]]&lt;40,"30s",EmployeeData[[#This Row],[Age]]&lt;50,"40s",EmployeeData[[#This Row],[Age]]&lt;60,"50s",EmployeeData[[#This Row],[Age]]&gt;=60,"60s")</f>
        <v>40s</v>
      </c>
      <c r="G795" s="5">
        <v>45200</v>
      </c>
      <c r="H795" s="5">
        <v>45746</v>
      </c>
      <c r="I795" t="s">
        <v>52</v>
      </c>
      <c r="J795" t="s">
        <v>13</v>
      </c>
      <c r="K795" cm="1">
        <f t="array" aca="1" ref="K795" ca="1">_xlfn.IFS(EmployeeData[[#This Row],[Status]]="Active",_xlfn.DAYS(TODAY(),EmployeeData[[#This Row],[Join Date]]),EmployeeData[[#This Row],[Status]]="Exited",_xlfn.DAYS(EmployeeData[[#This Row],[Exit Date]],EmployeeData[[#This Row],[Join Date]]))</f>
        <v>546</v>
      </c>
      <c r="L795" cm="1">
        <f t="array" aca="1" ref="L795" ca="1">_xlfn.IFS(EmployeeData[[#This Row],[Status]]="Exited",DATEDIF(EmployeeData[[#This Row],[Join Date]], EmployeeData[[#This Row],[Exit Date]], "Y"),EmployeeData[[#This Row],[Status]]="Active",DATEDIF(EmployeeData[[#This Row],[Join Date]], TODAY(), "Y"))</f>
        <v>1</v>
      </c>
      <c r="Q795" t="str" cm="1">
        <f t="array" aca="1" ref="Q7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796" spans="1:17" hidden="1" x14ac:dyDescent="0.3">
      <c r="A796">
        <v>1795</v>
      </c>
      <c r="B796" t="s">
        <v>866</v>
      </c>
      <c r="C796" t="s">
        <v>15</v>
      </c>
      <c r="D796" t="s">
        <v>24</v>
      </c>
      <c r="E796">
        <v>44</v>
      </c>
      <c r="F796" t="str" cm="1">
        <f t="array" ref="F796">_xlfn.IFS(EmployeeData[[#This Row],[Age]]&lt;30,"20s",EmployeeData[[#This Row],[Age]]&lt;40,"30s",EmployeeData[[#This Row],[Age]]&lt;50,"40s",EmployeeData[[#This Row],[Age]]&lt;60,"50s",EmployeeData[[#This Row],[Age]]&gt;=60,"60s")</f>
        <v>40s</v>
      </c>
      <c r="G796" s="5">
        <v>45615</v>
      </c>
      <c r="H796" s="5">
        <v>46027</v>
      </c>
      <c r="I796" t="s">
        <v>12</v>
      </c>
      <c r="J796" t="s">
        <v>13</v>
      </c>
      <c r="K796" cm="1">
        <f t="array" aca="1" ref="K796" ca="1">_xlfn.IFS(EmployeeData[[#This Row],[Status]]="Active",_xlfn.DAYS(TODAY(),EmployeeData[[#This Row],[Join Date]]),EmployeeData[[#This Row],[Status]]="Exited",_xlfn.DAYS(EmployeeData[[#This Row],[Exit Date]],EmployeeData[[#This Row],[Join Date]]))</f>
        <v>412</v>
      </c>
      <c r="L796" cm="1">
        <f t="array" aca="1" ref="L796" ca="1">_xlfn.IFS(EmployeeData[[#This Row],[Status]]="Exited",DATEDIF(EmployeeData[[#This Row],[Join Date]], EmployeeData[[#This Row],[Exit Date]], "Y"),EmployeeData[[#This Row],[Status]]="Active",DATEDIF(EmployeeData[[#This Row],[Join Date]], TODAY(), "Y"))</f>
        <v>1</v>
      </c>
      <c r="Q796" t="str" cm="1">
        <f t="array" aca="1" ref="Q7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17 days</v>
      </c>
    </row>
    <row r="797" spans="1:17" hidden="1" x14ac:dyDescent="0.3">
      <c r="A797">
        <v>1796</v>
      </c>
      <c r="B797" t="s">
        <v>1028</v>
      </c>
      <c r="C797" t="s">
        <v>20</v>
      </c>
      <c r="D797" t="s">
        <v>24</v>
      </c>
      <c r="E797">
        <v>30</v>
      </c>
      <c r="F797" t="str" cm="1">
        <f t="array" ref="F797">_xlfn.IFS(EmployeeData[[#This Row],[Age]]&lt;30,"20s",EmployeeData[[#This Row],[Age]]&lt;40,"30s",EmployeeData[[#This Row],[Age]]&lt;50,"40s",EmployeeData[[#This Row],[Age]]&lt;60,"50s",EmployeeData[[#This Row],[Age]]&gt;=60,"60s")</f>
        <v>30s</v>
      </c>
      <c r="G797" s="5">
        <v>45129</v>
      </c>
      <c r="I797" t="s">
        <v>17</v>
      </c>
      <c r="J797" t="s">
        <v>18</v>
      </c>
      <c r="K797" cm="1">
        <f t="array" aca="1" ref="K797" ca="1">_xlfn.IFS(EmployeeData[[#This Row],[Status]]="Active",_xlfn.DAYS(TODAY(),EmployeeData[[#This Row],[Join Date]]),EmployeeData[[#This Row],[Status]]="Exited",_xlfn.DAYS(EmployeeData[[#This Row],[Exit Date]],EmployeeData[[#This Row],[Join Date]]))</f>
        <v>1068</v>
      </c>
      <c r="L797" cm="1">
        <f t="array" aca="1" ref="L797" ca="1">_xlfn.IFS(EmployeeData[[#This Row],[Status]]="Exited",DATEDIF(EmployeeData[[#This Row],[Join Date]], EmployeeData[[#This Row],[Exit Date]], "Y"),EmployeeData[[#This Row],[Status]]="Active",DATEDIF(EmployeeData[[#This Row],[Join Date]], TODAY(), "Y"))</f>
        <v>2</v>
      </c>
      <c r="Q797" t="str" cm="1">
        <f t="array" aca="1" ref="Q7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 days</v>
      </c>
    </row>
    <row r="798" spans="1:17" hidden="1" x14ac:dyDescent="0.3">
      <c r="A798">
        <v>1797</v>
      </c>
      <c r="B798" t="s">
        <v>507</v>
      </c>
      <c r="C798" t="s">
        <v>15</v>
      </c>
      <c r="D798" t="s">
        <v>11</v>
      </c>
      <c r="E798">
        <v>40</v>
      </c>
      <c r="F798" t="str" cm="1">
        <f t="array" ref="F798">_xlfn.IFS(EmployeeData[[#This Row],[Age]]&lt;30,"20s",EmployeeData[[#This Row],[Age]]&lt;40,"30s",EmployeeData[[#This Row],[Age]]&lt;50,"40s",EmployeeData[[#This Row],[Age]]&lt;60,"50s",EmployeeData[[#This Row],[Age]]&gt;=60,"60s")</f>
        <v>40s</v>
      </c>
      <c r="G798" s="5">
        <v>43709</v>
      </c>
      <c r="I798" t="s">
        <v>17</v>
      </c>
      <c r="J798" t="s">
        <v>18</v>
      </c>
      <c r="K798" cm="1">
        <f t="array" aca="1" ref="K798" ca="1">_xlfn.IFS(EmployeeData[[#This Row],[Status]]="Active",_xlfn.DAYS(TODAY(),EmployeeData[[#This Row],[Join Date]]),EmployeeData[[#This Row],[Status]]="Exited",_xlfn.DAYS(EmployeeData[[#This Row],[Exit Date]],EmployeeData[[#This Row],[Join Date]]))</f>
        <v>2488</v>
      </c>
      <c r="L798" cm="1">
        <f t="array" aca="1" ref="L798" ca="1">_xlfn.IFS(EmployeeData[[#This Row],[Status]]="Exited",DATEDIF(EmployeeData[[#This Row],[Join Date]], EmployeeData[[#This Row],[Exit Date]], "Y"),EmployeeData[[#This Row],[Status]]="Active",DATEDIF(EmployeeData[[#This Row],[Join Date]], TODAY(), "Y"))</f>
        <v>6</v>
      </c>
      <c r="Q798" t="str" cm="1">
        <f t="array" aca="1" ref="Q7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799" spans="1:17" hidden="1" x14ac:dyDescent="0.3">
      <c r="A799">
        <v>1798</v>
      </c>
      <c r="B799" t="s">
        <v>247</v>
      </c>
      <c r="C799" t="s">
        <v>23</v>
      </c>
      <c r="D799" t="s">
        <v>24</v>
      </c>
      <c r="E799">
        <v>23</v>
      </c>
      <c r="F799" t="str" cm="1">
        <f t="array" ref="F799">_xlfn.IFS(EmployeeData[[#This Row],[Age]]&lt;30,"20s",EmployeeData[[#This Row],[Age]]&lt;40,"30s",EmployeeData[[#This Row],[Age]]&lt;50,"40s",EmployeeData[[#This Row],[Age]]&lt;60,"50s",EmployeeData[[#This Row],[Age]]&gt;=60,"60s")</f>
        <v>20s</v>
      </c>
      <c r="G799" s="5">
        <v>45203</v>
      </c>
      <c r="H799" s="5">
        <v>45728</v>
      </c>
      <c r="I799" t="s">
        <v>12</v>
      </c>
      <c r="J799" t="s">
        <v>13</v>
      </c>
      <c r="K799" cm="1">
        <f t="array" aca="1" ref="K799" ca="1">_xlfn.IFS(EmployeeData[[#This Row],[Status]]="Active",_xlfn.DAYS(TODAY(),EmployeeData[[#This Row],[Join Date]]),EmployeeData[[#This Row],[Status]]="Exited",_xlfn.DAYS(EmployeeData[[#This Row],[Exit Date]],EmployeeData[[#This Row],[Join Date]]))</f>
        <v>525</v>
      </c>
      <c r="L799" cm="1">
        <f t="array" aca="1" ref="L799" ca="1">_xlfn.IFS(EmployeeData[[#This Row],[Status]]="Exited",DATEDIF(EmployeeData[[#This Row],[Join Date]], EmployeeData[[#This Row],[Exit Date]], "Y"),EmployeeData[[#This Row],[Status]]="Active",DATEDIF(EmployeeData[[#This Row],[Join Date]], TODAY(), "Y"))</f>
        <v>1</v>
      </c>
      <c r="Q799" t="str" cm="1">
        <f t="array" aca="1" ref="Q7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8 days</v>
      </c>
    </row>
    <row r="800" spans="1:17" x14ac:dyDescent="0.3">
      <c r="A800">
        <v>1799</v>
      </c>
      <c r="B800" t="s">
        <v>772</v>
      </c>
      <c r="C800" t="s">
        <v>33</v>
      </c>
      <c r="D800" t="s">
        <v>24</v>
      </c>
      <c r="E800">
        <v>58</v>
      </c>
      <c r="F800" t="str" cm="1">
        <f t="array" ref="F800">_xlfn.IFS(EmployeeData[[#This Row],[Age]]&lt;30,"20s",EmployeeData[[#This Row],[Age]]&lt;40,"30s",EmployeeData[[#This Row],[Age]]&lt;50,"40s",EmployeeData[[#This Row],[Age]]&lt;60,"50s",EmployeeData[[#This Row],[Age]]&gt;=60,"60s")</f>
        <v>50s</v>
      </c>
      <c r="G800" s="5">
        <v>43435</v>
      </c>
      <c r="I800" t="s">
        <v>17</v>
      </c>
      <c r="J800" t="s">
        <v>18</v>
      </c>
      <c r="K800" cm="1">
        <f t="array" aca="1" ref="K800" ca="1">_xlfn.IFS(EmployeeData[[#This Row],[Status]]="Active",_xlfn.DAYS(TODAY(),EmployeeData[[#This Row],[Join Date]]),EmployeeData[[#This Row],[Status]]="Exited",_xlfn.DAYS(EmployeeData[[#This Row],[Exit Date]],EmployeeData[[#This Row],[Join Date]]))</f>
        <v>2762</v>
      </c>
      <c r="L800" cm="1">
        <f t="array" aca="1" ref="L800" ca="1">_xlfn.IFS(EmployeeData[[#This Row],[Status]]="Exited",DATEDIF(EmployeeData[[#This Row],[Join Date]], EmployeeData[[#This Row],[Exit Date]], "Y"),EmployeeData[[#This Row],[Status]]="Active",DATEDIF(EmployeeData[[#This Row],[Join Date]], TODAY(), "Y"))</f>
        <v>7</v>
      </c>
      <c r="Q800" t="str" cm="1">
        <f t="array" aca="1" ref="Q8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23 days</v>
      </c>
    </row>
    <row r="801" spans="1:17" x14ac:dyDescent="0.3">
      <c r="A801">
        <v>1800</v>
      </c>
      <c r="B801" t="s">
        <v>663</v>
      </c>
      <c r="C801" t="s">
        <v>23</v>
      </c>
      <c r="D801" t="s">
        <v>11</v>
      </c>
      <c r="E801">
        <v>64</v>
      </c>
      <c r="F801" t="str" cm="1">
        <f t="array" ref="F801">_xlfn.IFS(EmployeeData[[#This Row],[Age]]&lt;30,"20s",EmployeeData[[#This Row],[Age]]&lt;40,"30s",EmployeeData[[#This Row],[Age]]&lt;50,"40s",EmployeeData[[#This Row],[Age]]&lt;60,"50s",EmployeeData[[#This Row],[Age]]&gt;=60,"60s")</f>
        <v>60s</v>
      </c>
      <c r="G801" s="5">
        <v>43286</v>
      </c>
      <c r="H801" s="5">
        <v>44595</v>
      </c>
      <c r="I801" t="s">
        <v>26</v>
      </c>
      <c r="J801" t="s">
        <v>13</v>
      </c>
      <c r="K801" cm="1">
        <f t="array" aca="1" ref="K801" ca="1">_xlfn.IFS(EmployeeData[[#This Row],[Status]]="Active",_xlfn.DAYS(TODAY(),EmployeeData[[#This Row],[Join Date]]),EmployeeData[[#This Row],[Status]]="Exited",_xlfn.DAYS(EmployeeData[[#This Row],[Exit Date]],EmployeeData[[#This Row],[Join Date]]))</f>
        <v>1309</v>
      </c>
      <c r="L801" cm="1">
        <f t="array" aca="1" ref="L801" ca="1">_xlfn.IFS(EmployeeData[[#This Row],[Status]]="Exited",DATEDIF(EmployeeData[[#This Row],[Join Date]], EmployeeData[[#This Row],[Exit Date]], "Y"),EmployeeData[[#This Row],[Status]]="Active",DATEDIF(EmployeeData[[#This Row],[Join Date]], TODAY(), "Y"))</f>
        <v>3</v>
      </c>
      <c r="Q801" t="str" cm="1">
        <f t="array" aca="1" ref="Q8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29 days</v>
      </c>
    </row>
    <row r="802" spans="1:17" hidden="1" x14ac:dyDescent="0.3">
      <c r="A802">
        <v>1801</v>
      </c>
      <c r="B802" t="s">
        <v>59</v>
      </c>
      <c r="C802" t="s">
        <v>10</v>
      </c>
      <c r="D802" t="s">
        <v>11</v>
      </c>
      <c r="E802">
        <v>32</v>
      </c>
      <c r="F802" t="str" cm="1">
        <f t="array" ref="F802">_xlfn.IFS(EmployeeData[[#This Row],[Age]]&lt;30,"20s",EmployeeData[[#This Row],[Age]]&lt;40,"30s",EmployeeData[[#This Row],[Age]]&lt;50,"40s",EmployeeData[[#This Row],[Age]]&lt;60,"50s",EmployeeData[[#This Row],[Age]]&gt;=60,"60s")</f>
        <v>30s</v>
      </c>
      <c r="G802" s="5">
        <v>43965</v>
      </c>
      <c r="H802" s="5">
        <v>45117</v>
      </c>
      <c r="I802" t="s">
        <v>52</v>
      </c>
      <c r="J802" t="s">
        <v>13</v>
      </c>
      <c r="K802" cm="1">
        <f t="array" aca="1" ref="K802" ca="1">_xlfn.IFS(EmployeeData[[#This Row],[Status]]="Active",_xlfn.DAYS(TODAY(),EmployeeData[[#This Row],[Join Date]]),EmployeeData[[#This Row],[Status]]="Exited",_xlfn.DAYS(EmployeeData[[#This Row],[Exit Date]],EmployeeData[[#This Row],[Join Date]]))</f>
        <v>1152</v>
      </c>
      <c r="L802" cm="1">
        <f t="array" aca="1" ref="L802" ca="1">_xlfn.IFS(EmployeeData[[#This Row],[Status]]="Exited",DATEDIF(EmployeeData[[#This Row],[Join Date]], EmployeeData[[#This Row],[Exit Date]], "Y"),EmployeeData[[#This Row],[Status]]="Active",DATEDIF(EmployeeData[[#This Row],[Join Date]], TODAY(), "Y"))</f>
        <v>3</v>
      </c>
      <c r="Q802" t="str" cm="1">
        <f t="array" aca="1" ref="Q8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26 days</v>
      </c>
    </row>
    <row r="803" spans="1:17" hidden="1" x14ac:dyDescent="0.3">
      <c r="A803">
        <v>1802</v>
      </c>
      <c r="B803" t="s">
        <v>729</v>
      </c>
      <c r="C803" t="s">
        <v>10</v>
      </c>
      <c r="D803" t="s">
        <v>16</v>
      </c>
      <c r="E803">
        <v>51</v>
      </c>
      <c r="F803" t="str" cm="1">
        <f t="array" ref="F803">_xlfn.IFS(EmployeeData[[#This Row],[Age]]&lt;30,"20s",EmployeeData[[#This Row],[Age]]&lt;40,"30s",EmployeeData[[#This Row],[Age]]&lt;50,"40s",EmployeeData[[#This Row],[Age]]&lt;60,"50s",EmployeeData[[#This Row],[Age]]&gt;=60,"60s")</f>
        <v>50s</v>
      </c>
      <c r="G803" s="5">
        <v>44985</v>
      </c>
      <c r="I803" t="s">
        <v>17</v>
      </c>
      <c r="J803" t="s">
        <v>18</v>
      </c>
      <c r="K803" cm="1">
        <f t="array" aca="1" ref="K803" ca="1">_xlfn.IFS(EmployeeData[[#This Row],[Status]]="Active",_xlfn.DAYS(TODAY(),EmployeeData[[#This Row],[Join Date]]),EmployeeData[[#This Row],[Status]]="Exited",_xlfn.DAYS(EmployeeData[[#This Row],[Exit Date]],EmployeeData[[#This Row],[Join Date]]))</f>
        <v>1212</v>
      </c>
      <c r="L803" cm="1">
        <f t="array" aca="1" ref="L803" ca="1">_xlfn.IFS(EmployeeData[[#This Row],[Status]]="Exited",DATEDIF(EmployeeData[[#This Row],[Join Date]], EmployeeData[[#This Row],[Exit Date]], "Y"),EmployeeData[[#This Row],[Status]]="Active",DATEDIF(EmployeeData[[#This Row],[Join Date]], TODAY(), "Y"))</f>
        <v>3</v>
      </c>
      <c r="Q803" t="str" cm="1">
        <f t="array" aca="1" ref="Q8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27 days</v>
      </c>
    </row>
    <row r="804" spans="1:17" hidden="1" x14ac:dyDescent="0.3">
      <c r="A804">
        <v>1803</v>
      </c>
      <c r="B804" t="s">
        <v>252</v>
      </c>
      <c r="C804" t="s">
        <v>46</v>
      </c>
      <c r="D804" t="s">
        <v>24</v>
      </c>
      <c r="E804">
        <v>46</v>
      </c>
      <c r="F804" t="str" cm="1">
        <f t="array" ref="F804">_xlfn.IFS(EmployeeData[[#This Row],[Age]]&lt;30,"20s",EmployeeData[[#This Row],[Age]]&lt;40,"30s",EmployeeData[[#This Row],[Age]]&lt;50,"40s",EmployeeData[[#This Row],[Age]]&lt;60,"50s",EmployeeData[[#This Row],[Age]]&gt;=60,"60s")</f>
        <v>40s</v>
      </c>
      <c r="G804" s="5">
        <v>44340</v>
      </c>
      <c r="H804" s="5">
        <v>44706</v>
      </c>
      <c r="I804" t="s">
        <v>31</v>
      </c>
      <c r="J804" t="s">
        <v>13</v>
      </c>
      <c r="K804" cm="1">
        <f t="array" aca="1" ref="K804" ca="1">_xlfn.IFS(EmployeeData[[#This Row],[Status]]="Active",_xlfn.DAYS(TODAY(),EmployeeData[[#This Row],[Join Date]]),EmployeeData[[#This Row],[Status]]="Exited",_xlfn.DAYS(EmployeeData[[#This Row],[Exit Date]],EmployeeData[[#This Row],[Join Date]]))</f>
        <v>366</v>
      </c>
      <c r="L804" cm="1">
        <f t="array" aca="1" ref="L804" ca="1">_xlfn.IFS(EmployeeData[[#This Row],[Status]]="Exited",DATEDIF(EmployeeData[[#This Row],[Join Date]], EmployeeData[[#This Row],[Exit Date]], "Y"),EmployeeData[[#This Row],[Status]]="Active",DATEDIF(EmployeeData[[#This Row],[Join Date]], TODAY(), "Y"))</f>
        <v>1</v>
      </c>
      <c r="Q804" t="str" cm="1">
        <f t="array" aca="1" ref="Q8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 days</v>
      </c>
    </row>
    <row r="805" spans="1:17" hidden="1" x14ac:dyDescent="0.3">
      <c r="A805">
        <v>1804</v>
      </c>
      <c r="B805" t="s">
        <v>61</v>
      </c>
      <c r="C805" t="s">
        <v>15</v>
      </c>
      <c r="D805" t="s">
        <v>16</v>
      </c>
      <c r="E805">
        <v>51</v>
      </c>
      <c r="F805" t="str" cm="1">
        <f t="array" ref="F805">_xlfn.IFS(EmployeeData[[#This Row],[Age]]&lt;30,"20s",EmployeeData[[#This Row],[Age]]&lt;40,"30s",EmployeeData[[#This Row],[Age]]&lt;50,"40s",EmployeeData[[#This Row],[Age]]&lt;60,"50s",EmployeeData[[#This Row],[Age]]&gt;=60,"60s")</f>
        <v>50s</v>
      </c>
      <c r="G805" s="5">
        <v>45757</v>
      </c>
      <c r="H805" s="5">
        <v>45970</v>
      </c>
      <c r="I805" t="s">
        <v>12</v>
      </c>
      <c r="J805" t="s">
        <v>13</v>
      </c>
      <c r="K805" cm="1">
        <f t="array" aca="1" ref="K805" ca="1">_xlfn.IFS(EmployeeData[[#This Row],[Status]]="Active",_xlfn.DAYS(TODAY(),EmployeeData[[#This Row],[Join Date]]),EmployeeData[[#This Row],[Status]]="Exited",_xlfn.DAYS(EmployeeData[[#This Row],[Exit Date]],EmployeeData[[#This Row],[Join Date]]))</f>
        <v>213</v>
      </c>
      <c r="L805" cm="1">
        <f t="array" aca="1" ref="L805" ca="1">_xlfn.IFS(EmployeeData[[#This Row],[Status]]="Exited",DATEDIF(EmployeeData[[#This Row],[Join Date]], EmployeeData[[#This Row],[Exit Date]], "Y"),EmployeeData[[#This Row],[Status]]="Active",DATEDIF(EmployeeData[[#This Row],[Join Date]], TODAY(), "Y"))</f>
        <v>0</v>
      </c>
      <c r="Q805" t="str" cm="1">
        <f t="array" aca="1" ref="Q8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806" spans="1:17" hidden="1" x14ac:dyDescent="0.3">
      <c r="A806">
        <v>1805</v>
      </c>
      <c r="B806" t="s">
        <v>603</v>
      </c>
      <c r="C806" t="s">
        <v>15</v>
      </c>
      <c r="D806" t="s">
        <v>24</v>
      </c>
      <c r="E806">
        <v>28</v>
      </c>
      <c r="F806" t="str" cm="1">
        <f t="array" ref="F806">_xlfn.IFS(EmployeeData[[#This Row],[Age]]&lt;30,"20s",EmployeeData[[#This Row],[Age]]&lt;40,"30s",EmployeeData[[#This Row],[Age]]&lt;50,"40s",EmployeeData[[#This Row],[Age]]&lt;60,"50s",EmployeeData[[#This Row],[Age]]&gt;=60,"60s")</f>
        <v>20s</v>
      </c>
      <c r="G806" s="5">
        <v>43781</v>
      </c>
      <c r="I806" t="s">
        <v>17</v>
      </c>
      <c r="J806" t="s">
        <v>18</v>
      </c>
      <c r="K806" cm="1">
        <f t="array" aca="1" ref="K806" ca="1">_xlfn.IFS(EmployeeData[[#This Row],[Status]]="Active",_xlfn.DAYS(TODAY(),EmployeeData[[#This Row],[Join Date]]),EmployeeData[[#This Row],[Status]]="Exited",_xlfn.DAYS(EmployeeData[[#This Row],[Exit Date]],EmployeeData[[#This Row],[Join Date]]))</f>
        <v>2416</v>
      </c>
      <c r="L806" cm="1">
        <f t="array" aca="1" ref="L806" ca="1">_xlfn.IFS(EmployeeData[[#This Row],[Status]]="Exited",DATEDIF(EmployeeData[[#This Row],[Join Date]], EmployeeData[[#This Row],[Exit Date]], "Y"),EmployeeData[[#This Row],[Status]]="Active",DATEDIF(EmployeeData[[#This Row],[Join Date]], TODAY(), "Y"))</f>
        <v>6</v>
      </c>
      <c r="Q806" t="str" cm="1">
        <f t="array" aca="1" ref="Q8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12 days</v>
      </c>
    </row>
    <row r="807" spans="1:17" hidden="1" x14ac:dyDescent="0.3">
      <c r="A807">
        <v>1806</v>
      </c>
      <c r="B807" t="s">
        <v>460</v>
      </c>
      <c r="C807" t="s">
        <v>23</v>
      </c>
      <c r="D807" t="s">
        <v>16</v>
      </c>
      <c r="E807">
        <v>57</v>
      </c>
      <c r="F807" t="str" cm="1">
        <f t="array" ref="F807">_xlfn.IFS(EmployeeData[[#This Row],[Age]]&lt;30,"20s",EmployeeData[[#This Row],[Age]]&lt;40,"30s",EmployeeData[[#This Row],[Age]]&lt;50,"40s",EmployeeData[[#This Row],[Age]]&lt;60,"50s",EmployeeData[[#This Row],[Age]]&gt;=60,"60s")</f>
        <v>50s</v>
      </c>
      <c r="G807" s="5">
        <v>44705</v>
      </c>
      <c r="H807" s="5">
        <v>44811</v>
      </c>
      <c r="I807" t="s">
        <v>31</v>
      </c>
      <c r="J807" t="s">
        <v>13</v>
      </c>
      <c r="K807" cm="1">
        <f t="array" aca="1" ref="K807" ca="1">_xlfn.IFS(EmployeeData[[#This Row],[Status]]="Active",_xlfn.DAYS(TODAY(),EmployeeData[[#This Row],[Join Date]]),EmployeeData[[#This Row],[Status]]="Exited",_xlfn.DAYS(EmployeeData[[#This Row],[Exit Date]],EmployeeData[[#This Row],[Join Date]]))</f>
        <v>106</v>
      </c>
      <c r="L807" cm="1">
        <f t="array" aca="1" ref="L807" ca="1">_xlfn.IFS(EmployeeData[[#This Row],[Status]]="Exited",DATEDIF(EmployeeData[[#This Row],[Join Date]], EmployeeData[[#This Row],[Exit Date]], "Y"),EmployeeData[[#This Row],[Status]]="Active",DATEDIF(EmployeeData[[#This Row],[Join Date]], TODAY(), "Y"))</f>
        <v>0</v>
      </c>
      <c r="Q807" t="str" cm="1">
        <f t="array" aca="1" ref="Q8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14 days</v>
      </c>
    </row>
    <row r="808" spans="1:17" hidden="1" x14ac:dyDescent="0.3">
      <c r="A808">
        <v>1807</v>
      </c>
      <c r="B808" t="s">
        <v>220</v>
      </c>
      <c r="C808" t="s">
        <v>20</v>
      </c>
      <c r="D808" t="s">
        <v>24</v>
      </c>
      <c r="E808">
        <v>56</v>
      </c>
      <c r="F808" t="str" cm="1">
        <f t="array" ref="F808">_xlfn.IFS(EmployeeData[[#This Row],[Age]]&lt;30,"20s",EmployeeData[[#This Row],[Age]]&lt;40,"30s",EmployeeData[[#This Row],[Age]]&lt;50,"40s",EmployeeData[[#This Row],[Age]]&lt;60,"50s",EmployeeData[[#This Row],[Age]]&gt;=60,"60s")</f>
        <v>50s</v>
      </c>
      <c r="G808" s="5">
        <v>44292</v>
      </c>
      <c r="H808" s="5">
        <v>45200</v>
      </c>
      <c r="I808" t="s">
        <v>65</v>
      </c>
      <c r="J808" t="s">
        <v>13</v>
      </c>
      <c r="K808" cm="1">
        <f t="array" aca="1" ref="K808" ca="1">_xlfn.IFS(EmployeeData[[#This Row],[Status]]="Active",_xlfn.DAYS(TODAY(),EmployeeData[[#This Row],[Join Date]]),EmployeeData[[#This Row],[Status]]="Exited",_xlfn.DAYS(EmployeeData[[#This Row],[Exit Date]],EmployeeData[[#This Row],[Join Date]]))</f>
        <v>908</v>
      </c>
      <c r="L808" cm="1">
        <f t="array" aca="1" ref="L808" ca="1">_xlfn.IFS(EmployeeData[[#This Row],[Status]]="Exited",DATEDIF(EmployeeData[[#This Row],[Join Date]], EmployeeData[[#This Row],[Exit Date]], "Y"),EmployeeData[[#This Row],[Status]]="Active",DATEDIF(EmployeeData[[#This Row],[Join Date]], TODAY(), "Y"))</f>
        <v>2</v>
      </c>
      <c r="Q808" t="str" cm="1">
        <f t="array" aca="1" ref="Q8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809" spans="1:17" hidden="1" x14ac:dyDescent="0.3">
      <c r="A809">
        <v>1808</v>
      </c>
      <c r="B809" t="s">
        <v>1086</v>
      </c>
      <c r="C809" t="s">
        <v>20</v>
      </c>
      <c r="D809" t="s">
        <v>11</v>
      </c>
      <c r="E809">
        <v>52</v>
      </c>
      <c r="F809" t="str" cm="1">
        <f t="array" ref="F809">_xlfn.IFS(EmployeeData[[#This Row],[Age]]&lt;30,"20s",EmployeeData[[#This Row],[Age]]&lt;40,"30s",EmployeeData[[#This Row],[Age]]&lt;50,"40s",EmployeeData[[#This Row],[Age]]&lt;60,"50s",EmployeeData[[#This Row],[Age]]&gt;=60,"60s")</f>
        <v>50s</v>
      </c>
      <c r="G809" s="5">
        <v>44050</v>
      </c>
      <c r="I809" t="s">
        <v>17</v>
      </c>
      <c r="J809" t="s">
        <v>18</v>
      </c>
      <c r="K809" cm="1">
        <f t="array" aca="1" ref="K809" ca="1">_xlfn.IFS(EmployeeData[[#This Row],[Status]]="Active",_xlfn.DAYS(TODAY(),EmployeeData[[#This Row],[Join Date]]),EmployeeData[[#This Row],[Status]]="Exited",_xlfn.DAYS(EmployeeData[[#This Row],[Exit Date]],EmployeeData[[#This Row],[Join Date]]))</f>
        <v>2147</v>
      </c>
      <c r="L809" cm="1">
        <f t="array" aca="1" ref="L809" ca="1">_xlfn.IFS(EmployeeData[[#This Row],[Status]]="Exited",DATEDIF(EmployeeData[[#This Row],[Join Date]], EmployeeData[[#This Row],[Exit Date]], "Y"),EmployeeData[[#This Row],[Status]]="Active",DATEDIF(EmployeeData[[#This Row],[Join Date]], TODAY(), "Y"))</f>
        <v>5</v>
      </c>
      <c r="Q809" t="str" cm="1">
        <f t="array" aca="1" ref="Q8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17 days</v>
      </c>
    </row>
    <row r="810" spans="1:17" hidden="1" x14ac:dyDescent="0.3">
      <c r="A810">
        <v>1809</v>
      </c>
      <c r="B810" t="s">
        <v>454</v>
      </c>
      <c r="C810" t="s">
        <v>23</v>
      </c>
      <c r="D810" t="s">
        <v>16</v>
      </c>
      <c r="E810">
        <v>47</v>
      </c>
      <c r="F810" t="str" cm="1">
        <f t="array" ref="F810">_xlfn.IFS(EmployeeData[[#This Row],[Age]]&lt;30,"20s",EmployeeData[[#This Row],[Age]]&lt;40,"30s",EmployeeData[[#This Row],[Age]]&lt;50,"40s",EmployeeData[[#This Row],[Age]]&lt;60,"50s",EmployeeData[[#This Row],[Age]]&gt;=60,"60s")</f>
        <v>40s</v>
      </c>
      <c r="G810" s="5">
        <v>45039</v>
      </c>
      <c r="H810" s="5">
        <v>45839</v>
      </c>
      <c r="I810" t="s">
        <v>12</v>
      </c>
      <c r="J810" t="s">
        <v>13</v>
      </c>
      <c r="K810" cm="1">
        <f t="array" aca="1" ref="K810" ca="1">_xlfn.IFS(EmployeeData[[#This Row],[Status]]="Active",_xlfn.DAYS(TODAY(),EmployeeData[[#This Row],[Join Date]]),EmployeeData[[#This Row],[Status]]="Exited",_xlfn.DAYS(EmployeeData[[#This Row],[Exit Date]],EmployeeData[[#This Row],[Join Date]]))</f>
        <v>800</v>
      </c>
      <c r="L810" cm="1">
        <f t="array" aca="1" ref="L810" ca="1">_xlfn.IFS(EmployeeData[[#This Row],[Status]]="Exited",DATEDIF(EmployeeData[[#This Row],[Join Date]], EmployeeData[[#This Row],[Exit Date]], "Y"),EmployeeData[[#This Row],[Status]]="Active",DATEDIF(EmployeeData[[#This Row],[Join Date]], TODAY(), "Y"))</f>
        <v>2</v>
      </c>
      <c r="Q810" t="str" cm="1">
        <f t="array" aca="1" ref="Q8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811" spans="1:17" hidden="1" x14ac:dyDescent="0.3">
      <c r="A811">
        <v>1810</v>
      </c>
      <c r="B811" t="s">
        <v>77</v>
      </c>
      <c r="C811" t="s">
        <v>23</v>
      </c>
      <c r="D811" t="s">
        <v>24</v>
      </c>
      <c r="E811">
        <v>53</v>
      </c>
      <c r="F811" t="str" cm="1">
        <f t="array" ref="F811">_xlfn.IFS(EmployeeData[[#This Row],[Age]]&lt;30,"20s",EmployeeData[[#This Row],[Age]]&lt;40,"30s",EmployeeData[[#This Row],[Age]]&lt;50,"40s",EmployeeData[[#This Row],[Age]]&lt;60,"50s",EmployeeData[[#This Row],[Age]]&gt;=60,"60s")</f>
        <v>50s</v>
      </c>
      <c r="G811" s="5">
        <v>44000</v>
      </c>
      <c r="I811" t="s">
        <v>17</v>
      </c>
      <c r="J811" t="s">
        <v>18</v>
      </c>
      <c r="K811" cm="1">
        <f t="array" aca="1" ref="K811" ca="1">_xlfn.IFS(EmployeeData[[#This Row],[Status]]="Active",_xlfn.DAYS(TODAY(),EmployeeData[[#This Row],[Join Date]]),EmployeeData[[#This Row],[Status]]="Exited",_xlfn.DAYS(EmployeeData[[#This Row],[Exit Date]],EmployeeData[[#This Row],[Join Date]]))</f>
        <v>2197</v>
      </c>
      <c r="L811" cm="1">
        <f t="array" aca="1" ref="L811" ca="1">_xlfn.IFS(EmployeeData[[#This Row],[Status]]="Exited",DATEDIF(EmployeeData[[#This Row],[Join Date]], EmployeeData[[#This Row],[Exit Date]], "Y"),EmployeeData[[#This Row],[Status]]="Active",DATEDIF(EmployeeData[[#This Row],[Join Date]], TODAY(), "Y"))</f>
        <v>6</v>
      </c>
      <c r="Q811" t="str" cm="1">
        <f t="array" aca="1" ref="Q8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6 days</v>
      </c>
    </row>
    <row r="812" spans="1:17" hidden="1" x14ac:dyDescent="0.3">
      <c r="A812">
        <v>1811</v>
      </c>
      <c r="B812" t="s">
        <v>236</v>
      </c>
      <c r="C812" t="s">
        <v>20</v>
      </c>
      <c r="D812" t="s">
        <v>24</v>
      </c>
      <c r="E812">
        <v>39</v>
      </c>
      <c r="F812" t="str" cm="1">
        <f t="array" ref="F812">_xlfn.IFS(EmployeeData[[#This Row],[Age]]&lt;30,"20s",EmployeeData[[#This Row],[Age]]&lt;40,"30s",EmployeeData[[#This Row],[Age]]&lt;50,"40s",EmployeeData[[#This Row],[Age]]&lt;60,"50s",EmployeeData[[#This Row],[Age]]&gt;=60,"60s")</f>
        <v>30s</v>
      </c>
      <c r="G812" s="5">
        <v>44699</v>
      </c>
      <c r="I812" t="s">
        <v>17</v>
      </c>
      <c r="J812" t="s">
        <v>18</v>
      </c>
      <c r="K812" cm="1">
        <f t="array" aca="1" ref="K812" ca="1">_xlfn.IFS(EmployeeData[[#This Row],[Status]]="Active",_xlfn.DAYS(TODAY(),EmployeeData[[#This Row],[Join Date]]),EmployeeData[[#This Row],[Status]]="Exited",_xlfn.DAYS(EmployeeData[[#This Row],[Exit Date]],EmployeeData[[#This Row],[Join Date]]))</f>
        <v>1498</v>
      </c>
      <c r="L812" cm="1">
        <f t="array" aca="1" ref="L812" ca="1">_xlfn.IFS(EmployeeData[[#This Row],[Status]]="Exited",DATEDIF(EmployeeData[[#This Row],[Join Date]], EmployeeData[[#This Row],[Exit Date]], "Y"),EmployeeData[[#This Row],[Status]]="Active",DATEDIF(EmployeeData[[#This Row],[Join Date]], TODAY(), "Y"))</f>
        <v>4</v>
      </c>
      <c r="Q812" t="str" cm="1">
        <f t="array" aca="1" ref="Q8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813" spans="1:17" hidden="1" x14ac:dyDescent="0.3">
      <c r="A813">
        <v>1812</v>
      </c>
      <c r="B813" t="s">
        <v>855</v>
      </c>
      <c r="C813" t="s">
        <v>33</v>
      </c>
      <c r="D813" t="s">
        <v>24</v>
      </c>
      <c r="E813">
        <v>39</v>
      </c>
      <c r="F813" t="str" cm="1">
        <f t="array" ref="F813">_xlfn.IFS(EmployeeData[[#This Row],[Age]]&lt;30,"20s",EmployeeData[[#This Row],[Age]]&lt;40,"30s",EmployeeData[[#This Row],[Age]]&lt;50,"40s",EmployeeData[[#This Row],[Age]]&lt;60,"50s",EmployeeData[[#This Row],[Age]]&gt;=60,"60s")</f>
        <v>30s</v>
      </c>
      <c r="G813" s="5">
        <v>45930</v>
      </c>
      <c r="I813" t="s">
        <v>17</v>
      </c>
      <c r="J813" t="s">
        <v>18</v>
      </c>
      <c r="K813" cm="1">
        <f t="array" aca="1" ref="K813" ca="1">_xlfn.IFS(EmployeeData[[#This Row],[Status]]="Active",_xlfn.DAYS(TODAY(),EmployeeData[[#This Row],[Join Date]]),EmployeeData[[#This Row],[Status]]="Exited",_xlfn.DAYS(EmployeeData[[#This Row],[Exit Date]],EmployeeData[[#This Row],[Join Date]]))</f>
        <v>267</v>
      </c>
      <c r="L813" cm="1">
        <f t="array" aca="1" ref="L813" ca="1">_xlfn.IFS(EmployeeData[[#This Row],[Status]]="Exited",DATEDIF(EmployeeData[[#This Row],[Join Date]], EmployeeData[[#This Row],[Exit Date]], "Y"),EmployeeData[[#This Row],[Status]]="Active",DATEDIF(EmployeeData[[#This Row],[Join Date]], TODAY(), "Y"))</f>
        <v>0</v>
      </c>
      <c r="Q813" t="str" cm="1">
        <f t="array" aca="1" ref="Q8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814" spans="1:17" hidden="1" x14ac:dyDescent="0.3">
      <c r="A814">
        <v>1813</v>
      </c>
      <c r="B814" t="s">
        <v>437</v>
      </c>
      <c r="C814" t="s">
        <v>23</v>
      </c>
      <c r="D814" t="s">
        <v>16</v>
      </c>
      <c r="E814">
        <v>47</v>
      </c>
      <c r="F814" t="str" cm="1">
        <f t="array" ref="F814">_xlfn.IFS(EmployeeData[[#This Row],[Age]]&lt;30,"20s",EmployeeData[[#This Row],[Age]]&lt;40,"30s",EmployeeData[[#This Row],[Age]]&lt;50,"40s",EmployeeData[[#This Row],[Age]]&lt;60,"50s",EmployeeData[[#This Row],[Age]]&gt;=60,"60s")</f>
        <v>40s</v>
      </c>
      <c r="G814" s="5">
        <v>45123</v>
      </c>
      <c r="H814" s="5">
        <v>45427</v>
      </c>
      <c r="I814" t="s">
        <v>65</v>
      </c>
      <c r="J814" t="s">
        <v>13</v>
      </c>
      <c r="K814" cm="1">
        <f t="array" aca="1" ref="K814" ca="1">_xlfn.IFS(EmployeeData[[#This Row],[Status]]="Active",_xlfn.DAYS(TODAY(),EmployeeData[[#This Row],[Join Date]]),EmployeeData[[#This Row],[Status]]="Exited",_xlfn.DAYS(EmployeeData[[#This Row],[Exit Date]],EmployeeData[[#This Row],[Join Date]]))</f>
        <v>304</v>
      </c>
      <c r="L814" cm="1">
        <f t="array" aca="1" ref="L814" ca="1">_xlfn.IFS(EmployeeData[[#This Row],[Status]]="Exited",DATEDIF(EmployeeData[[#This Row],[Join Date]], EmployeeData[[#This Row],[Exit Date]], "Y"),EmployeeData[[#This Row],[Status]]="Active",DATEDIF(EmployeeData[[#This Row],[Join Date]], TODAY(), "Y"))</f>
        <v>0</v>
      </c>
      <c r="Q814" t="str" cm="1">
        <f t="array" aca="1" ref="Q8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815" spans="1:17" x14ac:dyDescent="0.3">
      <c r="A815">
        <v>1814</v>
      </c>
      <c r="B815" t="s">
        <v>417</v>
      </c>
      <c r="C815" t="s">
        <v>10</v>
      </c>
      <c r="D815" t="s">
        <v>16</v>
      </c>
      <c r="E815">
        <v>53</v>
      </c>
      <c r="F815" t="str" cm="1">
        <f t="array" ref="F815">_xlfn.IFS(EmployeeData[[#This Row],[Age]]&lt;30,"20s",EmployeeData[[#This Row],[Age]]&lt;40,"30s",EmployeeData[[#This Row],[Age]]&lt;50,"40s",EmployeeData[[#This Row],[Age]]&lt;60,"50s",EmployeeData[[#This Row],[Age]]&gt;=60,"60s")</f>
        <v>50s</v>
      </c>
      <c r="G815" s="5">
        <v>43231</v>
      </c>
      <c r="I815" t="s">
        <v>17</v>
      </c>
      <c r="J815" t="s">
        <v>18</v>
      </c>
      <c r="K815" cm="1">
        <f t="array" aca="1" ref="K815" ca="1">_xlfn.IFS(EmployeeData[[#This Row],[Status]]="Active",_xlfn.DAYS(TODAY(),EmployeeData[[#This Row],[Join Date]]),EmployeeData[[#This Row],[Status]]="Exited",_xlfn.DAYS(EmployeeData[[#This Row],[Exit Date]],EmployeeData[[#This Row],[Join Date]]))</f>
        <v>2966</v>
      </c>
      <c r="L815" cm="1">
        <f t="array" aca="1" ref="L815" ca="1">_xlfn.IFS(EmployeeData[[#This Row],[Status]]="Exited",DATEDIF(EmployeeData[[#This Row],[Join Date]], EmployeeData[[#This Row],[Exit Date]], "Y"),EmployeeData[[#This Row],[Status]]="Active",DATEDIF(EmployeeData[[#This Row],[Join Date]], TODAY(), "Y"))</f>
        <v>8</v>
      </c>
      <c r="Q815" t="str" cm="1">
        <f t="array" aca="1" ref="Q8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13 days</v>
      </c>
    </row>
    <row r="816" spans="1:17" hidden="1" x14ac:dyDescent="0.3">
      <c r="A816">
        <v>1815</v>
      </c>
      <c r="B816" t="s">
        <v>340</v>
      </c>
      <c r="C816" t="s">
        <v>15</v>
      </c>
      <c r="D816" t="s">
        <v>16</v>
      </c>
      <c r="E816">
        <v>37</v>
      </c>
      <c r="F816" t="str" cm="1">
        <f t="array" ref="F816">_xlfn.IFS(EmployeeData[[#This Row],[Age]]&lt;30,"20s",EmployeeData[[#This Row],[Age]]&lt;40,"30s",EmployeeData[[#This Row],[Age]]&lt;50,"40s",EmployeeData[[#This Row],[Age]]&lt;60,"50s",EmployeeData[[#This Row],[Age]]&gt;=60,"60s")</f>
        <v>30s</v>
      </c>
      <c r="G816" s="5">
        <v>44494</v>
      </c>
      <c r="I816" t="s">
        <v>17</v>
      </c>
      <c r="J816" t="s">
        <v>18</v>
      </c>
      <c r="K816" cm="1">
        <f t="array" aca="1" ref="K816" ca="1">_xlfn.IFS(EmployeeData[[#This Row],[Status]]="Active",_xlfn.DAYS(TODAY(),EmployeeData[[#This Row],[Join Date]]),EmployeeData[[#This Row],[Status]]="Exited",_xlfn.DAYS(EmployeeData[[#This Row],[Exit Date]],EmployeeData[[#This Row],[Join Date]]))</f>
        <v>1703</v>
      </c>
      <c r="L816" cm="1">
        <f t="array" aca="1" ref="L816" ca="1">_xlfn.IFS(EmployeeData[[#This Row],[Status]]="Exited",DATEDIF(EmployeeData[[#This Row],[Join Date]], EmployeeData[[#This Row],[Exit Date]], "Y"),EmployeeData[[#This Row],[Status]]="Active",DATEDIF(EmployeeData[[#This Row],[Join Date]], TODAY(), "Y"))</f>
        <v>4</v>
      </c>
      <c r="Q816" t="str" cm="1">
        <f t="array" aca="1" ref="Q8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30 days</v>
      </c>
    </row>
    <row r="817" spans="1:17" hidden="1" x14ac:dyDescent="0.3">
      <c r="A817">
        <v>1816</v>
      </c>
      <c r="B817" t="s">
        <v>86</v>
      </c>
      <c r="C817" t="s">
        <v>33</v>
      </c>
      <c r="D817" t="s">
        <v>11</v>
      </c>
      <c r="E817">
        <v>27</v>
      </c>
      <c r="F817" t="str" cm="1">
        <f t="array" ref="F817">_xlfn.IFS(EmployeeData[[#This Row],[Age]]&lt;30,"20s",EmployeeData[[#This Row],[Age]]&lt;40,"30s",EmployeeData[[#This Row],[Age]]&lt;50,"40s",EmployeeData[[#This Row],[Age]]&lt;60,"50s",EmployeeData[[#This Row],[Age]]&gt;=60,"60s")</f>
        <v>20s</v>
      </c>
      <c r="G817" s="5">
        <v>45994</v>
      </c>
      <c r="H817" s="5">
        <v>46140</v>
      </c>
      <c r="I817" t="s">
        <v>52</v>
      </c>
      <c r="J817" t="s">
        <v>13</v>
      </c>
      <c r="K817" cm="1">
        <f t="array" aca="1" ref="K817" ca="1">_xlfn.IFS(EmployeeData[[#This Row],[Status]]="Active",_xlfn.DAYS(TODAY(),EmployeeData[[#This Row],[Join Date]]),EmployeeData[[#This Row],[Status]]="Exited",_xlfn.DAYS(EmployeeData[[#This Row],[Exit Date]],EmployeeData[[#This Row],[Join Date]]))</f>
        <v>146</v>
      </c>
      <c r="L817" cm="1">
        <f t="array" aca="1" ref="L817" ca="1">_xlfn.IFS(EmployeeData[[#This Row],[Status]]="Exited",DATEDIF(EmployeeData[[#This Row],[Join Date]], EmployeeData[[#This Row],[Exit Date]], "Y"),EmployeeData[[#This Row],[Status]]="Active",DATEDIF(EmployeeData[[#This Row],[Join Date]], TODAY(), "Y"))</f>
        <v>0</v>
      </c>
      <c r="Q817" t="str" cm="1">
        <f t="array" aca="1" ref="Q8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818" spans="1:17" hidden="1" x14ac:dyDescent="0.3">
      <c r="A818">
        <v>1817</v>
      </c>
      <c r="B818" t="s">
        <v>566</v>
      </c>
      <c r="C818" t="s">
        <v>23</v>
      </c>
      <c r="D818" t="s">
        <v>11</v>
      </c>
      <c r="E818">
        <v>27</v>
      </c>
      <c r="F818" t="str" cm="1">
        <f t="array" ref="F818">_xlfn.IFS(EmployeeData[[#This Row],[Age]]&lt;30,"20s",EmployeeData[[#This Row],[Age]]&lt;40,"30s",EmployeeData[[#This Row],[Age]]&lt;50,"40s",EmployeeData[[#This Row],[Age]]&lt;60,"50s",EmployeeData[[#This Row],[Age]]&gt;=60,"60s")</f>
        <v>20s</v>
      </c>
      <c r="G818" s="5">
        <v>45404</v>
      </c>
      <c r="H818" s="5">
        <v>45601</v>
      </c>
      <c r="I818" t="s">
        <v>31</v>
      </c>
      <c r="J818" t="s">
        <v>13</v>
      </c>
      <c r="K818" cm="1">
        <f t="array" aca="1" ref="K818" ca="1">_xlfn.IFS(EmployeeData[[#This Row],[Status]]="Active",_xlfn.DAYS(TODAY(),EmployeeData[[#This Row],[Join Date]]),EmployeeData[[#This Row],[Status]]="Exited",_xlfn.DAYS(EmployeeData[[#This Row],[Exit Date]],EmployeeData[[#This Row],[Join Date]]))</f>
        <v>197</v>
      </c>
      <c r="L818" cm="1">
        <f t="array" aca="1" ref="L818" ca="1">_xlfn.IFS(EmployeeData[[#This Row],[Status]]="Exited",DATEDIF(EmployeeData[[#This Row],[Join Date]], EmployeeData[[#This Row],[Exit Date]], "Y"),EmployeeData[[#This Row],[Status]]="Active",DATEDIF(EmployeeData[[#This Row],[Join Date]], TODAY(), "Y"))</f>
        <v>0</v>
      </c>
      <c r="Q818" t="str" cm="1">
        <f t="array" aca="1" ref="Q8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819" spans="1:17" hidden="1" x14ac:dyDescent="0.3">
      <c r="A819">
        <v>1818</v>
      </c>
      <c r="B819" t="s">
        <v>780</v>
      </c>
      <c r="C819" t="s">
        <v>15</v>
      </c>
      <c r="D819" t="s">
        <v>16</v>
      </c>
      <c r="E819">
        <v>49</v>
      </c>
      <c r="F819" t="str" cm="1">
        <f t="array" ref="F819">_xlfn.IFS(EmployeeData[[#This Row],[Age]]&lt;30,"20s",EmployeeData[[#This Row],[Age]]&lt;40,"30s",EmployeeData[[#This Row],[Age]]&lt;50,"40s",EmployeeData[[#This Row],[Age]]&lt;60,"50s",EmployeeData[[#This Row],[Age]]&gt;=60,"60s")</f>
        <v>40s</v>
      </c>
      <c r="G819" s="5">
        <v>45173</v>
      </c>
      <c r="I819" t="s">
        <v>17</v>
      </c>
      <c r="J819" t="s">
        <v>18</v>
      </c>
      <c r="K819" cm="1">
        <f t="array" aca="1" ref="K819" ca="1">_xlfn.IFS(EmployeeData[[#This Row],[Status]]="Active",_xlfn.DAYS(TODAY(),EmployeeData[[#This Row],[Join Date]]),EmployeeData[[#This Row],[Status]]="Exited",_xlfn.DAYS(EmployeeData[[#This Row],[Exit Date]],EmployeeData[[#This Row],[Join Date]]))</f>
        <v>1024</v>
      </c>
      <c r="L819" cm="1">
        <f t="array" aca="1" ref="L819" ca="1">_xlfn.IFS(EmployeeData[[#This Row],[Status]]="Exited",DATEDIF(EmployeeData[[#This Row],[Join Date]], EmployeeData[[#This Row],[Exit Date]], "Y"),EmployeeData[[#This Row],[Status]]="Active",DATEDIF(EmployeeData[[#This Row],[Join Date]], TODAY(), "Y"))</f>
        <v>2</v>
      </c>
      <c r="Q819" t="str" cm="1">
        <f t="array" aca="1" ref="Q8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820" spans="1:17" hidden="1" x14ac:dyDescent="0.3">
      <c r="A820">
        <v>1819</v>
      </c>
      <c r="B820" t="s">
        <v>605</v>
      </c>
      <c r="C820" t="s">
        <v>10</v>
      </c>
      <c r="D820" t="s">
        <v>16</v>
      </c>
      <c r="E820">
        <v>33</v>
      </c>
      <c r="F820" t="str" cm="1">
        <f t="array" ref="F820">_xlfn.IFS(EmployeeData[[#This Row],[Age]]&lt;30,"20s",EmployeeData[[#This Row],[Age]]&lt;40,"30s",EmployeeData[[#This Row],[Age]]&lt;50,"40s",EmployeeData[[#This Row],[Age]]&lt;60,"50s",EmployeeData[[#This Row],[Age]]&gt;=60,"60s")</f>
        <v>30s</v>
      </c>
      <c r="G820" s="5">
        <v>44899</v>
      </c>
      <c r="I820" t="s">
        <v>17</v>
      </c>
      <c r="J820" t="s">
        <v>18</v>
      </c>
      <c r="K820" cm="1">
        <f t="array" aca="1" ref="K820" ca="1">_xlfn.IFS(EmployeeData[[#This Row],[Status]]="Active",_xlfn.DAYS(TODAY(),EmployeeData[[#This Row],[Join Date]]),EmployeeData[[#This Row],[Status]]="Exited",_xlfn.DAYS(EmployeeData[[#This Row],[Exit Date]],EmployeeData[[#This Row],[Join Date]]))</f>
        <v>1298</v>
      </c>
      <c r="L820" cm="1">
        <f t="array" aca="1" ref="L820" ca="1">_xlfn.IFS(EmployeeData[[#This Row],[Status]]="Exited",DATEDIF(EmployeeData[[#This Row],[Join Date]], EmployeeData[[#This Row],[Exit Date]], "Y"),EmployeeData[[#This Row],[Status]]="Active",DATEDIF(EmployeeData[[#This Row],[Join Date]], TODAY(), "Y"))</f>
        <v>3</v>
      </c>
      <c r="Q820" t="str" cm="1">
        <f t="array" aca="1" ref="Q8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20 days</v>
      </c>
    </row>
    <row r="821" spans="1:17" x14ac:dyDescent="0.3">
      <c r="A821">
        <v>1820</v>
      </c>
      <c r="B821" t="s">
        <v>276</v>
      </c>
      <c r="C821" t="s">
        <v>23</v>
      </c>
      <c r="D821" t="s">
        <v>16</v>
      </c>
      <c r="E821">
        <v>31</v>
      </c>
      <c r="F821" t="str" cm="1">
        <f t="array" ref="F821">_xlfn.IFS(EmployeeData[[#This Row],[Age]]&lt;30,"20s",EmployeeData[[#This Row],[Age]]&lt;40,"30s",EmployeeData[[#This Row],[Age]]&lt;50,"40s",EmployeeData[[#This Row],[Age]]&lt;60,"50s",EmployeeData[[#This Row],[Age]]&gt;=60,"60s")</f>
        <v>30s</v>
      </c>
      <c r="G821" s="5">
        <v>43450</v>
      </c>
      <c r="H821" s="5">
        <v>45239</v>
      </c>
      <c r="I821" t="s">
        <v>12</v>
      </c>
      <c r="J821" t="s">
        <v>13</v>
      </c>
      <c r="K821" cm="1">
        <f t="array" aca="1" ref="K821" ca="1">_xlfn.IFS(EmployeeData[[#This Row],[Status]]="Active",_xlfn.DAYS(TODAY(),EmployeeData[[#This Row],[Join Date]]),EmployeeData[[#This Row],[Status]]="Exited",_xlfn.DAYS(EmployeeData[[#This Row],[Exit Date]],EmployeeData[[#This Row],[Join Date]]))</f>
        <v>1789</v>
      </c>
      <c r="L821" cm="1">
        <f t="array" aca="1" ref="L821" ca="1">_xlfn.IFS(EmployeeData[[#This Row],[Status]]="Exited",DATEDIF(EmployeeData[[#This Row],[Join Date]], EmployeeData[[#This Row],[Exit Date]], "Y"),EmployeeData[[#This Row],[Status]]="Active",DATEDIF(EmployeeData[[#This Row],[Join Date]], TODAY(), "Y"))</f>
        <v>4</v>
      </c>
      <c r="Q821" t="str" cm="1">
        <f t="array" aca="1" ref="Q8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24 days</v>
      </c>
    </row>
    <row r="822" spans="1:17" hidden="1" x14ac:dyDescent="0.3">
      <c r="A822">
        <v>1821</v>
      </c>
      <c r="B822" t="s">
        <v>580</v>
      </c>
      <c r="C822" t="s">
        <v>23</v>
      </c>
      <c r="D822" t="s">
        <v>11</v>
      </c>
      <c r="E822">
        <v>29</v>
      </c>
      <c r="F822" t="str" cm="1">
        <f t="array" ref="F822">_xlfn.IFS(EmployeeData[[#This Row],[Age]]&lt;30,"20s",EmployeeData[[#This Row],[Age]]&lt;40,"30s",EmployeeData[[#This Row],[Age]]&lt;50,"40s",EmployeeData[[#This Row],[Age]]&lt;60,"50s",EmployeeData[[#This Row],[Age]]&gt;=60,"60s")</f>
        <v>20s</v>
      </c>
      <c r="G822" s="5">
        <v>44857</v>
      </c>
      <c r="I822" t="s">
        <v>17</v>
      </c>
      <c r="J822" t="s">
        <v>18</v>
      </c>
      <c r="K822" cm="1">
        <f t="array" aca="1" ref="K822" ca="1">_xlfn.IFS(EmployeeData[[#This Row],[Status]]="Active",_xlfn.DAYS(TODAY(),EmployeeData[[#This Row],[Join Date]]),EmployeeData[[#This Row],[Status]]="Exited",_xlfn.DAYS(EmployeeData[[#This Row],[Exit Date]],EmployeeData[[#This Row],[Join Date]]))</f>
        <v>1340</v>
      </c>
      <c r="L822" cm="1">
        <f t="array" aca="1" ref="L822" ca="1">_xlfn.IFS(EmployeeData[[#This Row],[Status]]="Exited",DATEDIF(EmployeeData[[#This Row],[Join Date]], EmployeeData[[#This Row],[Exit Date]], "Y"),EmployeeData[[#This Row],[Status]]="Active",DATEDIF(EmployeeData[[#This Row],[Join Date]], TODAY(), "Y"))</f>
        <v>3</v>
      </c>
      <c r="Q822" t="str" cm="1">
        <f t="array" aca="1" ref="Q8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 days</v>
      </c>
    </row>
    <row r="823" spans="1:17" hidden="1" x14ac:dyDescent="0.3">
      <c r="A823">
        <v>1822</v>
      </c>
      <c r="B823" t="s">
        <v>479</v>
      </c>
      <c r="C823" t="s">
        <v>23</v>
      </c>
      <c r="D823" t="s">
        <v>11</v>
      </c>
      <c r="E823">
        <v>22</v>
      </c>
      <c r="F823" t="str" cm="1">
        <f t="array" ref="F823">_xlfn.IFS(EmployeeData[[#This Row],[Age]]&lt;30,"20s",EmployeeData[[#This Row],[Age]]&lt;40,"30s",EmployeeData[[#This Row],[Age]]&lt;50,"40s",EmployeeData[[#This Row],[Age]]&lt;60,"50s",EmployeeData[[#This Row],[Age]]&gt;=60,"60s")</f>
        <v>20s</v>
      </c>
      <c r="G823" s="5">
        <v>44913</v>
      </c>
      <c r="H823" s="5">
        <v>45023</v>
      </c>
      <c r="I823" t="s">
        <v>34</v>
      </c>
      <c r="J823" t="s">
        <v>13</v>
      </c>
      <c r="K823" cm="1">
        <f t="array" aca="1" ref="K823" ca="1">_xlfn.IFS(EmployeeData[[#This Row],[Status]]="Active",_xlfn.DAYS(TODAY(),EmployeeData[[#This Row],[Join Date]]),EmployeeData[[#This Row],[Status]]="Exited",_xlfn.DAYS(EmployeeData[[#This Row],[Exit Date]],EmployeeData[[#This Row],[Join Date]]))</f>
        <v>110</v>
      </c>
      <c r="L823" cm="1">
        <f t="array" aca="1" ref="L823" ca="1">_xlfn.IFS(EmployeeData[[#This Row],[Status]]="Exited",DATEDIF(EmployeeData[[#This Row],[Join Date]], EmployeeData[[#This Row],[Exit Date]], "Y"),EmployeeData[[#This Row],[Status]]="Active",DATEDIF(EmployeeData[[#This Row],[Join Date]], TODAY(), "Y"))</f>
        <v>0</v>
      </c>
      <c r="Q823" t="str" cm="1">
        <f t="array" aca="1" ref="Q8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824" spans="1:17" x14ac:dyDescent="0.3">
      <c r="A824">
        <v>1823</v>
      </c>
      <c r="B824" t="s">
        <v>943</v>
      </c>
      <c r="C824" t="s">
        <v>10</v>
      </c>
      <c r="D824" t="s">
        <v>11</v>
      </c>
      <c r="E824">
        <v>48</v>
      </c>
      <c r="F824" t="str" cm="1">
        <f t="array" ref="F824">_xlfn.IFS(EmployeeData[[#This Row],[Age]]&lt;30,"20s",EmployeeData[[#This Row],[Age]]&lt;40,"30s",EmployeeData[[#This Row],[Age]]&lt;50,"40s",EmployeeData[[#This Row],[Age]]&lt;60,"50s",EmployeeData[[#This Row],[Age]]&gt;=60,"60s")</f>
        <v>40s</v>
      </c>
      <c r="G824" s="5">
        <v>43352</v>
      </c>
      <c r="I824" t="s">
        <v>17</v>
      </c>
      <c r="J824" t="s">
        <v>18</v>
      </c>
      <c r="K824" cm="1">
        <f t="array" aca="1" ref="K824" ca="1">_xlfn.IFS(EmployeeData[[#This Row],[Status]]="Active",_xlfn.DAYS(TODAY(),EmployeeData[[#This Row],[Join Date]]),EmployeeData[[#This Row],[Status]]="Exited",_xlfn.DAYS(EmployeeData[[#This Row],[Exit Date]],EmployeeData[[#This Row],[Join Date]]))</f>
        <v>2845</v>
      </c>
      <c r="L824" cm="1">
        <f t="array" aca="1" ref="L824" ca="1">_xlfn.IFS(EmployeeData[[#This Row],[Status]]="Exited",DATEDIF(EmployeeData[[#This Row],[Join Date]], EmployeeData[[#This Row],[Exit Date]], "Y"),EmployeeData[[#This Row],[Status]]="Active",DATEDIF(EmployeeData[[#This Row],[Join Date]], TODAY(), "Y"))</f>
        <v>7</v>
      </c>
      <c r="Q824" t="str" cm="1">
        <f t="array" aca="1" ref="Q8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15 days</v>
      </c>
    </row>
    <row r="825" spans="1:17" hidden="1" x14ac:dyDescent="0.3">
      <c r="A825">
        <v>1824</v>
      </c>
      <c r="B825" t="s">
        <v>1033</v>
      </c>
      <c r="C825" t="s">
        <v>15</v>
      </c>
      <c r="D825" t="s">
        <v>24</v>
      </c>
      <c r="E825">
        <v>54</v>
      </c>
      <c r="F825" t="str" cm="1">
        <f t="array" ref="F825">_xlfn.IFS(EmployeeData[[#This Row],[Age]]&lt;30,"20s",EmployeeData[[#This Row],[Age]]&lt;40,"30s",EmployeeData[[#This Row],[Age]]&lt;50,"40s",EmployeeData[[#This Row],[Age]]&lt;60,"50s",EmployeeData[[#This Row],[Age]]&gt;=60,"60s")</f>
        <v>50s</v>
      </c>
      <c r="G825" s="5">
        <v>44312</v>
      </c>
      <c r="I825" t="s">
        <v>17</v>
      </c>
      <c r="J825" t="s">
        <v>18</v>
      </c>
      <c r="K825" cm="1">
        <f t="array" aca="1" ref="K825" ca="1">_xlfn.IFS(EmployeeData[[#This Row],[Status]]="Active",_xlfn.DAYS(TODAY(),EmployeeData[[#This Row],[Join Date]]),EmployeeData[[#This Row],[Status]]="Exited",_xlfn.DAYS(EmployeeData[[#This Row],[Exit Date]],EmployeeData[[#This Row],[Join Date]]))</f>
        <v>1885</v>
      </c>
      <c r="L825" cm="1">
        <f t="array" aca="1" ref="L825" ca="1">_xlfn.IFS(EmployeeData[[#This Row],[Status]]="Exited",DATEDIF(EmployeeData[[#This Row],[Join Date]], EmployeeData[[#This Row],[Exit Date]], "Y"),EmployeeData[[#This Row],[Status]]="Active",DATEDIF(EmployeeData[[#This Row],[Join Date]], TODAY(), "Y"))</f>
        <v>5</v>
      </c>
      <c r="Q825" t="str" cm="1">
        <f t="array" aca="1" ref="Q8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29 days</v>
      </c>
    </row>
    <row r="826" spans="1:17" hidden="1" x14ac:dyDescent="0.3">
      <c r="A826">
        <v>1825</v>
      </c>
      <c r="B826" t="s">
        <v>67</v>
      </c>
      <c r="C826" t="s">
        <v>10</v>
      </c>
      <c r="D826" t="s">
        <v>24</v>
      </c>
      <c r="E826">
        <v>38</v>
      </c>
      <c r="F826" t="str" cm="1">
        <f t="array" ref="F826">_xlfn.IFS(EmployeeData[[#This Row],[Age]]&lt;30,"20s",EmployeeData[[#This Row],[Age]]&lt;40,"30s",EmployeeData[[#This Row],[Age]]&lt;50,"40s",EmployeeData[[#This Row],[Age]]&lt;60,"50s",EmployeeData[[#This Row],[Age]]&gt;=60,"60s")</f>
        <v>30s</v>
      </c>
      <c r="G826" s="5">
        <v>45262</v>
      </c>
      <c r="I826" t="s">
        <v>17</v>
      </c>
      <c r="J826" t="s">
        <v>18</v>
      </c>
      <c r="K826" cm="1">
        <f t="array" aca="1" ref="K826" ca="1">_xlfn.IFS(EmployeeData[[#This Row],[Status]]="Active",_xlfn.DAYS(TODAY(),EmployeeData[[#This Row],[Join Date]]),EmployeeData[[#This Row],[Status]]="Exited",_xlfn.DAYS(EmployeeData[[#This Row],[Exit Date]],EmployeeData[[#This Row],[Join Date]]))</f>
        <v>935</v>
      </c>
      <c r="L826" cm="1">
        <f t="array" aca="1" ref="L826" ca="1">_xlfn.IFS(EmployeeData[[#This Row],[Status]]="Exited",DATEDIF(EmployeeData[[#This Row],[Join Date]], EmployeeData[[#This Row],[Exit Date]], "Y"),EmployeeData[[#This Row],[Status]]="Active",DATEDIF(EmployeeData[[#This Row],[Join Date]], TODAY(), "Y"))</f>
        <v>2</v>
      </c>
      <c r="Q826" t="str" cm="1">
        <f t="array" aca="1" ref="Q8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22 days</v>
      </c>
    </row>
    <row r="827" spans="1:17" hidden="1" x14ac:dyDescent="0.3">
      <c r="A827">
        <v>1826</v>
      </c>
      <c r="B827" t="s">
        <v>239</v>
      </c>
      <c r="C827" t="s">
        <v>33</v>
      </c>
      <c r="D827" t="s">
        <v>24</v>
      </c>
      <c r="E827">
        <v>49</v>
      </c>
      <c r="F827" t="str" cm="1">
        <f t="array" ref="F827">_xlfn.IFS(EmployeeData[[#This Row],[Age]]&lt;30,"20s",EmployeeData[[#This Row],[Age]]&lt;40,"30s",EmployeeData[[#This Row],[Age]]&lt;50,"40s",EmployeeData[[#This Row],[Age]]&lt;60,"50s",EmployeeData[[#This Row],[Age]]&gt;=60,"60s")</f>
        <v>40s</v>
      </c>
      <c r="G827" s="5">
        <v>45957</v>
      </c>
      <c r="H827" s="5">
        <v>46150</v>
      </c>
      <c r="I827" t="s">
        <v>34</v>
      </c>
      <c r="J827" t="s">
        <v>13</v>
      </c>
      <c r="K827" cm="1">
        <f t="array" aca="1" ref="K827" ca="1">_xlfn.IFS(EmployeeData[[#This Row],[Status]]="Active",_xlfn.DAYS(TODAY(),EmployeeData[[#This Row],[Join Date]]),EmployeeData[[#This Row],[Status]]="Exited",_xlfn.DAYS(EmployeeData[[#This Row],[Exit Date]],EmployeeData[[#This Row],[Join Date]]))</f>
        <v>193</v>
      </c>
      <c r="L827" cm="1">
        <f t="array" aca="1" ref="L827" ca="1">_xlfn.IFS(EmployeeData[[#This Row],[Status]]="Exited",DATEDIF(EmployeeData[[#This Row],[Join Date]], EmployeeData[[#This Row],[Exit Date]], "Y"),EmployeeData[[#This Row],[Status]]="Active",DATEDIF(EmployeeData[[#This Row],[Join Date]], TODAY(), "Y"))</f>
        <v>0</v>
      </c>
      <c r="Q827" t="str" cm="1">
        <f t="array" aca="1" ref="Q8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828" spans="1:17" hidden="1" x14ac:dyDescent="0.3">
      <c r="A828">
        <v>1827</v>
      </c>
      <c r="B828" t="s">
        <v>892</v>
      </c>
      <c r="C828" t="s">
        <v>10</v>
      </c>
      <c r="D828" t="s">
        <v>11</v>
      </c>
      <c r="E828">
        <v>29</v>
      </c>
      <c r="F828" t="str" cm="1">
        <f t="array" ref="F828">_xlfn.IFS(EmployeeData[[#This Row],[Age]]&lt;30,"20s",EmployeeData[[#This Row],[Age]]&lt;40,"30s",EmployeeData[[#This Row],[Age]]&lt;50,"40s",EmployeeData[[#This Row],[Age]]&lt;60,"50s",EmployeeData[[#This Row],[Age]]&gt;=60,"60s")</f>
        <v>20s</v>
      </c>
      <c r="G828" s="5">
        <v>45232</v>
      </c>
      <c r="I828" t="s">
        <v>17</v>
      </c>
      <c r="J828" t="s">
        <v>18</v>
      </c>
      <c r="K828" cm="1">
        <f t="array" aca="1" ref="K828" ca="1">_xlfn.IFS(EmployeeData[[#This Row],[Status]]="Active",_xlfn.DAYS(TODAY(),EmployeeData[[#This Row],[Join Date]]),EmployeeData[[#This Row],[Status]]="Exited",_xlfn.DAYS(EmployeeData[[#This Row],[Exit Date]],EmployeeData[[#This Row],[Join Date]]))</f>
        <v>965</v>
      </c>
      <c r="L828" cm="1">
        <f t="array" aca="1" ref="L828" ca="1">_xlfn.IFS(EmployeeData[[#This Row],[Status]]="Exited",DATEDIF(EmployeeData[[#This Row],[Join Date]], EmployeeData[[#This Row],[Exit Date]], "Y"),EmployeeData[[#This Row],[Status]]="Active",DATEDIF(EmployeeData[[#This Row],[Join Date]], TODAY(), "Y"))</f>
        <v>2</v>
      </c>
      <c r="Q828" t="str" cm="1">
        <f t="array" aca="1" ref="Q8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22 days</v>
      </c>
    </row>
    <row r="829" spans="1:17" x14ac:dyDescent="0.3">
      <c r="A829">
        <v>1828</v>
      </c>
      <c r="B829" t="s">
        <v>85</v>
      </c>
      <c r="C829" t="s">
        <v>23</v>
      </c>
      <c r="D829" t="s">
        <v>11</v>
      </c>
      <c r="E829">
        <v>59</v>
      </c>
      <c r="F829" t="str" cm="1">
        <f t="array" ref="F829">_xlfn.IFS(EmployeeData[[#This Row],[Age]]&lt;30,"20s",EmployeeData[[#This Row],[Age]]&lt;40,"30s",EmployeeData[[#This Row],[Age]]&lt;50,"40s",EmployeeData[[#This Row],[Age]]&lt;60,"50s",EmployeeData[[#This Row],[Age]]&gt;=60,"60s")</f>
        <v>50s</v>
      </c>
      <c r="G829" s="5">
        <v>43196</v>
      </c>
      <c r="H829" s="5">
        <v>44345</v>
      </c>
      <c r="I829" t="s">
        <v>26</v>
      </c>
      <c r="J829" t="s">
        <v>13</v>
      </c>
      <c r="K829" cm="1">
        <f t="array" aca="1" ref="K829" ca="1">_xlfn.IFS(EmployeeData[[#This Row],[Status]]="Active",_xlfn.DAYS(TODAY(),EmployeeData[[#This Row],[Join Date]]),EmployeeData[[#This Row],[Status]]="Exited",_xlfn.DAYS(EmployeeData[[#This Row],[Exit Date]],EmployeeData[[#This Row],[Join Date]]))</f>
        <v>1149</v>
      </c>
      <c r="L829" cm="1">
        <f t="array" aca="1" ref="L829" ca="1">_xlfn.IFS(EmployeeData[[#This Row],[Status]]="Exited",DATEDIF(EmployeeData[[#This Row],[Join Date]], EmployeeData[[#This Row],[Exit Date]], "Y"),EmployeeData[[#This Row],[Status]]="Active",DATEDIF(EmployeeData[[#This Row],[Join Date]], TODAY(), "Y"))</f>
        <v>3</v>
      </c>
      <c r="Q829" t="str" cm="1">
        <f t="array" aca="1" ref="Q8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23 days</v>
      </c>
    </row>
    <row r="830" spans="1:17" hidden="1" x14ac:dyDescent="0.3">
      <c r="A830">
        <v>1829</v>
      </c>
      <c r="B830" t="s">
        <v>587</v>
      </c>
      <c r="C830" t="s">
        <v>33</v>
      </c>
      <c r="D830" t="s">
        <v>16</v>
      </c>
      <c r="E830">
        <v>53</v>
      </c>
      <c r="F830" t="str" cm="1">
        <f t="array" ref="F830">_xlfn.IFS(EmployeeData[[#This Row],[Age]]&lt;30,"20s",EmployeeData[[#This Row],[Age]]&lt;40,"30s",EmployeeData[[#This Row],[Age]]&lt;50,"40s",EmployeeData[[#This Row],[Age]]&lt;60,"50s",EmployeeData[[#This Row],[Age]]&gt;=60,"60s")</f>
        <v>50s</v>
      </c>
      <c r="G830" s="5">
        <v>44552</v>
      </c>
      <c r="H830" s="5">
        <v>45975</v>
      </c>
      <c r="I830" t="s">
        <v>21</v>
      </c>
      <c r="J830" t="s">
        <v>13</v>
      </c>
      <c r="K830" cm="1">
        <f t="array" aca="1" ref="K830" ca="1">_xlfn.IFS(EmployeeData[[#This Row],[Status]]="Active",_xlfn.DAYS(TODAY(),EmployeeData[[#This Row],[Join Date]]),EmployeeData[[#This Row],[Status]]="Exited",_xlfn.DAYS(EmployeeData[[#This Row],[Exit Date]],EmployeeData[[#This Row],[Join Date]]))</f>
        <v>1423</v>
      </c>
      <c r="L830" cm="1">
        <f t="array" aca="1" ref="L830" ca="1">_xlfn.IFS(EmployeeData[[#This Row],[Status]]="Exited",DATEDIF(EmployeeData[[#This Row],[Join Date]], EmployeeData[[#This Row],[Exit Date]], "Y"),EmployeeData[[#This Row],[Status]]="Active",DATEDIF(EmployeeData[[#This Row],[Join Date]], TODAY(), "Y"))</f>
        <v>3</v>
      </c>
      <c r="Q830" t="str" cm="1">
        <f t="array" aca="1" ref="Q8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31" spans="1:17" hidden="1" x14ac:dyDescent="0.3">
      <c r="A831">
        <v>1830</v>
      </c>
      <c r="B831" t="s">
        <v>472</v>
      </c>
      <c r="C831" t="s">
        <v>10</v>
      </c>
      <c r="D831" t="s">
        <v>11</v>
      </c>
      <c r="E831">
        <v>58</v>
      </c>
      <c r="F831" t="str" cm="1">
        <f t="array" ref="F831">_xlfn.IFS(EmployeeData[[#This Row],[Age]]&lt;30,"20s",EmployeeData[[#This Row],[Age]]&lt;40,"30s",EmployeeData[[#This Row],[Age]]&lt;50,"40s",EmployeeData[[#This Row],[Age]]&lt;60,"50s",EmployeeData[[#This Row],[Age]]&gt;=60,"60s")</f>
        <v>50s</v>
      </c>
      <c r="G831" s="5">
        <v>45417</v>
      </c>
      <c r="I831" t="s">
        <v>17</v>
      </c>
      <c r="J831" t="s">
        <v>18</v>
      </c>
      <c r="K831" cm="1">
        <f t="array" aca="1" ref="K831" ca="1">_xlfn.IFS(EmployeeData[[#This Row],[Status]]="Active",_xlfn.DAYS(TODAY(),EmployeeData[[#This Row],[Join Date]]),EmployeeData[[#This Row],[Status]]="Exited",_xlfn.DAYS(EmployeeData[[#This Row],[Exit Date]],EmployeeData[[#This Row],[Join Date]]))</f>
        <v>780</v>
      </c>
      <c r="L831" cm="1">
        <f t="array" aca="1" ref="L831" ca="1">_xlfn.IFS(EmployeeData[[#This Row],[Status]]="Exited",DATEDIF(EmployeeData[[#This Row],[Join Date]], EmployeeData[[#This Row],[Exit Date]], "Y"),EmployeeData[[#This Row],[Status]]="Active",DATEDIF(EmployeeData[[#This Row],[Join Date]], TODAY(), "Y"))</f>
        <v>2</v>
      </c>
      <c r="Q831" t="str" cm="1">
        <f t="array" aca="1" ref="Q8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19 days</v>
      </c>
    </row>
    <row r="832" spans="1:17" hidden="1" x14ac:dyDescent="0.3">
      <c r="A832">
        <v>1831</v>
      </c>
      <c r="B832" t="s">
        <v>1082</v>
      </c>
      <c r="C832" t="s">
        <v>10</v>
      </c>
      <c r="D832" t="s">
        <v>11</v>
      </c>
      <c r="E832">
        <v>57</v>
      </c>
      <c r="F832" t="str" cm="1">
        <f t="array" ref="F832">_xlfn.IFS(EmployeeData[[#This Row],[Age]]&lt;30,"20s",EmployeeData[[#This Row],[Age]]&lt;40,"30s",EmployeeData[[#This Row],[Age]]&lt;50,"40s",EmployeeData[[#This Row],[Age]]&lt;60,"50s",EmployeeData[[#This Row],[Age]]&gt;=60,"60s")</f>
        <v>50s</v>
      </c>
      <c r="G832" s="5">
        <v>45855</v>
      </c>
      <c r="H832" s="5">
        <v>46041</v>
      </c>
      <c r="I832" t="s">
        <v>65</v>
      </c>
      <c r="J832" t="s">
        <v>13</v>
      </c>
      <c r="K832" cm="1">
        <f t="array" aca="1" ref="K832" ca="1">_xlfn.IFS(EmployeeData[[#This Row],[Status]]="Active",_xlfn.DAYS(TODAY(),EmployeeData[[#This Row],[Join Date]]),EmployeeData[[#This Row],[Status]]="Exited",_xlfn.DAYS(EmployeeData[[#This Row],[Exit Date]],EmployeeData[[#This Row],[Join Date]]))</f>
        <v>186</v>
      </c>
      <c r="L832" cm="1">
        <f t="array" aca="1" ref="L832" ca="1">_xlfn.IFS(EmployeeData[[#This Row],[Status]]="Exited",DATEDIF(EmployeeData[[#This Row],[Join Date]], EmployeeData[[#This Row],[Exit Date]], "Y"),EmployeeData[[#This Row],[Status]]="Active",DATEDIF(EmployeeData[[#This Row],[Join Date]], TODAY(), "Y"))</f>
        <v>0</v>
      </c>
      <c r="Q832" t="str" cm="1">
        <f t="array" aca="1" ref="Q8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 days</v>
      </c>
    </row>
    <row r="833" spans="1:17" hidden="1" x14ac:dyDescent="0.3">
      <c r="A833">
        <v>1832</v>
      </c>
      <c r="B833" t="s">
        <v>560</v>
      </c>
      <c r="C833" t="s">
        <v>33</v>
      </c>
      <c r="D833" t="s">
        <v>24</v>
      </c>
      <c r="E833">
        <v>27</v>
      </c>
      <c r="F833" t="str" cm="1">
        <f t="array" ref="F833">_xlfn.IFS(EmployeeData[[#This Row],[Age]]&lt;30,"20s",EmployeeData[[#This Row],[Age]]&lt;40,"30s",EmployeeData[[#This Row],[Age]]&lt;50,"40s",EmployeeData[[#This Row],[Age]]&lt;60,"50s",EmployeeData[[#This Row],[Age]]&gt;=60,"60s")</f>
        <v>20s</v>
      </c>
      <c r="G833" s="5">
        <v>43701</v>
      </c>
      <c r="I833" t="s">
        <v>17</v>
      </c>
      <c r="J833" t="s">
        <v>18</v>
      </c>
      <c r="K833" cm="1">
        <f t="array" aca="1" ref="K833" ca="1">_xlfn.IFS(EmployeeData[[#This Row],[Status]]="Active",_xlfn.DAYS(TODAY(),EmployeeData[[#This Row],[Join Date]]),EmployeeData[[#This Row],[Status]]="Exited",_xlfn.DAYS(EmployeeData[[#This Row],[Exit Date]],EmployeeData[[#This Row],[Join Date]]))</f>
        <v>2496</v>
      </c>
      <c r="L833" cm="1">
        <f t="array" aca="1" ref="L833" ca="1">_xlfn.IFS(EmployeeData[[#This Row],[Status]]="Exited",DATEDIF(EmployeeData[[#This Row],[Join Date]], EmployeeData[[#This Row],[Exit Date]], "Y"),EmployeeData[[#This Row],[Status]]="Active",DATEDIF(EmployeeData[[#This Row],[Join Date]], TODAY(), "Y"))</f>
        <v>6</v>
      </c>
      <c r="Q833" t="str" cm="1">
        <f t="array" aca="1" ref="Q8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0 days</v>
      </c>
    </row>
    <row r="834" spans="1:17" x14ac:dyDescent="0.3">
      <c r="A834">
        <v>1833</v>
      </c>
      <c r="B834" t="s">
        <v>240</v>
      </c>
      <c r="C834" t="s">
        <v>33</v>
      </c>
      <c r="D834" t="s">
        <v>24</v>
      </c>
      <c r="E834">
        <v>49</v>
      </c>
      <c r="F834" t="str" cm="1">
        <f t="array" ref="F834">_xlfn.IFS(EmployeeData[[#This Row],[Age]]&lt;30,"20s",EmployeeData[[#This Row],[Age]]&lt;40,"30s",EmployeeData[[#This Row],[Age]]&lt;50,"40s",EmployeeData[[#This Row],[Age]]&lt;60,"50s",EmployeeData[[#This Row],[Age]]&gt;=60,"60s")</f>
        <v>40s</v>
      </c>
      <c r="G834" s="5">
        <v>43420</v>
      </c>
      <c r="H834" s="5">
        <v>45159</v>
      </c>
      <c r="I834" t="s">
        <v>28</v>
      </c>
      <c r="J834" t="s">
        <v>13</v>
      </c>
      <c r="K834" cm="1">
        <f t="array" aca="1" ref="K834" ca="1">_xlfn.IFS(EmployeeData[[#This Row],[Status]]="Active",_xlfn.DAYS(TODAY(),EmployeeData[[#This Row],[Join Date]]),EmployeeData[[#This Row],[Status]]="Exited",_xlfn.DAYS(EmployeeData[[#This Row],[Exit Date]],EmployeeData[[#This Row],[Join Date]]))</f>
        <v>1739</v>
      </c>
      <c r="L834" cm="1">
        <f t="array" aca="1" ref="L834" ca="1">_xlfn.IFS(EmployeeData[[#This Row],[Status]]="Exited",DATEDIF(EmployeeData[[#This Row],[Join Date]], EmployeeData[[#This Row],[Exit Date]], "Y"),EmployeeData[[#This Row],[Status]]="Active",DATEDIF(EmployeeData[[#This Row],[Join Date]], TODAY(), "Y"))</f>
        <v>4</v>
      </c>
      <c r="Q834" t="str" cm="1">
        <f t="array" aca="1" ref="Q8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835" spans="1:17" hidden="1" x14ac:dyDescent="0.3">
      <c r="A835">
        <v>1834</v>
      </c>
      <c r="B835" t="s">
        <v>374</v>
      </c>
      <c r="C835" t="s">
        <v>23</v>
      </c>
      <c r="D835" t="s">
        <v>24</v>
      </c>
      <c r="E835">
        <v>49</v>
      </c>
      <c r="F835" t="str" cm="1">
        <f t="array" ref="F835">_xlfn.IFS(EmployeeData[[#This Row],[Age]]&lt;30,"20s",EmployeeData[[#This Row],[Age]]&lt;40,"30s",EmployeeData[[#This Row],[Age]]&lt;50,"40s",EmployeeData[[#This Row],[Age]]&lt;60,"50s",EmployeeData[[#This Row],[Age]]&gt;=60,"60s")</f>
        <v>40s</v>
      </c>
      <c r="G835" s="5">
        <v>45923</v>
      </c>
      <c r="I835" t="s">
        <v>17</v>
      </c>
      <c r="J835" t="s">
        <v>18</v>
      </c>
      <c r="K835" cm="1">
        <f t="array" aca="1" ref="K835" ca="1">_xlfn.IFS(EmployeeData[[#This Row],[Status]]="Active",_xlfn.DAYS(TODAY(),EmployeeData[[#This Row],[Join Date]]),EmployeeData[[#This Row],[Status]]="Exited",_xlfn.DAYS(EmployeeData[[#This Row],[Exit Date]],EmployeeData[[#This Row],[Join Date]]))</f>
        <v>274</v>
      </c>
      <c r="L835" cm="1">
        <f t="array" aca="1" ref="L835" ca="1">_xlfn.IFS(EmployeeData[[#This Row],[Status]]="Exited",DATEDIF(EmployeeData[[#This Row],[Join Date]], EmployeeData[[#This Row],[Exit Date]], "Y"),EmployeeData[[#This Row],[Status]]="Active",DATEDIF(EmployeeData[[#This Row],[Join Date]], TODAY(), "Y"))</f>
        <v>0</v>
      </c>
      <c r="Q835" t="str" cm="1">
        <f t="array" aca="1" ref="Q8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836" spans="1:17" hidden="1" x14ac:dyDescent="0.3">
      <c r="A836">
        <v>1835</v>
      </c>
      <c r="B836" t="s">
        <v>601</v>
      </c>
      <c r="C836" t="s">
        <v>33</v>
      </c>
      <c r="D836" t="s">
        <v>16</v>
      </c>
      <c r="E836">
        <v>29</v>
      </c>
      <c r="F836" t="str" cm="1">
        <f t="array" ref="F836">_xlfn.IFS(EmployeeData[[#This Row],[Age]]&lt;30,"20s",EmployeeData[[#This Row],[Age]]&lt;40,"30s",EmployeeData[[#This Row],[Age]]&lt;50,"40s",EmployeeData[[#This Row],[Age]]&lt;60,"50s",EmployeeData[[#This Row],[Age]]&gt;=60,"60s")</f>
        <v>20s</v>
      </c>
      <c r="G836" s="5">
        <v>45086</v>
      </c>
      <c r="I836" t="s">
        <v>17</v>
      </c>
      <c r="J836" t="s">
        <v>18</v>
      </c>
      <c r="K836" cm="1">
        <f t="array" aca="1" ref="K836" ca="1">_xlfn.IFS(EmployeeData[[#This Row],[Status]]="Active",_xlfn.DAYS(TODAY(),EmployeeData[[#This Row],[Join Date]]),EmployeeData[[#This Row],[Status]]="Exited",_xlfn.DAYS(EmployeeData[[#This Row],[Exit Date]],EmployeeData[[#This Row],[Join Date]]))</f>
        <v>1111</v>
      </c>
      <c r="L836" cm="1">
        <f t="array" aca="1" ref="L836" ca="1">_xlfn.IFS(EmployeeData[[#This Row],[Status]]="Exited",DATEDIF(EmployeeData[[#This Row],[Join Date]], EmployeeData[[#This Row],[Exit Date]], "Y"),EmployeeData[[#This Row],[Status]]="Active",DATEDIF(EmployeeData[[#This Row],[Join Date]], TODAY(), "Y"))</f>
        <v>3</v>
      </c>
      <c r="Q836" t="str" cm="1">
        <f t="array" aca="1" ref="Q8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837" spans="1:17" hidden="1" x14ac:dyDescent="0.3">
      <c r="A837">
        <v>1836</v>
      </c>
      <c r="B837" t="s">
        <v>535</v>
      </c>
      <c r="C837" t="s">
        <v>20</v>
      </c>
      <c r="D837" t="s">
        <v>24</v>
      </c>
      <c r="E837">
        <v>23</v>
      </c>
      <c r="F837" t="str" cm="1">
        <f t="array" ref="F837">_xlfn.IFS(EmployeeData[[#This Row],[Age]]&lt;30,"20s",EmployeeData[[#This Row],[Age]]&lt;40,"30s",EmployeeData[[#This Row],[Age]]&lt;50,"40s",EmployeeData[[#This Row],[Age]]&lt;60,"50s",EmployeeData[[#This Row],[Age]]&gt;=60,"60s")</f>
        <v>20s</v>
      </c>
      <c r="G837" s="5">
        <v>43743</v>
      </c>
      <c r="I837" t="s">
        <v>17</v>
      </c>
      <c r="J837" t="s">
        <v>18</v>
      </c>
      <c r="K837" cm="1">
        <f t="array" aca="1" ref="K837" ca="1">_xlfn.IFS(EmployeeData[[#This Row],[Status]]="Active",_xlfn.DAYS(TODAY(),EmployeeData[[#This Row],[Join Date]]),EmployeeData[[#This Row],[Status]]="Exited",_xlfn.DAYS(EmployeeData[[#This Row],[Exit Date]],EmployeeData[[#This Row],[Join Date]]))</f>
        <v>2454</v>
      </c>
      <c r="L837" cm="1">
        <f t="array" aca="1" ref="L837" ca="1">_xlfn.IFS(EmployeeData[[#This Row],[Status]]="Exited",DATEDIF(EmployeeData[[#This Row],[Join Date]], EmployeeData[[#This Row],[Exit Date]], "Y"),EmployeeData[[#This Row],[Status]]="Active",DATEDIF(EmployeeData[[#This Row],[Join Date]], TODAY(), "Y"))</f>
        <v>6</v>
      </c>
      <c r="Q837" t="str" cm="1">
        <f t="array" aca="1" ref="Q8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19 days</v>
      </c>
    </row>
    <row r="838" spans="1:17" hidden="1" x14ac:dyDescent="0.3">
      <c r="A838">
        <v>1837</v>
      </c>
      <c r="B838" t="s">
        <v>84</v>
      </c>
      <c r="C838" t="s">
        <v>10</v>
      </c>
      <c r="D838" t="s">
        <v>16</v>
      </c>
      <c r="E838">
        <v>57</v>
      </c>
      <c r="F838" t="str" cm="1">
        <f t="array" ref="F838">_xlfn.IFS(EmployeeData[[#This Row],[Age]]&lt;30,"20s",EmployeeData[[#This Row],[Age]]&lt;40,"30s",EmployeeData[[#This Row],[Age]]&lt;50,"40s",EmployeeData[[#This Row],[Age]]&lt;60,"50s",EmployeeData[[#This Row],[Age]]&gt;=60,"60s")</f>
        <v>50s</v>
      </c>
      <c r="G838" s="5">
        <v>44287</v>
      </c>
      <c r="H838" s="5">
        <v>44690</v>
      </c>
      <c r="I838" t="s">
        <v>31</v>
      </c>
      <c r="J838" t="s">
        <v>13</v>
      </c>
      <c r="K838" cm="1">
        <f t="array" aca="1" ref="K838" ca="1">_xlfn.IFS(EmployeeData[[#This Row],[Status]]="Active",_xlfn.DAYS(TODAY(),EmployeeData[[#This Row],[Join Date]]),EmployeeData[[#This Row],[Status]]="Exited",_xlfn.DAYS(EmployeeData[[#This Row],[Exit Date]],EmployeeData[[#This Row],[Join Date]]))</f>
        <v>403</v>
      </c>
      <c r="L838" cm="1">
        <f t="array" aca="1" ref="L838" ca="1">_xlfn.IFS(EmployeeData[[#This Row],[Status]]="Exited",DATEDIF(EmployeeData[[#This Row],[Join Date]], EmployeeData[[#This Row],[Exit Date]], "Y"),EmployeeData[[#This Row],[Status]]="Active",DATEDIF(EmployeeData[[#This Row],[Join Date]], TODAY(), "Y"))</f>
        <v>1</v>
      </c>
      <c r="Q838" t="str" cm="1">
        <f t="array" aca="1" ref="Q8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839" spans="1:17" hidden="1" x14ac:dyDescent="0.3">
      <c r="A839">
        <v>1838</v>
      </c>
      <c r="B839" t="s">
        <v>327</v>
      </c>
      <c r="C839" t="s">
        <v>15</v>
      </c>
      <c r="D839" t="s">
        <v>16</v>
      </c>
      <c r="E839">
        <v>58</v>
      </c>
      <c r="F839" t="str" cm="1">
        <f t="array" ref="F839">_xlfn.IFS(EmployeeData[[#This Row],[Age]]&lt;30,"20s",EmployeeData[[#This Row],[Age]]&lt;40,"30s",EmployeeData[[#This Row],[Age]]&lt;50,"40s",EmployeeData[[#This Row],[Age]]&lt;60,"50s",EmployeeData[[#This Row],[Age]]&gt;=60,"60s")</f>
        <v>50s</v>
      </c>
      <c r="G839" s="5">
        <v>44828</v>
      </c>
      <c r="H839" s="5">
        <v>45542</v>
      </c>
      <c r="I839" t="s">
        <v>52</v>
      </c>
      <c r="J839" t="s">
        <v>13</v>
      </c>
      <c r="K839" cm="1">
        <f t="array" aca="1" ref="K839" ca="1">_xlfn.IFS(EmployeeData[[#This Row],[Status]]="Active",_xlfn.DAYS(TODAY(),EmployeeData[[#This Row],[Join Date]]),EmployeeData[[#This Row],[Status]]="Exited",_xlfn.DAYS(EmployeeData[[#This Row],[Exit Date]],EmployeeData[[#This Row],[Join Date]]))</f>
        <v>714</v>
      </c>
      <c r="L839" cm="1">
        <f t="array" aca="1" ref="L839" ca="1">_xlfn.IFS(EmployeeData[[#This Row],[Status]]="Exited",DATEDIF(EmployeeData[[#This Row],[Join Date]], EmployeeData[[#This Row],[Exit Date]], "Y"),EmployeeData[[#This Row],[Status]]="Active",DATEDIF(EmployeeData[[#This Row],[Join Date]], TODAY(), "Y"))</f>
        <v>1</v>
      </c>
      <c r="Q839" t="str" cm="1">
        <f t="array" aca="1" ref="Q8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840" spans="1:17" x14ac:dyDescent="0.3">
      <c r="A840">
        <v>1839</v>
      </c>
      <c r="B840" t="s">
        <v>262</v>
      </c>
      <c r="C840" t="s">
        <v>23</v>
      </c>
      <c r="D840" t="s">
        <v>16</v>
      </c>
      <c r="E840">
        <v>43</v>
      </c>
      <c r="F840" t="str" cm="1">
        <f t="array" ref="F840">_xlfn.IFS(EmployeeData[[#This Row],[Age]]&lt;30,"20s",EmployeeData[[#This Row],[Age]]&lt;40,"30s",EmployeeData[[#This Row],[Age]]&lt;50,"40s",EmployeeData[[#This Row],[Age]]&lt;60,"50s",EmployeeData[[#This Row],[Age]]&gt;=60,"60s")</f>
        <v>40s</v>
      </c>
      <c r="G840" s="5">
        <v>43377</v>
      </c>
      <c r="I840" t="s">
        <v>17</v>
      </c>
      <c r="J840" t="s">
        <v>18</v>
      </c>
      <c r="K840" cm="1">
        <f t="array" aca="1" ref="K840" ca="1">_xlfn.IFS(EmployeeData[[#This Row],[Status]]="Active",_xlfn.DAYS(TODAY(),EmployeeData[[#This Row],[Join Date]]),EmployeeData[[#This Row],[Status]]="Exited",_xlfn.DAYS(EmployeeData[[#This Row],[Exit Date]],EmployeeData[[#This Row],[Join Date]]))</f>
        <v>2820</v>
      </c>
      <c r="L840" cm="1">
        <f t="array" aca="1" ref="L840" ca="1">_xlfn.IFS(EmployeeData[[#This Row],[Status]]="Exited",DATEDIF(EmployeeData[[#This Row],[Join Date]], EmployeeData[[#This Row],[Exit Date]], "Y"),EmployeeData[[#This Row],[Status]]="Active",DATEDIF(EmployeeData[[#This Row],[Join Date]], TODAY(), "Y"))</f>
        <v>7</v>
      </c>
      <c r="Q840" t="str" cm="1">
        <f t="array" aca="1" ref="Q8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20 days</v>
      </c>
    </row>
    <row r="841" spans="1:17" hidden="1" x14ac:dyDescent="0.3">
      <c r="A841">
        <v>1840</v>
      </c>
      <c r="B841" t="s">
        <v>1007</v>
      </c>
      <c r="C841" t="s">
        <v>46</v>
      </c>
      <c r="D841" t="s">
        <v>11</v>
      </c>
      <c r="E841">
        <v>51</v>
      </c>
      <c r="F841" t="str" cm="1">
        <f t="array" ref="F841">_xlfn.IFS(EmployeeData[[#This Row],[Age]]&lt;30,"20s",EmployeeData[[#This Row],[Age]]&lt;40,"30s",EmployeeData[[#This Row],[Age]]&lt;50,"40s",EmployeeData[[#This Row],[Age]]&lt;60,"50s",EmployeeData[[#This Row],[Age]]&gt;=60,"60s")</f>
        <v>50s</v>
      </c>
      <c r="G841" s="5">
        <v>45581</v>
      </c>
      <c r="H841" s="5">
        <v>45812</v>
      </c>
      <c r="I841" t="s">
        <v>65</v>
      </c>
      <c r="J841" t="s">
        <v>13</v>
      </c>
      <c r="K841" cm="1">
        <f t="array" aca="1" ref="K841" ca="1">_xlfn.IFS(EmployeeData[[#This Row],[Status]]="Active",_xlfn.DAYS(TODAY(),EmployeeData[[#This Row],[Join Date]]),EmployeeData[[#This Row],[Status]]="Exited",_xlfn.DAYS(EmployeeData[[#This Row],[Exit Date]],EmployeeData[[#This Row],[Join Date]]))</f>
        <v>231</v>
      </c>
      <c r="L841" cm="1">
        <f t="array" aca="1" ref="L841" ca="1">_xlfn.IFS(EmployeeData[[#This Row],[Status]]="Exited",DATEDIF(EmployeeData[[#This Row],[Join Date]], EmployeeData[[#This Row],[Exit Date]], "Y"),EmployeeData[[#This Row],[Status]]="Active",DATEDIF(EmployeeData[[#This Row],[Join Date]], TODAY(), "Y"))</f>
        <v>0</v>
      </c>
      <c r="Q841" t="str" cm="1">
        <f t="array" aca="1" ref="Q8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842" spans="1:17" hidden="1" x14ac:dyDescent="0.3">
      <c r="A842">
        <v>1841</v>
      </c>
      <c r="B842" t="s">
        <v>925</v>
      </c>
      <c r="C842" t="s">
        <v>15</v>
      </c>
      <c r="D842" t="s">
        <v>11</v>
      </c>
      <c r="E842">
        <v>26</v>
      </c>
      <c r="F842" t="str" cm="1">
        <f t="array" ref="F842">_xlfn.IFS(EmployeeData[[#This Row],[Age]]&lt;30,"20s",EmployeeData[[#This Row],[Age]]&lt;40,"30s",EmployeeData[[#This Row],[Age]]&lt;50,"40s",EmployeeData[[#This Row],[Age]]&lt;60,"50s",EmployeeData[[#This Row],[Age]]&gt;=60,"60s")</f>
        <v>20s</v>
      </c>
      <c r="G842" s="5">
        <v>45660</v>
      </c>
      <c r="I842" t="s">
        <v>17</v>
      </c>
      <c r="J842" t="s">
        <v>18</v>
      </c>
      <c r="K842" cm="1">
        <f t="array" aca="1" ref="K842" ca="1">_xlfn.IFS(EmployeeData[[#This Row],[Status]]="Active",_xlfn.DAYS(TODAY(),EmployeeData[[#This Row],[Join Date]]),EmployeeData[[#This Row],[Status]]="Exited",_xlfn.DAYS(EmployeeData[[#This Row],[Exit Date]],EmployeeData[[#This Row],[Join Date]]))</f>
        <v>537</v>
      </c>
      <c r="L842" cm="1">
        <f t="array" aca="1" ref="L842" ca="1">_xlfn.IFS(EmployeeData[[#This Row],[Status]]="Exited",DATEDIF(EmployeeData[[#This Row],[Join Date]], EmployeeData[[#This Row],[Exit Date]], "Y"),EmployeeData[[#This Row],[Status]]="Active",DATEDIF(EmployeeData[[#This Row],[Join Date]], TODAY(), "Y"))</f>
        <v>1</v>
      </c>
      <c r="Q842" t="str" cm="1">
        <f t="array" aca="1" ref="Q8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21 days</v>
      </c>
    </row>
    <row r="843" spans="1:17" hidden="1" x14ac:dyDescent="0.3">
      <c r="A843">
        <v>1842</v>
      </c>
      <c r="B843" t="s">
        <v>561</v>
      </c>
      <c r="C843" t="s">
        <v>10</v>
      </c>
      <c r="D843" t="s">
        <v>16</v>
      </c>
      <c r="E843">
        <v>49</v>
      </c>
      <c r="F843" t="str" cm="1">
        <f t="array" ref="F843">_xlfn.IFS(EmployeeData[[#This Row],[Age]]&lt;30,"20s",EmployeeData[[#This Row],[Age]]&lt;40,"30s",EmployeeData[[#This Row],[Age]]&lt;50,"40s",EmployeeData[[#This Row],[Age]]&lt;60,"50s",EmployeeData[[#This Row],[Age]]&gt;=60,"60s")</f>
        <v>40s</v>
      </c>
      <c r="G843" s="5">
        <v>44237</v>
      </c>
      <c r="I843" t="s">
        <v>17</v>
      </c>
      <c r="J843" t="s">
        <v>18</v>
      </c>
      <c r="K843" cm="1">
        <f t="array" aca="1" ref="K843" ca="1">_xlfn.IFS(EmployeeData[[#This Row],[Status]]="Active",_xlfn.DAYS(TODAY(),EmployeeData[[#This Row],[Join Date]]),EmployeeData[[#This Row],[Status]]="Exited",_xlfn.DAYS(EmployeeData[[#This Row],[Exit Date]],EmployeeData[[#This Row],[Join Date]]))</f>
        <v>1960</v>
      </c>
      <c r="L843" cm="1">
        <f t="array" aca="1" ref="L843" ca="1">_xlfn.IFS(EmployeeData[[#This Row],[Status]]="Exited",DATEDIF(EmployeeData[[#This Row],[Join Date]], EmployeeData[[#This Row],[Exit Date]], "Y"),EmployeeData[[#This Row],[Status]]="Active",DATEDIF(EmployeeData[[#This Row],[Join Date]], TODAY(), "Y"))</f>
        <v>5</v>
      </c>
      <c r="Q843" t="str" cm="1">
        <f t="array" aca="1" ref="Q8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14 days</v>
      </c>
    </row>
    <row r="844" spans="1:17" x14ac:dyDescent="0.3">
      <c r="A844">
        <v>1843</v>
      </c>
      <c r="B844" t="s">
        <v>971</v>
      </c>
      <c r="C844" t="s">
        <v>23</v>
      </c>
      <c r="D844" t="s">
        <v>16</v>
      </c>
      <c r="E844">
        <v>56</v>
      </c>
      <c r="F844" t="str" cm="1">
        <f t="array" ref="F844">_xlfn.IFS(EmployeeData[[#This Row],[Age]]&lt;30,"20s",EmployeeData[[#This Row],[Age]]&lt;40,"30s",EmployeeData[[#This Row],[Age]]&lt;50,"40s",EmployeeData[[#This Row],[Age]]&lt;60,"50s",EmployeeData[[#This Row],[Age]]&gt;=60,"60s")</f>
        <v>50s</v>
      </c>
      <c r="G844" s="5">
        <v>43449</v>
      </c>
      <c r="H844" s="5">
        <v>43755</v>
      </c>
      <c r="I844" t="s">
        <v>21</v>
      </c>
      <c r="J844" t="s">
        <v>13</v>
      </c>
      <c r="K844" cm="1">
        <f t="array" aca="1" ref="K844" ca="1">_xlfn.IFS(EmployeeData[[#This Row],[Status]]="Active",_xlfn.DAYS(TODAY(),EmployeeData[[#This Row],[Join Date]]),EmployeeData[[#This Row],[Status]]="Exited",_xlfn.DAYS(EmployeeData[[#This Row],[Exit Date]],EmployeeData[[#This Row],[Join Date]]))</f>
        <v>306</v>
      </c>
      <c r="L844" cm="1">
        <f t="array" aca="1" ref="L844" ca="1">_xlfn.IFS(EmployeeData[[#This Row],[Status]]="Exited",DATEDIF(EmployeeData[[#This Row],[Join Date]], EmployeeData[[#This Row],[Exit Date]], "Y"),EmployeeData[[#This Row],[Status]]="Active",DATEDIF(EmployeeData[[#This Row],[Join Date]], TODAY(), "Y"))</f>
        <v>0</v>
      </c>
      <c r="Q844" t="str" cm="1">
        <f t="array" aca="1" ref="Q8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845" spans="1:17" hidden="1" x14ac:dyDescent="0.3">
      <c r="A845">
        <v>1844</v>
      </c>
      <c r="B845" t="s">
        <v>1070</v>
      </c>
      <c r="C845" t="s">
        <v>23</v>
      </c>
      <c r="D845" t="s">
        <v>16</v>
      </c>
      <c r="E845">
        <v>55</v>
      </c>
      <c r="F845" t="str" cm="1">
        <f t="array" ref="F845">_xlfn.IFS(EmployeeData[[#This Row],[Age]]&lt;30,"20s",EmployeeData[[#This Row],[Age]]&lt;40,"30s",EmployeeData[[#This Row],[Age]]&lt;50,"40s",EmployeeData[[#This Row],[Age]]&lt;60,"50s",EmployeeData[[#This Row],[Age]]&gt;=60,"60s")</f>
        <v>50s</v>
      </c>
      <c r="G845" s="5">
        <v>43837</v>
      </c>
      <c r="I845" t="s">
        <v>17</v>
      </c>
      <c r="J845" t="s">
        <v>18</v>
      </c>
      <c r="K845" cm="1">
        <f t="array" aca="1" ref="K845" ca="1">_xlfn.IFS(EmployeeData[[#This Row],[Status]]="Active",_xlfn.DAYS(TODAY(),EmployeeData[[#This Row],[Join Date]]),EmployeeData[[#This Row],[Status]]="Exited",_xlfn.DAYS(EmployeeData[[#This Row],[Exit Date]],EmployeeData[[#This Row],[Join Date]]))</f>
        <v>2360</v>
      </c>
      <c r="L845" cm="1">
        <f t="array" aca="1" ref="L845" ca="1">_xlfn.IFS(EmployeeData[[#This Row],[Status]]="Exited",DATEDIF(EmployeeData[[#This Row],[Join Date]], EmployeeData[[#This Row],[Exit Date]], "Y"),EmployeeData[[#This Row],[Status]]="Active",DATEDIF(EmployeeData[[#This Row],[Join Date]], TODAY(), "Y"))</f>
        <v>6</v>
      </c>
      <c r="Q845" t="str" cm="1">
        <f t="array" aca="1" ref="Q8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17 days</v>
      </c>
    </row>
    <row r="846" spans="1:17" hidden="1" x14ac:dyDescent="0.3">
      <c r="A846">
        <v>1845</v>
      </c>
      <c r="B846" t="s">
        <v>927</v>
      </c>
      <c r="C846" t="s">
        <v>15</v>
      </c>
      <c r="D846" t="s">
        <v>24</v>
      </c>
      <c r="E846">
        <v>41</v>
      </c>
      <c r="F846" t="str" cm="1">
        <f t="array" ref="F846">_xlfn.IFS(EmployeeData[[#This Row],[Age]]&lt;30,"20s",EmployeeData[[#This Row],[Age]]&lt;40,"30s",EmployeeData[[#This Row],[Age]]&lt;50,"40s",EmployeeData[[#This Row],[Age]]&lt;60,"50s",EmployeeData[[#This Row],[Age]]&gt;=60,"60s")</f>
        <v>40s</v>
      </c>
      <c r="G846" s="5">
        <v>44746</v>
      </c>
      <c r="I846" t="s">
        <v>17</v>
      </c>
      <c r="J846" t="s">
        <v>18</v>
      </c>
      <c r="K846" cm="1">
        <f t="array" aca="1" ref="K846" ca="1">_xlfn.IFS(EmployeeData[[#This Row],[Status]]="Active",_xlfn.DAYS(TODAY(),EmployeeData[[#This Row],[Join Date]]),EmployeeData[[#This Row],[Status]]="Exited",_xlfn.DAYS(EmployeeData[[#This Row],[Exit Date]],EmployeeData[[#This Row],[Join Date]]))</f>
        <v>1451</v>
      </c>
      <c r="L846" cm="1">
        <f t="array" aca="1" ref="L846" ca="1">_xlfn.IFS(EmployeeData[[#This Row],[Status]]="Exited",DATEDIF(EmployeeData[[#This Row],[Join Date]], EmployeeData[[#This Row],[Exit Date]], "Y"),EmployeeData[[#This Row],[Status]]="Active",DATEDIF(EmployeeData[[#This Row],[Join Date]], TODAY(), "Y"))</f>
        <v>3</v>
      </c>
      <c r="Q846" t="str" cm="1">
        <f t="array" aca="1" ref="Q8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20 days</v>
      </c>
    </row>
    <row r="847" spans="1:17" hidden="1" x14ac:dyDescent="0.3">
      <c r="A847">
        <v>1846</v>
      </c>
      <c r="B847" t="s">
        <v>928</v>
      </c>
      <c r="C847" t="s">
        <v>10</v>
      </c>
      <c r="D847" t="s">
        <v>11</v>
      </c>
      <c r="E847">
        <v>41</v>
      </c>
      <c r="F847" t="str" cm="1">
        <f t="array" ref="F847">_xlfn.IFS(EmployeeData[[#This Row],[Age]]&lt;30,"20s",EmployeeData[[#This Row],[Age]]&lt;40,"30s",EmployeeData[[#This Row],[Age]]&lt;50,"40s",EmployeeData[[#This Row],[Age]]&lt;60,"50s",EmployeeData[[#This Row],[Age]]&gt;=60,"60s")</f>
        <v>40s</v>
      </c>
      <c r="G847" s="5">
        <v>44665</v>
      </c>
      <c r="H847" s="5">
        <v>44989</v>
      </c>
      <c r="I847" t="s">
        <v>21</v>
      </c>
      <c r="J847" t="s">
        <v>13</v>
      </c>
      <c r="K847" cm="1">
        <f t="array" aca="1" ref="K847" ca="1">_xlfn.IFS(EmployeeData[[#This Row],[Status]]="Active",_xlfn.DAYS(TODAY(),EmployeeData[[#This Row],[Join Date]]),EmployeeData[[#This Row],[Status]]="Exited",_xlfn.DAYS(EmployeeData[[#This Row],[Exit Date]],EmployeeData[[#This Row],[Join Date]]))</f>
        <v>324</v>
      </c>
      <c r="L847" cm="1">
        <f t="array" aca="1" ref="L847" ca="1">_xlfn.IFS(EmployeeData[[#This Row],[Status]]="Exited",DATEDIF(EmployeeData[[#This Row],[Join Date]], EmployeeData[[#This Row],[Exit Date]], "Y"),EmployeeData[[#This Row],[Status]]="Active",DATEDIF(EmployeeData[[#This Row],[Join Date]], TODAY(), "Y"))</f>
        <v>0</v>
      </c>
      <c r="Q847" t="str" cm="1">
        <f t="array" aca="1" ref="Q8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18 days</v>
      </c>
    </row>
    <row r="848" spans="1:17" hidden="1" x14ac:dyDescent="0.3">
      <c r="A848">
        <v>1847</v>
      </c>
      <c r="B848" t="s">
        <v>209</v>
      </c>
      <c r="C848" t="s">
        <v>10</v>
      </c>
      <c r="D848" t="s">
        <v>16</v>
      </c>
      <c r="E848">
        <v>40</v>
      </c>
      <c r="F848" t="str" cm="1">
        <f t="array" ref="F848">_xlfn.IFS(EmployeeData[[#This Row],[Age]]&lt;30,"20s",EmployeeData[[#This Row],[Age]]&lt;40,"30s",EmployeeData[[#This Row],[Age]]&lt;50,"40s",EmployeeData[[#This Row],[Age]]&lt;60,"50s",EmployeeData[[#This Row],[Age]]&gt;=60,"60s")</f>
        <v>40s</v>
      </c>
      <c r="G848" s="5">
        <v>44769</v>
      </c>
      <c r="I848" t="s">
        <v>17</v>
      </c>
      <c r="J848" t="s">
        <v>18</v>
      </c>
      <c r="K848" cm="1">
        <f t="array" aca="1" ref="K848" ca="1">_xlfn.IFS(EmployeeData[[#This Row],[Status]]="Active",_xlfn.DAYS(TODAY(),EmployeeData[[#This Row],[Join Date]]),EmployeeData[[#This Row],[Status]]="Exited",_xlfn.DAYS(EmployeeData[[#This Row],[Exit Date]],EmployeeData[[#This Row],[Join Date]]))</f>
        <v>1428</v>
      </c>
      <c r="L848" cm="1">
        <f t="array" aca="1" ref="L848" ca="1">_xlfn.IFS(EmployeeData[[#This Row],[Status]]="Exited",DATEDIF(EmployeeData[[#This Row],[Join Date]], EmployeeData[[#This Row],[Exit Date]], "Y"),EmployeeData[[#This Row],[Status]]="Active",DATEDIF(EmployeeData[[#This Row],[Join Date]], TODAY(), "Y"))</f>
        <v>3</v>
      </c>
      <c r="Q848" t="str" cm="1">
        <f t="array" aca="1" ref="Q8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28 days</v>
      </c>
    </row>
    <row r="849" spans="1:17" hidden="1" x14ac:dyDescent="0.3">
      <c r="A849">
        <v>1848</v>
      </c>
      <c r="B849" t="s">
        <v>48</v>
      </c>
      <c r="C849" t="s">
        <v>15</v>
      </c>
      <c r="D849" t="s">
        <v>11</v>
      </c>
      <c r="E849">
        <v>40</v>
      </c>
      <c r="F849" t="str" cm="1">
        <f t="array" ref="F849">_xlfn.IFS(EmployeeData[[#This Row],[Age]]&lt;30,"20s",EmployeeData[[#This Row],[Age]]&lt;40,"30s",EmployeeData[[#This Row],[Age]]&lt;50,"40s",EmployeeData[[#This Row],[Age]]&lt;60,"50s",EmployeeData[[#This Row],[Age]]&gt;=60,"60s")</f>
        <v>40s</v>
      </c>
      <c r="G849" s="5">
        <v>44698</v>
      </c>
      <c r="H849" s="5">
        <v>45079</v>
      </c>
      <c r="I849" t="s">
        <v>12</v>
      </c>
      <c r="J849" t="s">
        <v>13</v>
      </c>
      <c r="K849" cm="1">
        <f t="array" aca="1" ref="K849" ca="1">_xlfn.IFS(EmployeeData[[#This Row],[Status]]="Active",_xlfn.DAYS(TODAY(),EmployeeData[[#This Row],[Join Date]]),EmployeeData[[#This Row],[Status]]="Exited",_xlfn.DAYS(EmployeeData[[#This Row],[Exit Date]],EmployeeData[[#This Row],[Join Date]]))</f>
        <v>381</v>
      </c>
      <c r="L849" cm="1">
        <f t="array" aca="1" ref="L849" ca="1">_xlfn.IFS(EmployeeData[[#This Row],[Status]]="Exited",DATEDIF(EmployeeData[[#This Row],[Join Date]], EmployeeData[[#This Row],[Exit Date]], "Y"),EmployeeData[[#This Row],[Status]]="Active",DATEDIF(EmployeeData[[#This Row],[Join Date]], TODAY(), "Y"))</f>
        <v>1</v>
      </c>
      <c r="Q849" t="str" cm="1">
        <f t="array" aca="1" ref="Q8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16 days</v>
      </c>
    </row>
    <row r="850" spans="1:17" hidden="1" x14ac:dyDescent="0.3">
      <c r="A850">
        <v>1849</v>
      </c>
      <c r="B850" t="s">
        <v>986</v>
      </c>
      <c r="C850" t="s">
        <v>15</v>
      </c>
      <c r="D850" t="s">
        <v>16</v>
      </c>
      <c r="E850">
        <v>58</v>
      </c>
      <c r="F850" t="str" cm="1">
        <f t="array" ref="F850">_xlfn.IFS(EmployeeData[[#This Row],[Age]]&lt;30,"20s",EmployeeData[[#This Row],[Age]]&lt;40,"30s",EmployeeData[[#This Row],[Age]]&lt;50,"40s",EmployeeData[[#This Row],[Age]]&lt;60,"50s",EmployeeData[[#This Row],[Age]]&gt;=60,"60s")</f>
        <v>50s</v>
      </c>
      <c r="G850" s="5">
        <v>44069</v>
      </c>
      <c r="I850" t="s">
        <v>17</v>
      </c>
      <c r="J850" t="s">
        <v>18</v>
      </c>
      <c r="K850" cm="1">
        <f t="array" aca="1" ref="K850" ca="1">_xlfn.IFS(EmployeeData[[#This Row],[Status]]="Active",_xlfn.DAYS(TODAY(),EmployeeData[[#This Row],[Join Date]]),EmployeeData[[#This Row],[Status]]="Exited",_xlfn.DAYS(EmployeeData[[#This Row],[Exit Date]],EmployeeData[[#This Row],[Join Date]]))</f>
        <v>2128</v>
      </c>
      <c r="L850" cm="1">
        <f t="array" aca="1" ref="L850" ca="1">_xlfn.IFS(EmployeeData[[#This Row],[Status]]="Exited",DATEDIF(EmployeeData[[#This Row],[Join Date]], EmployeeData[[#This Row],[Exit Date]], "Y"),EmployeeData[[#This Row],[Status]]="Active",DATEDIF(EmployeeData[[#This Row],[Join Date]], TODAY(), "Y"))</f>
        <v>5</v>
      </c>
      <c r="Q850" t="str" cm="1">
        <f t="array" aca="1" ref="Q8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29 days</v>
      </c>
    </row>
    <row r="851" spans="1:17" hidden="1" x14ac:dyDescent="0.3">
      <c r="A851">
        <v>1850</v>
      </c>
      <c r="B851" t="s">
        <v>211</v>
      </c>
      <c r="C851" t="s">
        <v>10</v>
      </c>
      <c r="D851" t="s">
        <v>16</v>
      </c>
      <c r="E851">
        <v>56</v>
      </c>
      <c r="F851" t="str" cm="1">
        <f t="array" ref="F851">_xlfn.IFS(EmployeeData[[#This Row],[Age]]&lt;30,"20s",EmployeeData[[#This Row],[Age]]&lt;40,"30s",EmployeeData[[#This Row],[Age]]&lt;50,"40s",EmployeeData[[#This Row],[Age]]&lt;60,"50s",EmployeeData[[#This Row],[Age]]&gt;=60,"60s")</f>
        <v>50s</v>
      </c>
      <c r="G851" s="5">
        <v>44768</v>
      </c>
      <c r="H851" s="5">
        <v>44917</v>
      </c>
      <c r="I851" t="s">
        <v>12</v>
      </c>
      <c r="J851" t="s">
        <v>13</v>
      </c>
      <c r="K851" cm="1">
        <f t="array" aca="1" ref="K851" ca="1">_xlfn.IFS(EmployeeData[[#This Row],[Status]]="Active",_xlfn.DAYS(TODAY(),EmployeeData[[#This Row],[Join Date]]),EmployeeData[[#This Row],[Status]]="Exited",_xlfn.DAYS(EmployeeData[[#This Row],[Exit Date]],EmployeeData[[#This Row],[Join Date]]))</f>
        <v>149</v>
      </c>
      <c r="L851" cm="1">
        <f t="array" aca="1" ref="L851" ca="1">_xlfn.IFS(EmployeeData[[#This Row],[Status]]="Exited",DATEDIF(EmployeeData[[#This Row],[Join Date]], EmployeeData[[#This Row],[Exit Date]], "Y"),EmployeeData[[#This Row],[Status]]="Active",DATEDIF(EmployeeData[[#This Row],[Join Date]], TODAY(), "Y"))</f>
        <v>0</v>
      </c>
      <c r="Q851" t="str" cm="1">
        <f t="array" aca="1" ref="Q8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26 days</v>
      </c>
    </row>
    <row r="852" spans="1:17" hidden="1" x14ac:dyDescent="0.3">
      <c r="A852">
        <v>1851</v>
      </c>
      <c r="B852" t="s">
        <v>675</v>
      </c>
      <c r="C852" t="s">
        <v>10</v>
      </c>
      <c r="D852" t="s">
        <v>24</v>
      </c>
      <c r="E852">
        <v>29</v>
      </c>
      <c r="F852" t="str" cm="1">
        <f t="array" ref="F852">_xlfn.IFS(EmployeeData[[#This Row],[Age]]&lt;30,"20s",EmployeeData[[#This Row],[Age]]&lt;40,"30s",EmployeeData[[#This Row],[Age]]&lt;50,"40s",EmployeeData[[#This Row],[Age]]&lt;60,"50s",EmployeeData[[#This Row],[Age]]&gt;=60,"60s")</f>
        <v>20s</v>
      </c>
      <c r="G852" s="5">
        <v>44348</v>
      </c>
      <c r="I852" t="s">
        <v>17</v>
      </c>
      <c r="J852" t="s">
        <v>18</v>
      </c>
      <c r="K852" cm="1">
        <f t="array" aca="1" ref="K852" ca="1">_xlfn.IFS(EmployeeData[[#This Row],[Status]]="Active",_xlfn.DAYS(TODAY(),EmployeeData[[#This Row],[Join Date]]),EmployeeData[[#This Row],[Status]]="Exited",_xlfn.DAYS(EmployeeData[[#This Row],[Exit Date]],EmployeeData[[#This Row],[Join Date]]))</f>
        <v>1849</v>
      </c>
      <c r="L852" cm="1">
        <f t="array" aca="1" ref="L852" ca="1">_xlfn.IFS(EmployeeData[[#This Row],[Status]]="Exited",DATEDIF(EmployeeData[[#This Row],[Join Date]], EmployeeData[[#This Row],[Exit Date]], "Y"),EmployeeData[[#This Row],[Status]]="Active",DATEDIF(EmployeeData[[#This Row],[Join Date]], TODAY(), "Y"))</f>
        <v>5</v>
      </c>
      <c r="Q852" t="str" cm="1">
        <f t="array" aca="1" ref="Q8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23 days</v>
      </c>
    </row>
    <row r="853" spans="1:17" hidden="1" x14ac:dyDescent="0.3">
      <c r="A853">
        <v>1852</v>
      </c>
      <c r="B853" t="s">
        <v>419</v>
      </c>
      <c r="C853" t="s">
        <v>23</v>
      </c>
      <c r="D853" t="s">
        <v>11</v>
      </c>
      <c r="E853">
        <v>30</v>
      </c>
      <c r="F853" t="str" cm="1">
        <f t="array" ref="F853">_xlfn.IFS(EmployeeData[[#This Row],[Age]]&lt;30,"20s",EmployeeData[[#This Row],[Age]]&lt;40,"30s",EmployeeData[[#This Row],[Age]]&lt;50,"40s",EmployeeData[[#This Row],[Age]]&lt;60,"50s",EmployeeData[[#This Row],[Age]]&gt;=60,"60s")</f>
        <v>30s</v>
      </c>
      <c r="G853" s="5">
        <v>44630</v>
      </c>
      <c r="I853" t="s">
        <v>17</v>
      </c>
      <c r="J853" t="s">
        <v>18</v>
      </c>
      <c r="K853" cm="1">
        <f t="array" aca="1" ref="K853" ca="1">_xlfn.IFS(EmployeeData[[#This Row],[Status]]="Active",_xlfn.DAYS(TODAY(),EmployeeData[[#This Row],[Join Date]]),EmployeeData[[#This Row],[Status]]="Exited",_xlfn.DAYS(EmployeeData[[#This Row],[Exit Date]],EmployeeData[[#This Row],[Join Date]]))</f>
        <v>1567</v>
      </c>
      <c r="L853" cm="1">
        <f t="array" aca="1" ref="L853" ca="1">_xlfn.IFS(EmployeeData[[#This Row],[Status]]="Exited",DATEDIF(EmployeeData[[#This Row],[Join Date]], EmployeeData[[#This Row],[Exit Date]], "Y"),EmployeeData[[#This Row],[Status]]="Active",DATEDIF(EmployeeData[[#This Row],[Join Date]], TODAY(), "Y"))</f>
        <v>4</v>
      </c>
      <c r="Q853" t="str" cm="1">
        <f t="array" aca="1" ref="Q8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14 days</v>
      </c>
    </row>
    <row r="854" spans="1:17" x14ac:dyDescent="0.3">
      <c r="A854">
        <v>1853</v>
      </c>
      <c r="B854" t="s">
        <v>342</v>
      </c>
      <c r="C854" t="s">
        <v>46</v>
      </c>
      <c r="D854" t="s">
        <v>24</v>
      </c>
      <c r="E854">
        <v>23</v>
      </c>
      <c r="F854" t="str" cm="1">
        <f t="array" ref="F854">_xlfn.IFS(EmployeeData[[#This Row],[Age]]&lt;30,"20s",EmployeeData[[#This Row],[Age]]&lt;40,"30s",EmployeeData[[#This Row],[Age]]&lt;50,"40s",EmployeeData[[#This Row],[Age]]&lt;60,"50s",EmployeeData[[#This Row],[Age]]&gt;=60,"60s")</f>
        <v>20s</v>
      </c>
      <c r="G854" s="5">
        <v>43105</v>
      </c>
      <c r="I854" t="s">
        <v>17</v>
      </c>
      <c r="J854" t="s">
        <v>18</v>
      </c>
      <c r="K854" cm="1">
        <f t="array" aca="1" ref="K854" ca="1">_xlfn.IFS(EmployeeData[[#This Row],[Status]]="Active",_xlfn.DAYS(TODAY(),EmployeeData[[#This Row],[Join Date]]),EmployeeData[[#This Row],[Status]]="Exited",_xlfn.DAYS(EmployeeData[[#This Row],[Exit Date]],EmployeeData[[#This Row],[Join Date]]))</f>
        <v>3092</v>
      </c>
      <c r="L854" cm="1">
        <f t="array" aca="1" ref="L854" ca="1">_xlfn.IFS(EmployeeData[[#This Row],[Status]]="Exited",DATEDIF(EmployeeData[[#This Row],[Join Date]], EmployeeData[[#This Row],[Exit Date]], "Y"),EmployeeData[[#This Row],[Status]]="Active",DATEDIF(EmployeeData[[#This Row],[Join Date]], TODAY(), "Y"))</f>
        <v>8</v>
      </c>
      <c r="Q854" t="str" cm="1">
        <f t="array" aca="1" ref="Q8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19 days</v>
      </c>
    </row>
    <row r="855" spans="1:17" hidden="1" x14ac:dyDescent="0.3">
      <c r="A855">
        <v>1854</v>
      </c>
      <c r="B855" t="s">
        <v>985</v>
      </c>
      <c r="C855" t="s">
        <v>15</v>
      </c>
      <c r="D855" t="s">
        <v>11</v>
      </c>
      <c r="E855">
        <v>51</v>
      </c>
      <c r="F855" t="str" cm="1">
        <f t="array" ref="F855">_xlfn.IFS(EmployeeData[[#This Row],[Age]]&lt;30,"20s",EmployeeData[[#This Row],[Age]]&lt;40,"30s",EmployeeData[[#This Row],[Age]]&lt;50,"40s",EmployeeData[[#This Row],[Age]]&lt;60,"50s",EmployeeData[[#This Row],[Age]]&gt;=60,"60s")</f>
        <v>50s</v>
      </c>
      <c r="G855" s="5">
        <v>44220</v>
      </c>
      <c r="I855" t="s">
        <v>17</v>
      </c>
      <c r="J855" t="s">
        <v>18</v>
      </c>
      <c r="K855" cm="1">
        <f t="array" aca="1" ref="K855" ca="1">_xlfn.IFS(EmployeeData[[#This Row],[Status]]="Active",_xlfn.DAYS(TODAY(),EmployeeData[[#This Row],[Join Date]]),EmployeeData[[#This Row],[Status]]="Exited",_xlfn.DAYS(EmployeeData[[#This Row],[Exit Date]],EmployeeData[[#This Row],[Join Date]]))</f>
        <v>1977</v>
      </c>
      <c r="L855" cm="1">
        <f t="array" aca="1" ref="L855" ca="1">_xlfn.IFS(EmployeeData[[#This Row],[Status]]="Exited",DATEDIF(EmployeeData[[#This Row],[Join Date]], EmployeeData[[#This Row],[Exit Date]], "Y"),EmployeeData[[#This Row],[Status]]="Active",DATEDIF(EmployeeData[[#This Row],[Join Date]], TODAY(), "Y"))</f>
        <v>5</v>
      </c>
      <c r="Q855" t="str" cm="1">
        <f t="array" aca="1" ref="Q8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0 days</v>
      </c>
    </row>
    <row r="856" spans="1:17" x14ac:dyDescent="0.3">
      <c r="A856">
        <v>1855</v>
      </c>
      <c r="B856" t="s">
        <v>338</v>
      </c>
      <c r="C856" t="s">
        <v>15</v>
      </c>
      <c r="D856" t="s">
        <v>11</v>
      </c>
      <c r="E856">
        <v>62</v>
      </c>
      <c r="F856" t="str" cm="1">
        <f t="array" ref="F856">_xlfn.IFS(EmployeeData[[#This Row],[Age]]&lt;30,"20s",EmployeeData[[#This Row],[Age]]&lt;40,"30s",EmployeeData[[#This Row],[Age]]&lt;50,"40s",EmployeeData[[#This Row],[Age]]&lt;60,"50s",EmployeeData[[#This Row],[Age]]&gt;=60,"60s")</f>
        <v>60s</v>
      </c>
      <c r="G856" s="5">
        <v>43287</v>
      </c>
      <c r="H856" s="5">
        <v>43663</v>
      </c>
      <c r="I856" t="s">
        <v>26</v>
      </c>
      <c r="J856" t="s">
        <v>13</v>
      </c>
      <c r="K856" cm="1">
        <f t="array" aca="1" ref="K856" ca="1">_xlfn.IFS(EmployeeData[[#This Row],[Status]]="Active",_xlfn.DAYS(TODAY(),EmployeeData[[#This Row],[Join Date]]),EmployeeData[[#This Row],[Status]]="Exited",_xlfn.DAYS(EmployeeData[[#This Row],[Exit Date]],EmployeeData[[#This Row],[Join Date]]))</f>
        <v>376</v>
      </c>
      <c r="L856" cm="1">
        <f t="array" aca="1" ref="L856" ca="1">_xlfn.IFS(EmployeeData[[#This Row],[Status]]="Exited",DATEDIF(EmployeeData[[#This Row],[Join Date]], EmployeeData[[#This Row],[Exit Date]], "Y"),EmployeeData[[#This Row],[Status]]="Active",DATEDIF(EmployeeData[[#This Row],[Join Date]], TODAY(), "Y"))</f>
        <v>1</v>
      </c>
      <c r="Q856" t="str" cm="1">
        <f t="array" aca="1" ref="Q8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57" spans="1:17" hidden="1" x14ac:dyDescent="0.3">
      <c r="A857">
        <v>1856</v>
      </c>
      <c r="B857" t="s">
        <v>563</v>
      </c>
      <c r="C857" t="s">
        <v>46</v>
      </c>
      <c r="D857" t="s">
        <v>11</v>
      </c>
      <c r="E857">
        <v>34</v>
      </c>
      <c r="F857" t="str" cm="1">
        <f t="array" ref="F857">_xlfn.IFS(EmployeeData[[#This Row],[Age]]&lt;30,"20s",EmployeeData[[#This Row],[Age]]&lt;40,"30s",EmployeeData[[#This Row],[Age]]&lt;50,"40s",EmployeeData[[#This Row],[Age]]&lt;60,"50s",EmployeeData[[#This Row],[Age]]&gt;=60,"60s")</f>
        <v>30s</v>
      </c>
      <c r="G857" s="5">
        <v>45601</v>
      </c>
      <c r="I857" t="s">
        <v>17</v>
      </c>
      <c r="J857" t="s">
        <v>18</v>
      </c>
      <c r="K857" cm="1">
        <f t="array" aca="1" ref="K857" ca="1">_xlfn.IFS(EmployeeData[[#This Row],[Status]]="Active",_xlfn.DAYS(TODAY(),EmployeeData[[#This Row],[Join Date]]),EmployeeData[[#This Row],[Status]]="Exited",_xlfn.DAYS(EmployeeData[[#This Row],[Exit Date]],EmployeeData[[#This Row],[Join Date]]))</f>
        <v>596</v>
      </c>
      <c r="L857" cm="1">
        <f t="array" aca="1" ref="L857" ca="1">_xlfn.IFS(EmployeeData[[#This Row],[Status]]="Exited",DATEDIF(EmployeeData[[#This Row],[Join Date]], EmployeeData[[#This Row],[Exit Date]], "Y"),EmployeeData[[#This Row],[Status]]="Active",DATEDIF(EmployeeData[[#This Row],[Join Date]], TODAY(), "Y"))</f>
        <v>1</v>
      </c>
      <c r="Q857" t="str" cm="1">
        <f t="array" aca="1" ref="Q8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58" spans="1:17" hidden="1" x14ac:dyDescent="0.3">
      <c r="A858">
        <v>1857</v>
      </c>
      <c r="B858" t="s">
        <v>567</v>
      </c>
      <c r="C858" t="s">
        <v>23</v>
      </c>
      <c r="D858" t="s">
        <v>11</v>
      </c>
      <c r="E858">
        <v>49</v>
      </c>
      <c r="F858" t="str" cm="1">
        <f t="array" ref="F858">_xlfn.IFS(EmployeeData[[#This Row],[Age]]&lt;30,"20s",EmployeeData[[#This Row],[Age]]&lt;40,"30s",EmployeeData[[#This Row],[Age]]&lt;50,"40s",EmployeeData[[#This Row],[Age]]&lt;60,"50s",EmployeeData[[#This Row],[Age]]&gt;=60,"60s")</f>
        <v>40s</v>
      </c>
      <c r="G858" s="5">
        <v>44219</v>
      </c>
      <c r="H858" s="5">
        <v>44967</v>
      </c>
      <c r="I858" t="s">
        <v>12</v>
      </c>
      <c r="J858" t="s">
        <v>13</v>
      </c>
      <c r="K858" cm="1">
        <f t="array" aca="1" ref="K858" ca="1">_xlfn.IFS(EmployeeData[[#This Row],[Status]]="Active",_xlfn.DAYS(TODAY(),EmployeeData[[#This Row],[Join Date]]),EmployeeData[[#This Row],[Status]]="Exited",_xlfn.DAYS(EmployeeData[[#This Row],[Exit Date]],EmployeeData[[#This Row],[Join Date]]))</f>
        <v>748</v>
      </c>
      <c r="L858" cm="1">
        <f t="array" aca="1" ref="L858" ca="1">_xlfn.IFS(EmployeeData[[#This Row],[Status]]="Exited",DATEDIF(EmployeeData[[#This Row],[Join Date]], EmployeeData[[#This Row],[Exit Date]], "Y"),EmployeeData[[#This Row],[Status]]="Active",DATEDIF(EmployeeData[[#This Row],[Join Date]], TODAY(), "Y"))</f>
        <v>2</v>
      </c>
      <c r="Q858" t="str" cm="1">
        <f t="array" aca="1" ref="Q8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859" spans="1:17" x14ac:dyDescent="0.3">
      <c r="A859">
        <v>1858</v>
      </c>
      <c r="B859" t="s">
        <v>781</v>
      </c>
      <c r="C859" t="s">
        <v>20</v>
      </c>
      <c r="D859" t="s">
        <v>16</v>
      </c>
      <c r="E859">
        <v>51</v>
      </c>
      <c r="F859" t="str" cm="1">
        <f t="array" ref="F859">_xlfn.IFS(EmployeeData[[#This Row],[Age]]&lt;30,"20s",EmployeeData[[#This Row],[Age]]&lt;40,"30s",EmployeeData[[#This Row],[Age]]&lt;50,"40s",EmployeeData[[#This Row],[Age]]&lt;60,"50s",EmployeeData[[#This Row],[Age]]&gt;=60,"60s")</f>
        <v>50s</v>
      </c>
      <c r="G859" s="5">
        <v>43118</v>
      </c>
      <c r="I859" t="s">
        <v>17</v>
      </c>
      <c r="J859" t="s">
        <v>18</v>
      </c>
      <c r="K859" cm="1">
        <f t="array" aca="1" ref="K859" ca="1">_xlfn.IFS(EmployeeData[[#This Row],[Status]]="Active",_xlfn.DAYS(TODAY(),EmployeeData[[#This Row],[Join Date]]),EmployeeData[[#This Row],[Status]]="Exited",_xlfn.DAYS(EmployeeData[[#This Row],[Exit Date]],EmployeeData[[#This Row],[Join Date]]))</f>
        <v>3079</v>
      </c>
      <c r="L859" cm="1">
        <f t="array" aca="1" ref="L859" ca="1">_xlfn.IFS(EmployeeData[[#This Row],[Status]]="Exited",DATEDIF(EmployeeData[[#This Row],[Join Date]], EmployeeData[[#This Row],[Exit Date]], "Y"),EmployeeData[[#This Row],[Status]]="Active",DATEDIF(EmployeeData[[#This Row],[Join Date]], TODAY(), "Y"))</f>
        <v>8</v>
      </c>
      <c r="Q859" t="str" cm="1">
        <f t="array" aca="1" ref="Q8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6 days</v>
      </c>
    </row>
    <row r="860" spans="1:17" hidden="1" x14ac:dyDescent="0.3">
      <c r="A860">
        <v>1859</v>
      </c>
      <c r="B860" t="s">
        <v>367</v>
      </c>
      <c r="C860" t="s">
        <v>20</v>
      </c>
      <c r="D860" t="s">
        <v>24</v>
      </c>
      <c r="E860">
        <v>25</v>
      </c>
      <c r="F860" t="str" cm="1">
        <f t="array" ref="F860">_xlfn.IFS(EmployeeData[[#This Row],[Age]]&lt;30,"20s",EmployeeData[[#This Row],[Age]]&lt;40,"30s",EmployeeData[[#This Row],[Age]]&lt;50,"40s",EmployeeData[[#This Row],[Age]]&lt;60,"50s",EmployeeData[[#This Row],[Age]]&gt;=60,"60s")</f>
        <v>20s</v>
      </c>
      <c r="G860" s="5">
        <v>45307</v>
      </c>
      <c r="H860" s="5">
        <v>46084</v>
      </c>
      <c r="I860" t="s">
        <v>12</v>
      </c>
      <c r="J860" t="s">
        <v>13</v>
      </c>
      <c r="K860" cm="1">
        <f t="array" aca="1" ref="K860" ca="1">_xlfn.IFS(EmployeeData[[#This Row],[Status]]="Active",_xlfn.DAYS(TODAY(),EmployeeData[[#This Row],[Join Date]]),EmployeeData[[#This Row],[Status]]="Exited",_xlfn.DAYS(EmployeeData[[#This Row],[Exit Date]],EmployeeData[[#This Row],[Join Date]]))</f>
        <v>777</v>
      </c>
      <c r="L860" cm="1">
        <f t="array" aca="1" ref="L860" ca="1">_xlfn.IFS(EmployeeData[[#This Row],[Status]]="Exited",DATEDIF(EmployeeData[[#This Row],[Join Date]], EmployeeData[[#This Row],[Exit Date]], "Y"),EmployeeData[[#This Row],[Status]]="Active",DATEDIF(EmployeeData[[#This Row],[Join Date]], TODAY(), "Y"))</f>
        <v>2</v>
      </c>
      <c r="Q860" t="str" cm="1">
        <f t="array" aca="1" ref="Q8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61" spans="1:17" hidden="1" x14ac:dyDescent="0.3">
      <c r="A861">
        <v>1860</v>
      </c>
      <c r="B861" t="s">
        <v>671</v>
      </c>
      <c r="C861" t="s">
        <v>10</v>
      </c>
      <c r="D861" t="s">
        <v>24</v>
      </c>
      <c r="E861">
        <v>45</v>
      </c>
      <c r="F861" t="str" cm="1">
        <f t="array" ref="F861">_xlfn.IFS(EmployeeData[[#This Row],[Age]]&lt;30,"20s",EmployeeData[[#This Row],[Age]]&lt;40,"30s",EmployeeData[[#This Row],[Age]]&lt;50,"40s",EmployeeData[[#This Row],[Age]]&lt;60,"50s",EmployeeData[[#This Row],[Age]]&gt;=60,"60s")</f>
        <v>40s</v>
      </c>
      <c r="G861" s="5">
        <v>43826</v>
      </c>
      <c r="I861" t="s">
        <v>17</v>
      </c>
      <c r="J861" t="s">
        <v>18</v>
      </c>
      <c r="K861" cm="1">
        <f t="array" aca="1" ref="K861" ca="1">_xlfn.IFS(EmployeeData[[#This Row],[Status]]="Active",_xlfn.DAYS(TODAY(),EmployeeData[[#This Row],[Join Date]]),EmployeeData[[#This Row],[Status]]="Exited",_xlfn.DAYS(EmployeeData[[#This Row],[Exit Date]],EmployeeData[[#This Row],[Join Date]]))</f>
        <v>2371</v>
      </c>
      <c r="L861" cm="1">
        <f t="array" aca="1" ref="L861" ca="1">_xlfn.IFS(EmployeeData[[#This Row],[Status]]="Exited",DATEDIF(EmployeeData[[#This Row],[Join Date]], EmployeeData[[#This Row],[Exit Date]], "Y"),EmployeeData[[#This Row],[Status]]="Active",DATEDIF(EmployeeData[[#This Row],[Join Date]], TODAY(), "Y"))</f>
        <v>6</v>
      </c>
      <c r="Q861" t="str" cm="1">
        <f t="array" aca="1" ref="Q8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28 days</v>
      </c>
    </row>
    <row r="862" spans="1:17" hidden="1" x14ac:dyDescent="0.3">
      <c r="A862">
        <v>1861</v>
      </c>
      <c r="B862" t="s">
        <v>268</v>
      </c>
      <c r="C862" t="s">
        <v>10</v>
      </c>
      <c r="D862" t="s">
        <v>16</v>
      </c>
      <c r="E862">
        <v>22</v>
      </c>
      <c r="F862" t="str" cm="1">
        <f t="array" ref="F862">_xlfn.IFS(EmployeeData[[#This Row],[Age]]&lt;30,"20s",EmployeeData[[#This Row],[Age]]&lt;40,"30s",EmployeeData[[#This Row],[Age]]&lt;50,"40s",EmployeeData[[#This Row],[Age]]&lt;60,"50s",EmployeeData[[#This Row],[Age]]&gt;=60,"60s")</f>
        <v>20s</v>
      </c>
      <c r="G862" s="5">
        <v>44252</v>
      </c>
      <c r="I862" t="s">
        <v>17</v>
      </c>
      <c r="J862" t="s">
        <v>18</v>
      </c>
      <c r="K862" cm="1">
        <f t="array" aca="1" ref="K862" ca="1">_xlfn.IFS(EmployeeData[[#This Row],[Status]]="Active",_xlfn.DAYS(TODAY(),EmployeeData[[#This Row],[Join Date]]),EmployeeData[[#This Row],[Status]]="Exited",_xlfn.DAYS(EmployeeData[[#This Row],[Exit Date]],EmployeeData[[#This Row],[Join Date]]))</f>
        <v>1945</v>
      </c>
      <c r="L862" cm="1">
        <f t="array" aca="1" ref="L862" ca="1">_xlfn.IFS(EmployeeData[[#This Row],[Status]]="Exited",DATEDIF(EmployeeData[[#This Row],[Join Date]], EmployeeData[[#This Row],[Exit Date]], "Y"),EmployeeData[[#This Row],[Status]]="Active",DATEDIF(EmployeeData[[#This Row],[Join Date]], TODAY(), "Y"))</f>
        <v>5</v>
      </c>
      <c r="Q862" t="str" cm="1">
        <f t="array" aca="1" ref="Q8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30 days</v>
      </c>
    </row>
    <row r="863" spans="1:17" hidden="1" x14ac:dyDescent="0.3">
      <c r="A863">
        <v>1862</v>
      </c>
      <c r="B863" t="s">
        <v>481</v>
      </c>
      <c r="C863" t="s">
        <v>33</v>
      </c>
      <c r="D863" t="s">
        <v>16</v>
      </c>
      <c r="E863">
        <v>52</v>
      </c>
      <c r="F863" t="str" cm="1">
        <f t="array" ref="F863">_xlfn.IFS(EmployeeData[[#This Row],[Age]]&lt;30,"20s",EmployeeData[[#This Row],[Age]]&lt;40,"30s",EmployeeData[[#This Row],[Age]]&lt;50,"40s",EmployeeData[[#This Row],[Age]]&lt;60,"50s",EmployeeData[[#This Row],[Age]]&gt;=60,"60s")</f>
        <v>50s</v>
      </c>
      <c r="G863" s="5">
        <v>44587</v>
      </c>
      <c r="H863" s="5">
        <v>45686</v>
      </c>
      <c r="I863" t="s">
        <v>52</v>
      </c>
      <c r="J863" t="s">
        <v>13</v>
      </c>
      <c r="K863" cm="1">
        <f t="array" aca="1" ref="K863" ca="1">_xlfn.IFS(EmployeeData[[#This Row],[Status]]="Active",_xlfn.DAYS(TODAY(),EmployeeData[[#This Row],[Join Date]]),EmployeeData[[#This Row],[Status]]="Exited",_xlfn.DAYS(EmployeeData[[#This Row],[Exit Date]],EmployeeData[[#This Row],[Join Date]]))</f>
        <v>1099</v>
      </c>
      <c r="L863" cm="1">
        <f t="array" aca="1" ref="L863" ca="1">_xlfn.IFS(EmployeeData[[#This Row],[Status]]="Exited",DATEDIF(EmployeeData[[#This Row],[Join Date]], EmployeeData[[#This Row],[Exit Date]], "Y"),EmployeeData[[#This Row],[Status]]="Active",DATEDIF(EmployeeData[[#This Row],[Join Date]], TODAY(), "Y"))</f>
        <v>3</v>
      </c>
      <c r="Q863" t="str" cm="1">
        <f t="array" aca="1" ref="Q8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864" spans="1:17" hidden="1" x14ac:dyDescent="0.3">
      <c r="A864">
        <v>1863</v>
      </c>
      <c r="B864" t="s">
        <v>811</v>
      </c>
      <c r="C864" t="s">
        <v>15</v>
      </c>
      <c r="D864" t="s">
        <v>16</v>
      </c>
      <c r="E864">
        <v>53</v>
      </c>
      <c r="F864" t="str" cm="1">
        <f t="array" ref="F864">_xlfn.IFS(EmployeeData[[#This Row],[Age]]&lt;30,"20s",EmployeeData[[#This Row],[Age]]&lt;40,"30s",EmployeeData[[#This Row],[Age]]&lt;50,"40s",EmployeeData[[#This Row],[Age]]&lt;60,"50s",EmployeeData[[#This Row],[Age]]&gt;=60,"60s")</f>
        <v>50s</v>
      </c>
      <c r="G864" s="5">
        <v>45124</v>
      </c>
      <c r="H864" s="5">
        <v>45412</v>
      </c>
      <c r="I864" t="s">
        <v>28</v>
      </c>
      <c r="J864" t="s">
        <v>13</v>
      </c>
      <c r="K864" cm="1">
        <f t="array" aca="1" ref="K864" ca="1">_xlfn.IFS(EmployeeData[[#This Row],[Status]]="Active",_xlfn.DAYS(TODAY(),EmployeeData[[#This Row],[Join Date]]),EmployeeData[[#This Row],[Status]]="Exited",_xlfn.DAYS(EmployeeData[[#This Row],[Exit Date]],EmployeeData[[#This Row],[Join Date]]))</f>
        <v>288</v>
      </c>
      <c r="L864" cm="1">
        <f t="array" aca="1" ref="L864" ca="1">_xlfn.IFS(EmployeeData[[#This Row],[Status]]="Exited",DATEDIF(EmployeeData[[#This Row],[Join Date]], EmployeeData[[#This Row],[Exit Date]], "Y"),EmployeeData[[#This Row],[Status]]="Active",DATEDIF(EmployeeData[[#This Row],[Join Date]], TODAY(), "Y"))</f>
        <v>0</v>
      </c>
      <c r="Q864" t="str" cm="1">
        <f t="array" aca="1" ref="Q8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13 days</v>
      </c>
    </row>
    <row r="865" spans="1:17" x14ac:dyDescent="0.3">
      <c r="A865">
        <v>1864</v>
      </c>
      <c r="B865" t="s">
        <v>536</v>
      </c>
      <c r="C865" t="s">
        <v>23</v>
      </c>
      <c r="D865" t="s">
        <v>16</v>
      </c>
      <c r="E865">
        <v>29</v>
      </c>
      <c r="F865" t="str" cm="1">
        <f t="array" ref="F865">_xlfn.IFS(EmployeeData[[#This Row],[Age]]&lt;30,"20s",EmployeeData[[#This Row],[Age]]&lt;40,"30s",EmployeeData[[#This Row],[Age]]&lt;50,"40s",EmployeeData[[#This Row],[Age]]&lt;60,"50s",EmployeeData[[#This Row],[Age]]&gt;=60,"60s")</f>
        <v>20s</v>
      </c>
      <c r="G865" s="5">
        <v>43367</v>
      </c>
      <c r="H865" s="5">
        <v>44390</v>
      </c>
      <c r="I865" t="s">
        <v>52</v>
      </c>
      <c r="J865" t="s">
        <v>13</v>
      </c>
      <c r="K865" cm="1">
        <f t="array" aca="1" ref="K865" ca="1">_xlfn.IFS(EmployeeData[[#This Row],[Status]]="Active",_xlfn.DAYS(TODAY(),EmployeeData[[#This Row],[Join Date]]),EmployeeData[[#This Row],[Status]]="Exited",_xlfn.DAYS(EmployeeData[[#This Row],[Exit Date]],EmployeeData[[#This Row],[Join Date]]))</f>
        <v>1023</v>
      </c>
      <c r="L865" cm="1">
        <f t="array" aca="1" ref="L865" ca="1">_xlfn.IFS(EmployeeData[[#This Row],[Status]]="Exited",DATEDIF(EmployeeData[[#This Row],[Join Date]], EmployeeData[[#This Row],[Exit Date]], "Y"),EmployeeData[[#This Row],[Status]]="Active",DATEDIF(EmployeeData[[#This Row],[Join Date]], TODAY(), "Y"))</f>
        <v>2</v>
      </c>
      <c r="Q865" t="str" cm="1">
        <f t="array" aca="1" ref="Q8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866" spans="1:17" hidden="1" x14ac:dyDescent="0.3">
      <c r="A866">
        <v>1865</v>
      </c>
      <c r="B866" t="s">
        <v>57</v>
      </c>
      <c r="C866" t="s">
        <v>15</v>
      </c>
      <c r="D866" t="s">
        <v>11</v>
      </c>
      <c r="E866">
        <v>55</v>
      </c>
      <c r="F866" t="str" cm="1">
        <f t="array" ref="F866">_xlfn.IFS(EmployeeData[[#This Row],[Age]]&lt;30,"20s",EmployeeData[[#This Row],[Age]]&lt;40,"30s",EmployeeData[[#This Row],[Age]]&lt;50,"40s",EmployeeData[[#This Row],[Age]]&lt;60,"50s",EmployeeData[[#This Row],[Age]]&gt;=60,"60s")</f>
        <v>50s</v>
      </c>
      <c r="G866" s="5">
        <v>45617</v>
      </c>
      <c r="H866" s="5">
        <v>45993</v>
      </c>
      <c r="I866" t="s">
        <v>52</v>
      </c>
      <c r="J866" t="s">
        <v>13</v>
      </c>
      <c r="K866" cm="1">
        <f t="array" aca="1" ref="K866" ca="1">_xlfn.IFS(EmployeeData[[#This Row],[Status]]="Active",_xlfn.DAYS(TODAY(),EmployeeData[[#This Row],[Join Date]]),EmployeeData[[#This Row],[Status]]="Exited",_xlfn.DAYS(EmployeeData[[#This Row],[Exit Date]],EmployeeData[[#This Row],[Join Date]]))</f>
        <v>376</v>
      </c>
      <c r="L866" cm="1">
        <f t="array" aca="1" ref="L866" ca="1">_xlfn.IFS(EmployeeData[[#This Row],[Status]]="Exited",DATEDIF(EmployeeData[[#This Row],[Join Date]], EmployeeData[[#This Row],[Exit Date]], "Y"),EmployeeData[[#This Row],[Status]]="Active",DATEDIF(EmployeeData[[#This Row],[Join Date]], TODAY(), "Y"))</f>
        <v>1</v>
      </c>
      <c r="Q866" t="str" cm="1">
        <f t="array" aca="1" ref="Q8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67" spans="1:17" hidden="1" x14ac:dyDescent="0.3">
      <c r="A867">
        <v>1866</v>
      </c>
      <c r="B867" t="s">
        <v>365</v>
      </c>
      <c r="C867" t="s">
        <v>46</v>
      </c>
      <c r="D867" t="s">
        <v>16</v>
      </c>
      <c r="E867">
        <v>41</v>
      </c>
      <c r="F867" t="str" cm="1">
        <f t="array" ref="F867">_xlfn.IFS(EmployeeData[[#This Row],[Age]]&lt;30,"20s",EmployeeData[[#This Row],[Age]]&lt;40,"30s",EmployeeData[[#This Row],[Age]]&lt;50,"40s",EmployeeData[[#This Row],[Age]]&lt;60,"50s",EmployeeData[[#This Row],[Age]]&gt;=60,"60s")</f>
        <v>40s</v>
      </c>
      <c r="G867" s="5">
        <v>44872</v>
      </c>
      <c r="I867" t="s">
        <v>17</v>
      </c>
      <c r="J867" t="s">
        <v>18</v>
      </c>
      <c r="K867" cm="1">
        <f t="array" aca="1" ref="K867" ca="1">_xlfn.IFS(EmployeeData[[#This Row],[Status]]="Active",_xlfn.DAYS(TODAY(),EmployeeData[[#This Row],[Join Date]]),EmployeeData[[#This Row],[Status]]="Exited",_xlfn.DAYS(EmployeeData[[#This Row],[Exit Date]],EmployeeData[[#This Row],[Join Date]]))</f>
        <v>1325</v>
      </c>
      <c r="L867" cm="1">
        <f t="array" aca="1" ref="L867" ca="1">_xlfn.IFS(EmployeeData[[#This Row],[Status]]="Exited",DATEDIF(EmployeeData[[#This Row],[Join Date]], EmployeeData[[#This Row],[Exit Date]], "Y"),EmployeeData[[#This Row],[Status]]="Active",DATEDIF(EmployeeData[[#This Row],[Join Date]], TODAY(), "Y"))</f>
        <v>3</v>
      </c>
      <c r="Q867" t="str" cm="1">
        <f t="array" aca="1" ref="Q8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17 days</v>
      </c>
    </row>
    <row r="868" spans="1:17" hidden="1" x14ac:dyDescent="0.3">
      <c r="A868">
        <v>1867</v>
      </c>
      <c r="B868" t="s">
        <v>906</v>
      </c>
      <c r="C868" t="s">
        <v>23</v>
      </c>
      <c r="D868" t="s">
        <v>24</v>
      </c>
      <c r="E868">
        <v>23</v>
      </c>
      <c r="F868" t="str" cm="1">
        <f t="array" ref="F868">_xlfn.IFS(EmployeeData[[#This Row],[Age]]&lt;30,"20s",EmployeeData[[#This Row],[Age]]&lt;40,"30s",EmployeeData[[#This Row],[Age]]&lt;50,"40s",EmployeeData[[#This Row],[Age]]&lt;60,"50s",EmployeeData[[#This Row],[Age]]&gt;=60,"60s")</f>
        <v>20s</v>
      </c>
      <c r="G868" s="5">
        <v>44020</v>
      </c>
      <c r="H868" s="5">
        <v>45830</v>
      </c>
      <c r="I868" t="s">
        <v>65</v>
      </c>
      <c r="J868" t="s">
        <v>13</v>
      </c>
      <c r="K868" cm="1">
        <f t="array" aca="1" ref="K868" ca="1">_xlfn.IFS(EmployeeData[[#This Row],[Status]]="Active",_xlfn.DAYS(TODAY(),EmployeeData[[#This Row],[Join Date]]),EmployeeData[[#This Row],[Status]]="Exited",_xlfn.DAYS(EmployeeData[[#This Row],[Exit Date]],EmployeeData[[#This Row],[Join Date]]))</f>
        <v>1810</v>
      </c>
      <c r="L868" cm="1">
        <f t="array" aca="1" ref="L868" ca="1">_xlfn.IFS(EmployeeData[[#This Row],[Status]]="Exited",DATEDIF(EmployeeData[[#This Row],[Join Date]], EmployeeData[[#This Row],[Exit Date]], "Y"),EmployeeData[[#This Row],[Status]]="Active",DATEDIF(EmployeeData[[#This Row],[Join Date]], TODAY(), "Y"))</f>
        <v>4</v>
      </c>
      <c r="Q868" t="str" cm="1">
        <f t="array" aca="1" ref="Q8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869" spans="1:17" hidden="1" x14ac:dyDescent="0.3">
      <c r="A869">
        <v>1868</v>
      </c>
      <c r="B869" t="s">
        <v>1075</v>
      </c>
      <c r="C869" t="s">
        <v>15</v>
      </c>
      <c r="D869" t="s">
        <v>24</v>
      </c>
      <c r="E869">
        <v>22</v>
      </c>
      <c r="F869" t="str" cm="1">
        <f t="array" ref="F869">_xlfn.IFS(EmployeeData[[#This Row],[Age]]&lt;30,"20s",EmployeeData[[#This Row],[Age]]&lt;40,"30s",EmployeeData[[#This Row],[Age]]&lt;50,"40s",EmployeeData[[#This Row],[Age]]&lt;60,"50s",EmployeeData[[#This Row],[Age]]&gt;=60,"60s")</f>
        <v>20s</v>
      </c>
      <c r="G869" s="5">
        <v>44025</v>
      </c>
      <c r="I869" t="s">
        <v>17</v>
      </c>
      <c r="J869" t="s">
        <v>18</v>
      </c>
      <c r="K869" cm="1">
        <f t="array" aca="1" ref="K869" ca="1">_xlfn.IFS(EmployeeData[[#This Row],[Status]]="Active",_xlfn.DAYS(TODAY(),EmployeeData[[#This Row],[Join Date]]),EmployeeData[[#This Row],[Status]]="Exited",_xlfn.DAYS(EmployeeData[[#This Row],[Exit Date]],EmployeeData[[#This Row],[Join Date]]))</f>
        <v>2172</v>
      </c>
      <c r="L869" cm="1">
        <f t="array" aca="1" ref="L869" ca="1">_xlfn.IFS(EmployeeData[[#This Row],[Status]]="Exited",DATEDIF(EmployeeData[[#This Row],[Join Date]], EmployeeData[[#This Row],[Exit Date]], "Y"),EmployeeData[[#This Row],[Status]]="Active",DATEDIF(EmployeeData[[#This Row],[Join Date]], TODAY(), "Y"))</f>
        <v>5</v>
      </c>
      <c r="Q869" t="str" cm="1">
        <f t="array" aca="1" ref="Q8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11 days</v>
      </c>
    </row>
    <row r="870" spans="1:17" hidden="1" x14ac:dyDescent="0.3">
      <c r="A870">
        <v>1869</v>
      </c>
      <c r="B870" t="s">
        <v>1044</v>
      </c>
      <c r="C870" t="s">
        <v>15</v>
      </c>
      <c r="D870" t="s">
        <v>24</v>
      </c>
      <c r="E870">
        <v>25</v>
      </c>
      <c r="F870" t="str" cm="1">
        <f t="array" ref="F870">_xlfn.IFS(EmployeeData[[#This Row],[Age]]&lt;30,"20s",EmployeeData[[#This Row],[Age]]&lt;40,"30s",EmployeeData[[#This Row],[Age]]&lt;50,"40s",EmployeeData[[#This Row],[Age]]&lt;60,"50s",EmployeeData[[#This Row],[Age]]&gt;=60,"60s")</f>
        <v>20s</v>
      </c>
      <c r="G870" s="5">
        <v>45665</v>
      </c>
      <c r="I870" t="s">
        <v>17</v>
      </c>
      <c r="J870" t="s">
        <v>18</v>
      </c>
      <c r="K870" cm="1">
        <f t="array" aca="1" ref="K870" ca="1">_xlfn.IFS(EmployeeData[[#This Row],[Status]]="Active",_xlfn.DAYS(TODAY(),EmployeeData[[#This Row],[Join Date]]),EmployeeData[[#This Row],[Status]]="Exited",_xlfn.DAYS(EmployeeData[[#This Row],[Exit Date]],EmployeeData[[#This Row],[Join Date]]))</f>
        <v>532</v>
      </c>
      <c r="L870" cm="1">
        <f t="array" aca="1" ref="L870" ca="1">_xlfn.IFS(EmployeeData[[#This Row],[Status]]="Exited",DATEDIF(EmployeeData[[#This Row],[Join Date]], EmployeeData[[#This Row],[Exit Date]], "Y"),EmployeeData[[#This Row],[Status]]="Active",DATEDIF(EmployeeData[[#This Row],[Join Date]], TODAY(), "Y"))</f>
        <v>1</v>
      </c>
      <c r="Q870" t="str" cm="1">
        <f t="array" aca="1" ref="Q8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871" spans="1:17" hidden="1" x14ac:dyDescent="0.3">
      <c r="A871">
        <v>1870</v>
      </c>
      <c r="B871" t="s">
        <v>665</v>
      </c>
      <c r="C871" t="s">
        <v>23</v>
      </c>
      <c r="D871" t="s">
        <v>24</v>
      </c>
      <c r="E871">
        <v>60</v>
      </c>
      <c r="F871" t="str" cm="1">
        <f t="array" ref="F871">_xlfn.IFS(EmployeeData[[#This Row],[Age]]&lt;30,"20s",EmployeeData[[#This Row],[Age]]&lt;40,"30s",EmployeeData[[#This Row],[Age]]&lt;50,"40s",EmployeeData[[#This Row],[Age]]&lt;60,"50s",EmployeeData[[#This Row],[Age]]&gt;=60,"60s")</f>
        <v>60s</v>
      </c>
      <c r="G871" s="5">
        <v>44126</v>
      </c>
      <c r="H871" s="5">
        <v>45185</v>
      </c>
      <c r="I871" t="s">
        <v>26</v>
      </c>
      <c r="J871" t="s">
        <v>13</v>
      </c>
      <c r="K871" cm="1">
        <f t="array" aca="1" ref="K871" ca="1">_xlfn.IFS(EmployeeData[[#This Row],[Status]]="Active",_xlfn.DAYS(TODAY(),EmployeeData[[#This Row],[Join Date]]),EmployeeData[[#This Row],[Status]]="Exited",_xlfn.DAYS(EmployeeData[[#This Row],[Exit Date]],EmployeeData[[#This Row],[Join Date]]))</f>
        <v>1059</v>
      </c>
      <c r="L871" cm="1">
        <f t="array" aca="1" ref="L871" ca="1">_xlfn.IFS(EmployeeData[[#This Row],[Status]]="Exited",DATEDIF(EmployeeData[[#This Row],[Join Date]], EmployeeData[[#This Row],[Exit Date]], "Y"),EmployeeData[[#This Row],[Status]]="Active",DATEDIF(EmployeeData[[#This Row],[Join Date]], TODAY(), "Y"))</f>
        <v>2</v>
      </c>
      <c r="Q871" t="str" cm="1">
        <f t="array" aca="1" ref="Q8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25 days</v>
      </c>
    </row>
    <row r="872" spans="1:17" hidden="1" x14ac:dyDescent="0.3">
      <c r="A872">
        <v>1871</v>
      </c>
      <c r="B872" t="s">
        <v>915</v>
      </c>
      <c r="C872" t="s">
        <v>46</v>
      </c>
      <c r="D872" t="s">
        <v>11</v>
      </c>
      <c r="E872">
        <v>49</v>
      </c>
      <c r="F872" t="str" cm="1">
        <f t="array" ref="F872">_xlfn.IFS(EmployeeData[[#This Row],[Age]]&lt;30,"20s",EmployeeData[[#This Row],[Age]]&lt;40,"30s",EmployeeData[[#This Row],[Age]]&lt;50,"40s",EmployeeData[[#This Row],[Age]]&lt;60,"50s",EmployeeData[[#This Row],[Age]]&gt;=60,"60s")</f>
        <v>40s</v>
      </c>
      <c r="G872" s="5">
        <v>43492</v>
      </c>
      <c r="I872" t="s">
        <v>17</v>
      </c>
      <c r="J872" t="s">
        <v>18</v>
      </c>
      <c r="K872" cm="1">
        <f t="array" aca="1" ref="K872" ca="1">_xlfn.IFS(EmployeeData[[#This Row],[Status]]="Active",_xlfn.DAYS(TODAY(),EmployeeData[[#This Row],[Join Date]]),EmployeeData[[#This Row],[Status]]="Exited",_xlfn.DAYS(EmployeeData[[#This Row],[Exit Date]],EmployeeData[[#This Row],[Join Date]]))</f>
        <v>2705</v>
      </c>
      <c r="L872" cm="1">
        <f t="array" aca="1" ref="L872" ca="1">_xlfn.IFS(EmployeeData[[#This Row],[Status]]="Exited",DATEDIF(EmployeeData[[#This Row],[Join Date]], EmployeeData[[#This Row],[Exit Date]], "Y"),EmployeeData[[#This Row],[Status]]="Active",DATEDIF(EmployeeData[[#This Row],[Join Date]], TODAY(), "Y"))</f>
        <v>7</v>
      </c>
      <c r="Q872" t="str" cm="1">
        <f t="array" aca="1" ref="Q8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28 days</v>
      </c>
    </row>
    <row r="873" spans="1:17" hidden="1" x14ac:dyDescent="0.3">
      <c r="A873">
        <v>1872</v>
      </c>
      <c r="B873" t="s">
        <v>825</v>
      </c>
      <c r="C873" t="s">
        <v>46</v>
      </c>
      <c r="D873" t="s">
        <v>24</v>
      </c>
      <c r="E873">
        <v>25</v>
      </c>
      <c r="F873" t="str" cm="1">
        <f t="array" ref="F873">_xlfn.IFS(EmployeeData[[#This Row],[Age]]&lt;30,"20s",EmployeeData[[#This Row],[Age]]&lt;40,"30s",EmployeeData[[#This Row],[Age]]&lt;50,"40s",EmployeeData[[#This Row],[Age]]&lt;60,"50s",EmployeeData[[#This Row],[Age]]&gt;=60,"60s")</f>
        <v>20s</v>
      </c>
      <c r="G873" s="5">
        <v>43623</v>
      </c>
      <c r="H873" s="5">
        <v>45523</v>
      </c>
      <c r="I873" t="s">
        <v>31</v>
      </c>
      <c r="J873" t="s">
        <v>13</v>
      </c>
      <c r="K873" cm="1">
        <f t="array" aca="1" ref="K873" ca="1">_xlfn.IFS(EmployeeData[[#This Row],[Status]]="Active",_xlfn.DAYS(TODAY(),EmployeeData[[#This Row],[Join Date]]),EmployeeData[[#This Row],[Status]]="Exited",_xlfn.DAYS(EmployeeData[[#This Row],[Exit Date]],EmployeeData[[#This Row],[Join Date]]))</f>
        <v>1900</v>
      </c>
      <c r="L873" cm="1">
        <f t="array" aca="1" ref="L873" ca="1">_xlfn.IFS(EmployeeData[[#This Row],[Status]]="Exited",DATEDIF(EmployeeData[[#This Row],[Join Date]], EmployeeData[[#This Row],[Exit Date]], "Y"),EmployeeData[[#This Row],[Status]]="Active",DATEDIF(EmployeeData[[#This Row],[Join Date]], TODAY(), "Y"))</f>
        <v>5</v>
      </c>
      <c r="Q873" t="str" cm="1">
        <f t="array" aca="1" ref="Q8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874" spans="1:17" hidden="1" x14ac:dyDescent="0.3">
      <c r="A874">
        <v>1873</v>
      </c>
      <c r="B874" t="s">
        <v>331</v>
      </c>
      <c r="C874" t="s">
        <v>23</v>
      </c>
      <c r="D874" t="s">
        <v>16</v>
      </c>
      <c r="E874">
        <v>50</v>
      </c>
      <c r="F874" t="str" cm="1">
        <f t="array" ref="F874">_xlfn.IFS(EmployeeData[[#This Row],[Age]]&lt;30,"20s",EmployeeData[[#This Row],[Age]]&lt;40,"30s",EmployeeData[[#This Row],[Age]]&lt;50,"40s",EmployeeData[[#This Row],[Age]]&lt;60,"50s",EmployeeData[[#This Row],[Age]]&gt;=60,"60s")</f>
        <v>50s</v>
      </c>
      <c r="G874" s="5">
        <v>44746</v>
      </c>
      <c r="H874" s="5">
        <v>45677</v>
      </c>
      <c r="I874" t="s">
        <v>26</v>
      </c>
      <c r="J874" t="s">
        <v>13</v>
      </c>
      <c r="K874" cm="1">
        <f t="array" aca="1" ref="K874" ca="1">_xlfn.IFS(EmployeeData[[#This Row],[Status]]="Active",_xlfn.DAYS(TODAY(),EmployeeData[[#This Row],[Join Date]]),EmployeeData[[#This Row],[Status]]="Exited",_xlfn.DAYS(EmployeeData[[#This Row],[Exit Date]],EmployeeData[[#This Row],[Join Date]]))</f>
        <v>931</v>
      </c>
      <c r="L874" cm="1">
        <f t="array" aca="1" ref="L874" ca="1">_xlfn.IFS(EmployeeData[[#This Row],[Status]]="Exited",DATEDIF(EmployeeData[[#This Row],[Join Date]], EmployeeData[[#This Row],[Exit Date]], "Y"),EmployeeData[[#This Row],[Status]]="Active",DATEDIF(EmployeeData[[#This Row],[Join Date]], TODAY(), "Y"))</f>
        <v>2</v>
      </c>
      <c r="Q874" t="str" cm="1">
        <f t="array" aca="1" ref="Q8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16 days</v>
      </c>
    </row>
    <row r="875" spans="1:17" hidden="1" x14ac:dyDescent="0.3">
      <c r="A875">
        <v>1874</v>
      </c>
      <c r="B875" t="s">
        <v>703</v>
      </c>
      <c r="C875" t="s">
        <v>33</v>
      </c>
      <c r="D875" t="s">
        <v>24</v>
      </c>
      <c r="E875">
        <v>42</v>
      </c>
      <c r="F875" t="str" cm="1">
        <f t="array" ref="F875">_xlfn.IFS(EmployeeData[[#This Row],[Age]]&lt;30,"20s",EmployeeData[[#This Row],[Age]]&lt;40,"30s",EmployeeData[[#This Row],[Age]]&lt;50,"40s",EmployeeData[[#This Row],[Age]]&lt;60,"50s",EmployeeData[[#This Row],[Age]]&gt;=60,"60s")</f>
        <v>40s</v>
      </c>
      <c r="G875" s="5">
        <v>45767</v>
      </c>
      <c r="I875" t="s">
        <v>17</v>
      </c>
      <c r="J875" t="s">
        <v>18</v>
      </c>
      <c r="K875" cm="1">
        <f t="array" aca="1" ref="K875" ca="1">_xlfn.IFS(EmployeeData[[#This Row],[Status]]="Active",_xlfn.DAYS(TODAY(),EmployeeData[[#This Row],[Join Date]]),EmployeeData[[#This Row],[Status]]="Exited",_xlfn.DAYS(EmployeeData[[#This Row],[Exit Date]],EmployeeData[[#This Row],[Join Date]]))</f>
        <v>430</v>
      </c>
      <c r="L875" cm="1">
        <f t="array" aca="1" ref="L875" ca="1">_xlfn.IFS(EmployeeData[[#This Row],[Status]]="Exited",DATEDIF(EmployeeData[[#This Row],[Join Date]], EmployeeData[[#This Row],[Exit Date]], "Y"),EmployeeData[[#This Row],[Status]]="Active",DATEDIF(EmployeeData[[#This Row],[Join Date]], TODAY(), "Y"))</f>
        <v>1</v>
      </c>
      <c r="Q875" t="str" cm="1">
        <f t="array" aca="1" ref="Q8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76" spans="1:17" hidden="1" x14ac:dyDescent="0.3">
      <c r="A876">
        <v>1875</v>
      </c>
      <c r="B876" t="s">
        <v>585</v>
      </c>
      <c r="C876" t="s">
        <v>15</v>
      </c>
      <c r="D876" t="s">
        <v>16</v>
      </c>
      <c r="E876">
        <v>25</v>
      </c>
      <c r="F876" t="str" cm="1">
        <f t="array" ref="F876">_xlfn.IFS(EmployeeData[[#This Row],[Age]]&lt;30,"20s",EmployeeData[[#This Row],[Age]]&lt;40,"30s",EmployeeData[[#This Row],[Age]]&lt;50,"40s",EmployeeData[[#This Row],[Age]]&lt;60,"50s",EmployeeData[[#This Row],[Age]]&gt;=60,"60s")</f>
        <v>20s</v>
      </c>
      <c r="G876" s="5">
        <v>45529</v>
      </c>
      <c r="I876" t="s">
        <v>17</v>
      </c>
      <c r="J876" t="s">
        <v>18</v>
      </c>
      <c r="K876" cm="1">
        <f t="array" aca="1" ref="K876" ca="1">_xlfn.IFS(EmployeeData[[#This Row],[Status]]="Active",_xlfn.DAYS(TODAY(),EmployeeData[[#This Row],[Join Date]]),EmployeeData[[#This Row],[Status]]="Exited",_xlfn.DAYS(EmployeeData[[#This Row],[Exit Date]],EmployeeData[[#This Row],[Join Date]]))</f>
        <v>668</v>
      </c>
      <c r="L876" cm="1">
        <f t="array" aca="1" ref="L876" ca="1">_xlfn.IFS(EmployeeData[[#This Row],[Status]]="Exited",DATEDIF(EmployeeData[[#This Row],[Join Date]], EmployeeData[[#This Row],[Exit Date]], "Y"),EmployeeData[[#This Row],[Status]]="Active",DATEDIF(EmployeeData[[#This Row],[Join Date]], TODAY(), "Y"))</f>
        <v>1</v>
      </c>
      <c r="Q876" t="str" cm="1">
        <f t="array" aca="1" ref="Q8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30 days</v>
      </c>
    </row>
    <row r="877" spans="1:17" hidden="1" x14ac:dyDescent="0.3">
      <c r="A877">
        <v>1876</v>
      </c>
      <c r="B877" t="s">
        <v>631</v>
      </c>
      <c r="C877" t="s">
        <v>10</v>
      </c>
      <c r="D877" t="s">
        <v>24</v>
      </c>
      <c r="E877">
        <v>49</v>
      </c>
      <c r="F877" t="str" cm="1">
        <f t="array" ref="F877">_xlfn.IFS(EmployeeData[[#This Row],[Age]]&lt;30,"20s",EmployeeData[[#This Row],[Age]]&lt;40,"30s",EmployeeData[[#This Row],[Age]]&lt;50,"40s",EmployeeData[[#This Row],[Age]]&lt;60,"50s",EmployeeData[[#This Row],[Age]]&gt;=60,"60s")</f>
        <v>40s</v>
      </c>
      <c r="G877" s="5">
        <v>43862</v>
      </c>
      <c r="H877" s="5">
        <v>44132</v>
      </c>
      <c r="I877" t="s">
        <v>31</v>
      </c>
      <c r="J877" t="s">
        <v>13</v>
      </c>
      <c r="K877" cm="1">
        <f t="array" aca="1" ref="K877" ca="1">_xlfn.IFS(EmployeeData[[#This Row],[Status]]="Active",_xlfn.DAYS(TODAY(),EmployeeData[[#This Row],[Join Date]]),EmployeeData[[#This Row],[Status]]="Exited",_xlfn.DAYS(EmployeeData[[#This Row],[Exit Date]],EmployeeData[[#This Row],[Join Date]]))</f>
        <v>270</v>
      </c>
      <c r="L877" cm="1">
        <f t="array" aca="1" ref="L877" ca="1">_xlfn.IFS(EmployeeData[[#This Row],[Status]]="Exited",DATEDIF(EmployeeData[[#This Row],[Join Date]], EmployeeData[[#This Row],[Exit Date]], "Y"),EmployeeData[[#This Row],[Status]]="Active",DATEDIF(EmployeeData[[#This Row],[Join Date]], TODAY(), "Y"))</f>
        <v>0</v>
      </c>
      <c r="Q877" t="str" cm="1">
        <f t="array" aca="1" ref="Q8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78" spans="1:17" hidden="1" x14ac:dyDescent="0.3">
      <c r="A878">
        <v>1877</v>
      </c>
      <c r="B878" t="s">
        <v>845</v>
      </c>
      <c r="C878" t="s">
        <v>10</v>
      </c>
      <c r="D878" t="s">
        <v>11</v>
      </c>
      <c r="E878">
        <v>30</v>
      </c>
      <c r="F878" t="str" cm="1">
        <f t="array" ref="F878">_xlfn.IFS(EmployeeData[[#This Row],[Age]]&lt;30,"20s",EmployeeData[[#This Row],[Age]]&lt;40,"30s",EmployeeData[[#This Row],[Age]]&lt;50,"40s",EmployeeData[[#This Row],[Age]]&lt;60,"50s",EmployeeData[[#This Row],[Age]]&gt;=60,"60s")</f>
        <v>30s</v>
      </c>
      <c r="G878" s="5">
        <v>43704</v>
      </c>
      <c r="I878" t="s">
        <v>17</v>
      </c>
      <c r="J878" t="s">
        <v>18</v>
      </c>
      <c r="K878" cm="1">
        <f t="array" aca="1" ref="K878" ca="1">_xlfn.IFS(EmployeeData[[#This Row],[Status]]="Active",_xlfn.DAYS(TODAY(),EmployeeData[[#This Row],[Join Date]]),EmployeeData[[#This Row],[Status]]="Exited",_xlfn.DAYS(EmployeeData[[#This Row],[Exit Date]],EmployeeData[[#This Row],[Join Date]]))</f>
        <v>2493</v>
      </c>
      <c r="L878" cm="1">
        <f t="array" aca="1" ref="L878" ca="1">_xlfn.IFS(EmployeeData[[#This Row],[Status]]="Exited",DATEDIF(EmployeeData[[#This Row],[Join Date]], EmployeeData[[#This Row],[Exit Date]], "Y"),EmployeeData[[#This Row],[Status]]="Active",DATEDIF(EmployeeData[[#This Row],[Join Date]], TODAY(), "Y"))</f>
        <v>6</v>
      </c>
      <c r="Q878" t="str" cm="1">
        <f t="array" aca="1" ref="Q8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879" spans="1:17" x14ac:dyDescent="0.3">
      <c r="A879">
        <v>1878</v>
      </c>
      <c r="B879" t="s">
        <v>639</v>
      </c>
      <c r="C879" t="s">
        <v>23</v>
      </c>
      <c r="D879" t="s">
        <v>24</v>
      </c>
      <c r="E879">
        <v>30</v>
      </c>
      <c r="F879" t="str" cm="1">
        <f t="array" ref="F879">_xlfn.IFS(EmployeeData[[#This Row],[Age]]&lt;30,"20s",EmployeeData[[#This Row],[Age]]&lt;40,"30s",EmployeeData[[#This Row],[Age]]&lt;50,"40s",EmployeeData[[#This Row],[Age]]&lt;60,"50s",EmployeeData[[#This Row],[Age]]&gt;=60,"60s")</f>
        <v>30s</v>
      </c>
      <c r="G879" s="5">
        <v>43335</v>
      </c>
      <c r="H879" s="5">
        <v>43648</v>
      </c>
      <c r="I879" t="s">
        <v>12</v>
      </c>
      <c r="J879" t="s">
        <v>13</v>
      </c>
      <c r="K879" cm="1">
        <f t="array" aca="1" ref="K879" ca="1">_xlfn.IFS(EmployeeData[[#This Row],[Status]]="Active",_xlfn.DAYS(TODAY(),EmployeeData[[#This Row],[Join Date]]),EmployeeData[[#This Row],[Status]]="Exited",_xlfn.DAYS(EmployeeData[[#This Row],[Exit Date]],EmployeeData[[#This Row],[Join Date]]))</f>
        <v>313</v>
      </c>
      <c r="L879" cm="1">
        <f t="array" aca="1" ref="L879" ca="1">_xlfn.IFS(EmployeeData[[#This Row],[Status]]="Exited",DATEDIF(EmployeeData[[#This Row],[Join Date]], EmployeeData[[#This Row],[Exit Date]], "Y"),EmployeeData[[#This Row],[Status]]="Active",DATEDIF(EmployeeData[[#This Row],[Join Date]], TODAY(), "Y"))</f>
        <v>0</v>
      </c>
      <c r="Q879" t="str" cm="1">
        <f t="array" aca="1" ref="Q8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880" spans="1:17" hidden="1" x14ac:dyDescent="0.3">
      <c r="A880">
        <v>1879</v>
      </c>
      <c r="B880" t="s">
        <v>63</v>
      </c>
      <c r="C880" t="s">
        <v>15</v>
      </c>
      <c r="D880" t="s">
        <v>16</v>
      </c>
      <c r="E880">
        <v>33</v>
      </c>
      <c r="F880" t="str" cm="1">
        <f t="array" ref="F880">_xlfn.IFS(EmployeeData[[#This Row],[Age]]&lt;30,"20s",EmployeeData[[#This Row],[Age]]&lt;40,"30s",EmployeeData[[#This Row],[Age]]&lt;50,"40s",EmployeeData[[#This Row],[Age]]&lt;60,"50s",EmployeeData[[#This Row],[Age]]&gt;=60,"60s")</f>
        <v>30s</v>
      </c>
      <c r="G880" s="5">
        <v>45836</v>
      </c>
      <c r="I880" t="s">
        <v>17</v>
      </c>
      <c r="J880" t="s">
        <v>18</v>
      </c>
      <c r="K880" cm="1">
        <f t="array" aca="1" ref="K880" ca="1">_xlfn.IFS(EmployeeData[[#This Row],[Status]]="Active",_xlfn.DAYS(TODAY(),EmployeeData[[#This Row],[Join Date]]),EmployeeData[[#This Row],[Status]]="Exited",_xlfn.DAYS(EmployeeData[[#This Row],[Exit Date]],EmployeeData[[#This Row],[Join Date]]))</f>
        <v>361</v>
      </c>
      <c r="L880" cm="1">
        <f t="array" aca="1" ref="L880" ca="1">_xlfn.IFS(EmployeeData[[#This Row],[Status]]="Exited",DATEDIF(EmployeeData[[#This Row],[Join Date]], EmployeeData[[#This Row],[Exit Date]], "Y"),EmployeeData[[#This Row],[Status]]="Active",DATEDIF(EmployeeData[[#This Row],[Join Date]], TODAY(), "Y"))</f>
        <v>0</v>
      </c>
      <c r="Q880" t="str" cm="1">
        <f t="array" aca="1" ref="Q8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27 days</v>
      </c>
    </row>
    <row r="881" spans="1:17" hidden="1" x14ac:dyDescent="0.3">
      <c r="A881">
        <v>1880</v>
      </c>
      <c r="B881" t="s">
        <v>147</v>
      </c>
      <c r="C881" t="s">
        <v>33</v>
      </c>
      <c r="D881" t="s">
        <v>24</v>
      </c>
      <c r="E881">
        <v>42</v>
      </c>
      <c r="F881" t="str" cm="1">
        <f t="array" ref="F881">_xlfn.IFS(EmployeeData[[#This Row],[Age]]&lt;30,"20s",EmployeeData[[#This Row],[Age]]&lt;40,"30s",EmployeeData[[#This Row],[Age]]&lt;50,"40s",EmployeeData[[#This Row],[Age]]&lt;60,"50s",EmployeeData[[#This Row],[Age]]&gt;=60,"60s")</f>
        <v>40s</v>
      </c>
      <c r="G881" s="5">
        <v>45624</v>
      </c>
      <c r="H881" s="5">
        <v>45882</v>
      </c>
      <c r="I881" t="s">
        <v>31</v>
      </c>
      <c r="J881" t="s">
        <v>13</v>
      </c>
      <c r="K881" cm="1">
        <f t="array" aca="1" ref="K881" ca="1">_xlfn.IFS(EmployeeData[[#This Row],[Status]]="Active",_xlfn.DAYS(TODAY(),EmployeeData[[#This Row],[Join Date]]),EmployeeData[[#This Row],[Status]]="Exited",_xlfn.DAYS(EmployeeData[[#This Row],[Exit Date]],EmployeeData[[#This Row],[Join Date]]))</f>
        <v>258</v>
      </c>
      <c r="L881" cm="1">
        <f t="array" aca="1" ref="L881" ca="1">_xlfn.IFS(EmployeeData[[#This Row],[Status]]="Exited",DATEDIF(EmployeeData[[#This Row],[Join Date]], EmployeeData[[#This Row],[Exit Date]], "Y"),EmployeeData[[#This Row],[Status]]="Active",DATEDIF(EmployeeData[[#This Row],[Join Date]], TODAY(), "Y"))</f>
        <v>0</v>
      </c>
      <c r="Q881" t="str" cm="1">
        <f t="array" aca="1" ref="Q8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882" spans="1:17" hidden="1" x14ac:dyDescent="0.3">
      <c r="A882">
        <v>1881</v>
      </c>
      <c r="B882" t="s">
        <v>740</v>
      </c>
      <c r="C882" t="s">
        <v>23</v>
      </c>
      <c r="D882" t="s">
        <v>11</v>
      </c>
      <c r="E882">
        <v>50</v>
      </c>
      <c r="F882" t="str" cm="1">
        <f t="array" ref="F882">_xlfn.IFS(EmployeeData[[#This Row],[Age]]&lt;30,"20s",EmployeeData[[#This Row],[Age]]&lt;40,"30s",EmployeeData[[#This Row],[Age]]&lt;50,"40s",EmployeeData[[#This Row],[Age]]&lt;60,"50s",EmployeeData[[#This Row],[Age]]&gt;=60,"60s")</f>
        <v>50s</v>
      </c>
      <c r="G882" s="5">
        <v>45656</v>
      </c>
      <c r="H882" s="5">
        <v>45992</v>
      </c>
      <c r="I882" t="s">
        <v>34</v>
      </c>
      <c r="J882" t="s">
        <v>13</v>
      </c>
      <c r="K882" cm="1">
        <f t="array" aca="1" ref="K882" ca="1">_xlfn.IFS(EmployeeData[[#This Row],[Status]]="Active",_xlfn.DAYS(TODAY(),EmployeeData[[#This Row],[Join Date]]),EmployeeData[[#This Row],[Status]]="Exited",_xlfn.DAYS(EmployeeData[[#This Row],[Exit Date]],EmployeeData[[#This Row],[Join Date]]))</f>
        <v>336</v>
      </c>
      <c r="L882" cm="1">
        <f t="array" aca="1" ref="L882" ca="1">_xlfn.IFS(EmployeeData[[#This Row],[Status]]="Exited",DATEDIF(EmployeeData[[#This Row],[Join Date]], EmployeeData[[#This Row],[Exit Date]], "Y"),EmployeeData[[#This Row],[Status]]="Active",DATEDIF(EmployeeData[[#This Row],[Join Date]], TODAY(), "Y"))</f>
        <v>0</v>
      </c>
      <c r="Q882" t="str" cm="1">
        <f t="array" aca="1" ref="Q8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883" spans="1:17" x14ac:dyDescent="0.3">
      <c r="A883">
        <v>1882</v>
      </c>
      <c r="B883" t="s">
        <v>283</v>
      </c>
      <c r="C883" t="s">
        <v>15</v>
      </c>
      <c r="D883" t="s">
        <v>11</v>
      </c>
      <c r="E883">
        <v>44</v>
      </c>
      <c r="F883" t="str" cm="1">
        <f t="array" ref="F883">_xlfn.IFS(EmployeeData[[#This Row],[Age]]&lt;30,"20s",EmployeeData[[#This Row],[Age]]&lt;40,"30s",EmployeeData[[#This Row],[Age]]&lt;50,"40s",EmployeeData[[#This Row],[Age]]&lt;60,"50s",EmployeeData[[#This Row],[Age]]&gt;=60,"60s")</f>
        <v>40s</v>
      </c>
      <c r="G883" s="5">
        <v>43141</v>
      </c>
      <c r="H883" s="5">
        <v>43353</v>
      </c>
      <c r="I883" t="s">
        <v>65</v>
      </c>
      <c r="J883" t="s">
        <v>13</v>
      </c>
      <c r="K883" cm="1">
        <f t="array" aca="1" ref="K883" ca="1">_xlfn.IFS(EmployeeData[[#This Row],[Status]]="Active",_xlfn.DAYS(TODAY(),EmployeeData[[#This Row],[Join Date]]),EmployeeData[[#This Row],[Status]]="Exited",_xlfn.DAYS(EmployeeData[[#This Row],[Exit Date]],EmployeeData[[#This Row],[Join Date]]))</f>
        <v>212</v>
      </c>
      <c r="L883" cm="1">
        <f t="array" aca="1" ref="L883" ca="1">_xlfn.IFS(EmployeeData[[#This Row],[Status]]="Exited",DATEDIF(EmployeeData[[#This Row],[Join Date]], EmployeeData[[#This Row],[Exit Date]], "Y"),EmployeeData[[#This Row],[Status]]="Active",DATEDIF(EmployeeData[[#This Row],[Join Date]], TODAY(), "Y"))</f>
        <v>0</v>
      </c>
      <c r="Q883" t="str" cm="1">
        <f t="array" aca="1" ref="Q8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884" spans="1:17" hidden="1" x14ac:dyDescent="0.3">
      <c r="A884">
        <v>1883</v>
      </c>
      <c r="B884" t="s">
        <v>1021</v>
      </c>
      <c r="C884" t="s">
        <v>15</v>
      </c>
      <c r="D884" t="s">
        <v>16</v>
      </c>
      <c r="E884">
        <v>55</v>
      </c>
      <c r="F884" t="str" cm="1">
        <f t="array" ref="F884">_xlfn.IFS(EmployeeData[[#This Row],[Age]]&lt;30,"20s",EmployeeData[[#This Row],[Age]]&lt;40,"30s",EmployeeData[[#This Row],[Age]]&lt;50,"40s",EmployeeData[[#This Row],[Age]]&lt;60,"50s",EmployeeData[[#This Row],[Age]]&gt;=60,"60s")</f>
        <v>50s</v>
      </c>
      <c r="G884" s="5">
        <v>44264</v>
      </c>
      <c r="H884" s="5">
        <v>46167</v>
      </c>
      <c r="I884" t="s">
        <v>26</v>
      </c>
      <c r="J884" t="s">
        <v>13</v>
      </c>
      <c r="K884" cm="1">
        <f t="array" aca="1" ref="K884" ca="1">_xlfn.IFS(EmployeeData[[#This Row],[Status]]="Active",_xlfn.DAYS(TODAY(),EmployeeData[[#This Row],[Join Date]]),EmployeeData[[#This Row],[Status]]="Exited",_xlfn.DAYS(EmployeeData[[#This Row],[Exit Date]],EmployeeData[[#This Row],[Join Date]]))</f>
        <v>1903</v>
      </c>
      <c r="L884" cm="1">
        <f t="array" aca="1" ref="L884" ca="1">_xlfn.IFS(EmployeeData[[#This Row],[Status]]="Exited",DATEDIF(EmployeeData[[#This Row],[Join Date]], EmployeeData[[#This Row],[Exit Date]], "Y"),EmployeeData[[#This Row],[Status]]="Active",DATEDIF(EmployeeData[[#This Row],[Join Date]], TODAY(), "Y"))</f>
        <v>5</v>
      </c>
      <c r="Q884" t="str" cm="1">
        <f t="array" aca="1" ref="Q8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885" spans="1:17" x14ac:dyDescent="0.3">
      <c r="A885">
        <v>1884</v>
      </c>
      <c r="B885" t="s">
        <v>555</v>
      </c>
      <c r="C885" t="s">
        <v>15</v>
      </c>
      <c r="D885" t="s">
        <v>11</v>
      </c>
      <c r="E885">
        <v>27</v>
      </c>
      <c r="F885" t="str" cm="1">
        <f t="array" ref="F885">_xlfn.IFS(EmployeeData[[#This Row],[Age]]&lt;30,"20s",EmployeeData[[#This Row],[Age]]&lt;40,"30s",EmployeeData[[#This Row],[Age]]&lt;50,"40s",EmployeeData[[#This Row],[Age]]&lt;60,"50s",EmployeeData[[#This Row],[Age]]&gt;=60,"60s")</f>
        <v>20s</v>
      </c>
      <c r="G885" s="5">
        <v>43186</v>
      </c>
      <c r="I885" t="s">
        <v>17</v>
      </c>
      <c r="J885" t="s">
        <v>18</v>
      </c>
      <c r="K885" cm="1">
        <f t="array" aca="1" ref="K885" ca="1">_xlfn.IFS(EmployeeData[[#This Row],[Status]]="Active",_xlfn.DAYS(TODAY(),EmployeeData[[#This Row],[Join Date]]),EmployeeData[[#This Row],[Status]]="Exited",_xlfn.DAYS(EmployeeData[[#This Row],[Exit Date]],EmployeeData[[#This Row],[Join Date]]))</f>
        <v>3011</v>
      </c>
      <c r="L885" cm="1">
        <f t="array" aca="1" ref="L885" ca="1">_xlfn.IFS(EmployeeData[[#This Row],[Status]]="Exited",DATEDIF(EmployeeData[[#This Row],[Join Date]], EmployeeData[[#This Row],[Exit Date]], "Y"),EmployeeData[[#This Row],[Status]]="Active",DATEDIF(EmployeeData[[#This Row],[Join Date]], TODAY(), "Y"))</f>
        <v>8</v>
      </c>
      <c r="Q885" t="str" cm="1">
        <f t="array" aca="1" ref="Q8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28 days</v>
      </c>
    </row>
    <row r="886" spans="1:17" hidden="1" x14ac:dyDescent="0.3">
      <c r="A886">
        <v>1885</v>
      </c>
      <c r="B886" t="s">
        <v>1015</v>
      </c>
      <c r="C886" t="s">
        <v>33</v>
      </c>
      <c r="D886" t="s">
        <v>24</v>
      </c>
      <c r="E886">
        <v>34</v>
      </c>
      <c r="F886" t="str" cm="1">
        <f t="array" ref="F886">_xlfn.IFS(EmployeeData[[#This Row],[Age]]&lt;30,"20s",EmployeeData[[#This Row],[Age]]&lt;40,"30s",EmployeeData[[#This Row],[Age]]&lt;50,"40s",EmployeeData[[#This Row],[Age]]&lt;60,"50s",EmployeeData[[#This Row],[Age]]&gt;=60,"60s")</f>
        <v>30s</v>
      </c>
      <c r="G886" s="5">
        <v>44350</v>
      </c>
      <c r="I886" t="s">
        <v>17</v>
      </c>
      <c r="J886" t="s">
        <v>18</v>
      </c>
      <c r="K886" cm="1">
        <f t="array" aca="1" ref="K886" ca="1">_xlfn.IFS(EmployeeData[[#This Row],[Status]]="Active",_xlfn.DAYS(TODAY(),EmployeeData[[#This Row],[Join Date]]),EmployeeData[[#This Row],[Status]]="Exited",_xlfn.DAYS(EmployeeData[[#This Row],[Exit Date]],EmployeeData[[#This Row],[Join Date]]))</f>
        <v>1847</v>
      </c>
      <c r="L886" cm="1">
        <f t="array" aca="1" ref="L886" ca="1">_xlfn.IFS(EmployeeData[[#This Row],[Status]]="Exited",DATEDIF(EmployeeData[[#This Row],[Join Date]], EmployeeData[[#This Row],[Exit Date]], "Y"),EmployeeData[[#This Row],[Status]]="Active",DATEDIF(EmployeeData[[#This Row],[Join Date]], TODAY(), "Y"))</f>
        <v>5</v>
      </c>
      <c r="Q886" t="str" cm="1">
        <f t="array" aca="1" ref="Q8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21 days</v>
      </c>
    </row>
    <row r="887" spans="1:17" x14ac:dyDescent="0.3">
      <c r="A887">
        <v>1886</v>
      </c>
      <c r="B887" t="s">
        <v>848</v>
      </c>
      <c r="C887" t="s">
        <v>46</v>
      </c>
      <c r="D887" t="s">
        <v>11</v>
      </c>
      <c r="E887">
        <v>48</v>
      </c>
      <c r="F887" t="str" cm="1">
        <f t="array" ref="F887">_xlfn.IFS(EmployeeData[[#This Row],[Age]]&lt;30,"20s",EmployeeData[[#This Row],[Age]]&lt;40,"30s",EmployeeData[[#This Row],[Age]]&lt;50,"40s",EmployeeData[[#This Row],[Age]]&lt;60,"50s",EmployeeData[[#This Row],[Age]]&gt;=60,"60s")</f>
        <v>40s</v>
      </c>
      <c r="G887" s="5">
        <v>43368</v>
      </c>
      <c r="H887" s="5">
        <v>43993</v>
      </c>
      <c r="I887" t="s">
        <v>52</v>
      </c>
      <c r="J887" t="s">
        <v>13</v>
      </c>
      <c r="K887" cm="1">
        <f t="array" aca="1" ref="K887" ca="1">_xlfn.IFS(EmployeeData[[#This Row],[Status]]="Active",_xlfn.DAYS(TODAY(),EmployeeData[[#This Row],[Join Date]]),EmployeeData[[#This Row],[Status]]="Exited",_xlfn.DAYS(EmployeeData[[#This Row],[Exit Date]],EmployeeData[[#This Row],[Join Date]]))</f>
        <v>625</v>
      </c>
      <c r="L887" cm="1">
        <f t="array" aca="1" ref="L887" ca="1">_xlfn.IFS(EmployeeData[[#This Row],[Status]]="Exited",DATEDIF(EmployeeData[[#This Row],[Join Date]], EmployeeData[[#This Row],[Exit Date]], "Y"),EmployeeData[[#This Row],[Status]]="Active",DATEDIF(EmployeeData[[#This Row],[Join Date]], TODAY(), "Y"))</f>
        <v>1</v>
      </c>
      <c r="Q887" t="str" cm="1">
        <f t="array" aca="1" ref="Q8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888" spans="1:17" x14ac:dyDescent="0.3">
      <c r="A888">
        <v>1887</v>
      </c>
      <c r="B888" t="s">
        <v>828</v>
      </c>
      <c r="C888" t="s">
        <v>10</v>
      </c>
      <c r="D888" t="s">
        <v>24</v>
      </c>
      <c r="E888">
        <v>36</v>
      </c>
      <c r="F888" t="str" cm="1">
        <f t="array" ref="F888">_xlfn.IFS(EmployeeData[[#This Row],[Age]]&lt;30,"20s",EmployeeData[[#This Row],[Age]]&lt;40,"30s",EmployeeData[[#This Row],[Age]]&lt;50,"40s",EmployeeData[[#This Row],[Age]]&lt;60,"50s",EmployeeData[[#This Row],[Age]]&gt;=60,"60s")</f>
        <v>30s</v>
      </c>
      <c r="G888" s="5">
        <v>43290</v>
      </c>
      <c r="I888" t="s">
        <v>17</v>
      </c>
      <c r="J888" t="s">
        <v>18</v>
      </c>
      <c r="K888" cm="1">
        <f t="array" aca="1" ref="K888" ca="1">_xlfn.IFS(EmployeeData[[#This Row],[Status]]="Active",_xlfn.DAYS(TODAY(),EmployeeData[[#This Row],[Join Date]]),EmployeeData[[#This Row],[Status]]="Exited",_xlfn.DAYS(EmployeeData[[#This Row],[Exit Date]],EmployeeData[[#This Row],[Join Date]]))</f>
        <v>2907</v>
      </c>
      <c r="L888" cm="1">
        <f t="array" aca="1" ref="L888" ca="1">_xlfn.IFS(EmployeeData[[#This Row],[Status]]="Exited",DATEDIF(EmployeeData[[#This Row],[Join Date]], EmployeeData[[#This Row],[Exit Date]], "Y"),EmployeeData[[#This Row],[Status]]="Active",DATEDIF(EmployeeData[[#This Row],[Join Date]], TODAY(), "Y"))</f>
        <v>7</v>
      </c>
      <c r="Q888" t="str" cm="1">
        <f t="array" aca="1" ref="Q8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15 days</v>
      </c>
    </row>
    <row r="889" spans="1:17" x14ac:dyDescent="0.3">
      <c r="A889">
        <v>1888</v>
      </c>
      <c r="B889" t="s">
        <v>58</v>
      </c>
      <c r="C889" t="s">
        <v>10</v>
      </c>
      <c r="D889" t="s">
        <v>16</v>
      </c>
      <c r="E889">
        <v>36</v>
      </c>
      <c r="F889" t="str" cm="1">
        <f t="array" ref="F889">_xlfn.IFS(EmployeeData[[#This Row],[Age]]&lt;30,"20s",EmployeeData[[#This Row],[Age]]&lt;40,"30s",EmployeeData[[#This Row],[Age]]&lt;50,"40s",EmployeeData[[#This Row],[Age]]&lt;60,"50s",EmployeeData[[#This Row],[Age]]&gt;=60,"60s")</f>
        <v>30s</v>
      </c>
      <c r="G889" s="5">
        <v>43319</v>
      </c>
      <c r="I889" t="s">
        <v>17</v>
      </c>
      <c r="J889" t="s">
        <v>18</v>
      </c>
      <c r="K889" cm="1">
        <f t="array" aca="1" ref="K889" ca="1">_xlfn.IFS(EmployeeData[[#This Row],[Status]]="Active",_xlfn.DAYS(TODAY(),EmployeeData[[#This Row],[Join Date]]),EmployeeData[[#This Row],[Status]]="Exited",_xlfn.DAYS(EmployeeData[[#This Row],[Exit Date]],EmployeeData[[#This Row],[Join Date]]))</f>
        <v>2878</v>
      </c>
      <c r="L889" cm="1">
        <f t="array" aca="1" ref="L889" ca="1">_xlfn.IFS(EmployeeData[[#This Row],[Status]]="Exited",DATEDIF(EmployeeData[[#This Row],[Join Date]], EmployeeData[[#This Row],[Exit Date]], "Y"),EmployeeData[[#This Row],[Status]]="Active",DATEDIF(EmployeeData[[#This Row],[Join Date]], TODAY(), "Y"))</f>
        <v>7</v>
      </c>
      <c r="Q889" t="str" cm="1">
        <f t="array" aca="1" ref="Q8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17 days</v>
      </c>
    </row>
    <row r="890" spans="1:17" x14ac:dyDescent="0.3">
      <c r="A890">
        <v>1889</v>
      </c>
      <c r="B890" t="s">
        <v>281</v>
      </c>
      <c r="C890" t="s">
        <v>46</v>
      </c>
      <c r="D890" t="s">
        <v>11</v>
      </c>
      <c r="E890">
        <v>34</v>
      </c>
      <c r="F890" t="str" cm="1">
        <f t="array" ref="F890">_xlfn.IFS(EmployeeData[[#This Row],[Age]]&lt;30,"20s",EmployeeData[[#This Row],[Age]]&lt;40,"30s",EmployeeData[[#This Row],[Age]]&lt;50,"40s",EmployeeData[[#This Row],[Age]]&lt;60,"50s",EmployeeData[[#This Row],[Age]]&gt;=60,"60s")</f>
        <v>30s</v>
      </c>
      <c r="G890" s="5">
        <v>43434</v>
      </c>
      <c r="I890" t="s">
        <v>17</v>
      </c>
      <c r="J890" t="s">
        <v>18</v>
      </c>
      <c r="K890" cm="1">
        <f t="array" aca="1" ref="K890" ca="1">_xlfn.IFS(EmployeeData[[#This Row],[Status]]="Active",_xlfn.DAYS(TODAY(),EmployeeData[[#This Row],[Join Date]]),EmployeeData[[#This Row],[Status]]="Exited",_xlfn.DAYS(EmployeeData[[#This Row],[Exit Date]],EmployeeData[[#This Row],[Join Date]]))</f>
        <v>2763</v>
      </c>
      <c r="L890" cm="1">
        <f t="array" aca="1" ref="L890" ca="1">_xlfn.IFS(EmployeeData[[#This Row],[Status]]="Exited",DATEDIF(EmployeeData[[#This Row],[Join Date]], EmployeeData[[#This Row],[Exit Date]], "Y"),EmployeeData[[#This Row],[Status]]="Active",DATEDIF(EmployeeData[[#This Row],[Join Date]], TODAY(), "Y"))</f>
        <v>7</v>
      </c>
      <c r="Q890" t="str" cm="1">
        <f t="array" aca="1" ref="Q8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25 days</v>
      </c>
    </row>
    <row r="891" spans="1:17" hidden="1" x14ac:dyDescent="0.3">
      <c r="A891">
        <v>1890</v>
      </c>
      <c r="B891" t="s">
        <v>693</v>
      </c>
      <c r="C891" t="s">
        <v>20</v>
      </c>
      <c r="D891" t="s">
        <v>24</v>
      </c>
      <c r="E891">
        <v>53</v>
      </c>
      <c r="F891" t="str" cm="1">
        <f t="array" ref="F891">_xlfn.IFS(EmployeeData[[#This Row],[Age]]&lt;30,"20s",EmployeeData[[#This Row],[Age]]&lt;40,"30s",EmployeeData[[#This Row],[Age]]&lt;50,"40s",EmployeeData[[#This Row],[Age]]&lt;60,"50s",EmployeeData[[#This Row],[Age]]&gt;=60,"60s")</f>
        <v>50s</v>
      </c>
      <c r="G891" s="5">
        <v>44633</v>
      </c>
      <c r="I891" t="s">
        <v>17</v>
      </c>
      <c r="J891" t="s">
        <v>18</v>
      </c>
      <c r="K891" cm="1">
        <f t="array" aca="1" ref="K891" ca="1">_xlfn.IFS(EmployeeData[[#This Row],[Status]]="Active",_xlfn.DAYS(TODAY(),EmployeeData[[#This Row],[Join Date]]),EmployeeData[[#This Row],[Status]]="Exited",_xlfn.DAYS(EmployeeData[[#This Row],[Exit Date]],EmployeeData[[#This Row],[Join Date]]))</f>
        <v>1564</v>
      </c>
      <c r="L891" cm="1">
        <f t="array" aca="1" ref="L891" ca="1">_xlfn.IFS(EmployeeData[[#This Row],[Status]]="Exited",DATEDIF(EmployeeData[[#This Row],[Join Date]], EmployeeData[[#This Row],[Exit Date]], "Y"),EmployeeData[[#This Row],[Status]]="Active",DATEDIF(EmployeeData[[#This Row],[Join Date]], TODAY(), "Y"))</f>
        <v>4</v>
      </c>
      <c r="Q891" t="str" cm="1">
        <f t="array" aca="1" ref="Q8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11 days</v>
      </c>
    </row>
    <row r="892" spans="1:17" hidden="1" x14ac:dyDescent="0.3">
      <c r="A892">
        <v>1891</v>
      </c>
      <c r="B892" t="s">
        <v>364</v>
      </c>
      <c r="C892" t="s">
        <v>23</v>
      </c>
      <c r="D892" t="s">
        <v>24</v>
      </c>
      <c r="E892">
        <v>52</v>
      </c>
      <c r="F892" t="str" cm="1">
        <f t="array" ref="F892">_xlfn.IFS(EmployeeData[[#This Row],[Age]]&lt;30,"20s",EmployeeData[[#This Row],[Age]]&lt;40,"30s",EmployeeData[[#This Row],[Age]]&lt;50,"40s",EmployeeData[[#This Row],[Age]]&lt;60,"50s",EmployeeData[[#This Row],[Age]]&gt;=60,"60s")</f>
        <v>50s</v>
      </c>
      <c r="G892" s="5">
        <v>45041</v>
      </c>
      <c r="H892" s="5">
        <v>45952</v>
      </c>
      <c r="I892" t="s">
        <v>28</v>
      </c>
      <c r="J892" t="s">
        <v>13</v>
      </c>
      <c r="K892" cm="1">
        <f t="array" aca="1" ref="K892" ca="1">_xlfn.IFS(EmployeeData[[#This Row],[Status]]="Active",_xlfn.DAYS(TODAY(),EmployeeData[[#This Row],[Join Date]]),EmployeeData[[#This Row],[Status]]="Exited",_xlfn.DAYS(EmployeeData[[#This Row],[Exit Date]],EmployeeData[[#This Row],[Join Date]]))</f>
        <v>911</v>
      </c>
      <c r="L892" cm="1">
        <f t="array" aca="1" ref="L892" ca="1">_xlfn.IFS(EmployeeData[[#This Row],[Status]]="Exited",DATEDIF(EmployeeData[[#This Row],[Join Date]], EmployeeData[[#This Row],[Exit Date]], "Y"),EmployeeData[[#This Row],[Status]]="Active",DATEDIF(EmployeeData[[#This Row],[Join Date]], TODAY(), "Y"))</f>
        <v>2</v>
      </c>
      <c r="Q892" t="str" cm="1">
        <f t="array" aca="1" ref="Q8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893" spans="1:17" hidden="1" x14ac:dyDescent="0.3">
      <c r="A893">
        <v>1892</v>
      </c>
      <c r="B893" t="s">
        <v>485</v>
      </c>
      <c r="C893" t="s">
        <v>33</v>
      </c>
      <c r="D893" t="s">
        <v>24</v>
      </c>
      <c r="E893">
        <v>36</v>
      </c>
      <c r="F893" t="str" cm="1">
        <f t="array" ref="F893">_xlfn.IFS(EmployeeData[[#This Row],[Age]]&lt;30,"20s",EmployeeData[[#This Row],[Age]]&lt;40,"30s",EmployeeData[[#This Row],[Age]]&lt;50,"40s",EmployeeData[[#This Row],[Age]]&lt;60,"50s",EmployeeData[[#This Row],[Age]]&gt;=60,"60s")</f>
        <v>30s</v>
      </c>
      <c r="G893" s="5">
        <v>44722</v>
      </c>
      <c r="H893" s="5">
        <v>45682</v>
      </c>
      <c r="I893" t="s">
        <v>52</v>
      </c>
      <c r="J893" t="s">
        <v>13</v>
      </c>
      <c r="K893" cm="1">
        <f t="array" aca="1" ref="K893" ca="1">_xlfn.IFS(EmployeeData[[#This Row],[Status]]="Active",_xlfn.DAYS(TODAY(),EmployeeData[[#This Row],[Join Date]]),EmployeeData[[#This Row],[Status]]="Exited",_xlfn.DAYS(EmployeeData[[#This Row],[Exit Date]],EmployeeData[[#This Row],[Join Date]]))</f>
        <v>960</v>
      </c>
      <c r="L893" cm="1">
        <f t="array" aca="1" ref="L893" ca="1">_xlfn.IFS(EmployeeData[[#This Row],[Status]]="Exited",DATEDIF(EmployeeData[[#This Row],[Join Date]], EmployeeData[[#This Row],[Exit Date]], "Y"),EmployeeData[[#This Row],[Status]]="Active",DATEDIF(EmployeeData[[#This Row],[Join Date]], TODAY(), "Y"))</f>
        <v>2</v>
      </c>
      <c r="Q893" t="str" cm="1">
        <f t="array" aca="1" ref="Q8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894" spans="1:17" x14ac:dyDescent="0.3">
      <c r="A894">
        <v>1893</v>
      </c>
      <c r="B894" t="s">
        <v>322</v>
      </c>
      <c r="C894" t="s">
        <v>10</v>
      </c>
      <c r="D894" t="s">
        <v>24</v>
      </c>
      <c r="E894">
        <v>51</v>
      </c>
      <c r="F894" t="str" cm="1">
        <f t="array" ref="F894">_xlfn.IFS(EmployeeData[[#This Row],[Age]]&lt;30,"20s",EmployeeData[[#This Row],[Age]]&lt;40,"30s",EmployeeData[[#This Row],[Age]]&lt;50,"40s",EmployeeData[[#This Row],[Age]]&lt;60,"50s",EmployeeData[[#This Row],[Age]]&gt;=60,"60s")</f>
        <v>50s</v>
      </c>
      <c r="G894" s="5">
        <v>43445</v>
      </c>
      <c r="H894" s="5">
        <v>44975</v>
      </c>
      <c r="I894" t="s">
        <v>26</v>
      </c>
      <c r="J894" t="s">
        <v>13</v>
      </c>
      <c r="K894" cm="1">
        <f t="array" aca="1" ref="K894" ca="1">_xlfn.IFS(EmployeeData[[#This Row],[Status]]="Active",_xlfn.DAYS(TODAY(),EmployeeData[[#This Row],[Join Date]]),EmployeeData[[#This Row],[Status]]="Exited",_xlfn.DAYS(EmployeeData[[#This Row],[Exit Date]],EmployeeData[[#This Row],[Join Date]]))</f>
        <v>1530</v>
      </c>
      <c r="L894" cm="1">
        <f t="array" aca="1" ref="L894" ca="1">_xlfn.IFS(EmployeeData[[#This Row],[Status]]="Exited",DATEDIF(EmployeeData[[#This Row],[Join Date]], EmployeeData[[#This Row],[Exit Date]], "Y"),EmployeeData[[#This Row],[Status]]="Active",DATEDIF(EmployeeData[[#This Row],[Join Date]], TODAY(), "Y"))</f>
        <v>4</v>
      </c>
      <c r="Q894" t="str" cm="1">
        <f t="array" aca="1" ref="Q8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895" spans="1:17" hidden="1" x14ac:dyDescent="0.3">
      <c r="A895">
        <v>1894</v>
      </c>
      <c r="B895" t="s">
        <v>719</v>
      </c>
      <c r="C895" t="s">
        <v>10</v>
      </c>
      <c r="D895" t="s">
        <v>24</v>
      </c>
      <c r="E895">
        <v>47</v>
      </c>
      <c r="F895" t="str" cm="1">
        <f t="array" ref="F895">_xlfn.IFS(EmployeeData[[#This Row],[Age]]&lt;30,"20s",EmployeeData[[#This Row],[Age]]&lt;40,"30s",EmployeeData[[#This Row],[Age]]&lt;50,"40s",EmployeeData[[#This Row],[Age]]&lt;60,"50s",EmployeeData[[#This Row],[Age]]&gt;=60,"60s")</f>
        <v>40s</v>
      </c>
      <c r="G895" s="5">
        <v>44606</v>
      </c>
      <c r="I895" t="s">
        <v>17</v>
      </c>
      <c r="J895" t="s">
        <v>18</v>
      </c>
      <c r="K895" cm="1">
        <f t="array" aca="1" ref="K895" ca="1">_xlfn.IFS(EmployeeData[[#This Row],[Status]]="Active",_xlfn.DAYS(TODAY(),EmployeeData[[#This Row],[Join Date]]),EmployeeData[[#This Row],[Status]]="Exited",_xlfn.DAYS(EmployeeData[[#This Row],[Exit Date]],EmployeeData[[#This Row],[Join Date]]))</f>
        <v>1591</v>
      </c>
      <c r="L895" cm="1">
        <f t="array" aca="1" ref="L895" ca="1">_xlfn.IFS(EmployeeData[[#This Row],[Status]]="Exited",DATEDIF(EmployeeData[[#This Row],[Join Date]], EmployeeData[[#This Row],[Exit Date]], "Y"),EmployeeData[[#This Row],[Status]]="Active",DATEDIF(EmployeeData[[#This Row],[Join Date]], TODAY(), "Y"))</f>
        <v>4</v>
      </c>
      <c r="Q895" t="str" cm="1">
        <f t="array" aca="1" ref="Q8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10 days</v>
      </c>
    </row>
    <row r="896" spans="1:17" hidden="1" x14ac:dyDescent="0.3">
      <c r="A896">
        <v>1895</v>
      </c>
      <c r="B896" t="s">
        <v>241</v>
      </c>
      <c r="C896" t="s">
        <v>10</v>
      </c>
      <c r="D896" t="s">
        <v>16</v>
      </c>
      <c r="E896">
        <v>25</v>
      </c>
      <c r="F896" t="str" cm="1">
        <f t="array" ref="F896">_xlfn.IFS(EmployeeData[[#This Row],[Age]]&lt;30,"20s",EmployeeData[[#This Row],[Age]]&lt;40,"30s",EmployeeData[[#This Row],[Age]]&lt;50,"40s",EmployeeData[[#This Row],[Age]]&lt;60,"50s",EmployeeData[[#This Row],[Age]]&gt;=60,"60s")</f>
        <v>20s</v>
      </c>
      <c r="G896" s="5">
        <v>44571</v>
      </c>
      <c r="I896" t="s">
        <v>17</v>
      </c>
      <c r="J896" t="s">
        <v>18</v>
      </c>
      <c r="K896" cm="1">
        <f t="array" aca="1" ref="K896" ca="1">_xlfn.IFS(EmployeeData[[#This Row],[Status]]="Active",_xlfn.DAYS(TODAY(),EmployeeData[[#This Row],[Join Date]]),EmployeeData[[#This Row],[Status]]="Exited",_xlfn.DAYS(EmployeeData[[#This Row],[Exit Date]],EmployeeData[[#This Row],[Join Date]]))</f>
        <v>1626</v>
      </c>
      <c r="L896" cm="1">
        <f t="array" aca="1" ref="L896" ca="1">_xlfn.IFS(EmployeeData[[#This Row],[Status]]="Exited",DATEDIF(EmployeeData[[#This Row],[Join Date]], EmployeeData[[#This Row],[Exit Date]], "Y"),EmployeeData[[#This Row],[Status]]="Active",DATEDIF(EmployeeData[[#This Row],[Join Date]], TODAY(), "Y"))</f>
        <v>4</v>
      </c>
      <c r="Q896" t="str" cm="1">
        <f t="array" aca="1" ref="Q8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14 days</v>
      </c>
    </row>
    <row r="897" spans="1:17" hidden="1" x14ac:dyDescent="0.3">
      <c r="A897">
        <v>1896</v>
      </c>
      <c r="B897" t="s">
        <v>616</v>
      </c>
      <c r="C897" t="s">
        <v>33</v>
      </c>
      <c r="D897" t="s">
        <v>11</v>
      </c>
      <c r="E897">
        <v>27</v>
      </c>
      <c r="F897" t="str" cm="1">
        <f t="array" ref="F897">_xlfn.IFS(EmployeeData[[#This Row],[Age]]&lt;30,"20s",EmployeeData[[#This Row],[Age]]&lt;40,"30s",EmployeeData[[#This Row],[Age]]&lt;50,"40s",EmployeeData[[#This Row],[Age]]&lt;60,"50s",EmployeeData[[#This Row],[Age]]&gt;=60,"60s")</f>
        <v>20s</v>
      </c>
      <c r="G897" s="5">
        <v>43586</v>
      </c>
      <c r="H897" s="5">
        <v>43832</v>
      </c>
      <c r="I897" t="s">
        <v>65</v>
      </c>
      <c r="J897" t="s">
        <v>13</v>
      </c>
      <c r="K897" cm="1">
        <f t="array" aca="1" ref="K897" ca="1">_xlfn.IFS(EmployeeData[[#This Row],[Status]]="Active",_xlfn.DAYS(TODAY(),EmployeeData[[#This Row],[Join Date]]),EmployeeData[[#This Row],[Status]]="Exited",_xlfn.DAYS(EmployeeData[[#This Row],[Exit Date]],EmployeeData[[#This Row],[Join Date]]))</f>
        <v>246</v>
      </c>
      <c r="L897" cm="1">
        <f t="array" aca="1" ref="L897" ca="1">_xlfn.IFS(EmployeeData[[#This Row],[Status]]="Exited",DATEDIF(EmployeeData[[#This Row],[Join Date]], EmployeeData[[#This Row],[Exit Date]], "Y"),EmployeeData[[#This Row],[Status]]="Active",DATEDIF(EmployeeData[[#This Row],[Join Date]], TODAY(), "Y"))</f>
        <v>0</v>
      </c>
      <c r="Q897" t="str" cm="1">
        <f t="array" aca="1" ref="Q8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898" spans="1:17" hidden="1" x14ac:dyDescent="0.3">
      <c r="A898">
        <v>1897</v>
      </c>
      <c r="B898" t="s">
        <v>607</v>
      </c>
      <c r="C898" t="s">
        <v>10</v>
      </c>
      <c r="D898" t="s">
        <v>11</v>
      </c>
      <c r="E898">
        <v>38</v>
      </c>
      <c r="F898" t="str" cm="1">
        <f t="array" ref="F898">_xlfn.IFS(EmployeeData[[#This Row],[Age]]&lt;30,"20s",EmployeeData[[#This Row],[Age]]&lt;40,"30s",EmployeeData[[#This Row],[Age]]&lt;50,"40s",EmployeeData[[#This Row],[Age]]&lt;60,"50s",EmployeeData[[#This Row],[Age]]&gt;=60,"60s")</f>
        <v>30s</v>
      </c>
      <c r="G898" s="5">
        <v>43881</v>
      </c>
      <c r="I898" t="s">
        <v>17</v>
      </c>
      <c r="J898" t="s">
        <v>18</v>
      </c>
      <c r="K898" cm="1">
        <f t="array" aca="1" ref="K898" ca="1">_xlfn.IFS(EmployeeData[[#This Row],[Status]]="Active",_xlfn.DAYS(TODAY(),EmployeeData[[#This Row],[Join Date]]),EmployeeData[[#This Row],[Status]]="Exited",_xlfn.DAYS(EmployeeData[[#This Row],[Exit Date]],EmployeeData[[#This Row],[Join Date]]))</f>
        <v>2316</v>
      </c>
      <c r="L898" cm="1">
        <f t="array" aca="1" ref="L898" ca="1">_xlfn.IFS(EmployeeData[[#This Row],[Status]]="Exited",DATEDIF(EmployeeData[[#This Row],[Join Date]], EmployeeData[[#This Row],[Exit Date]], "Y"),EmployeeData[[#This Row],[Status]]="Active",DATEDIF(EmployeeData[[#This Row],[Join Date]], TODAY(), "Y"))</f>
        <v>6</v>
      </c>
      <c r="Q898" t="str" cm="1">
        <f t="array" aca="1" ref="Q8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4 days</v>
      </c>
    </row>
    <row r="899" spans="1:17" hidden="1" x14ac:dyDescent="0.3">
      <c r="A899">
        <v>1898</v>
      </c>
      <c r="B899" t="s">
        <v>939</v>
      </c>
      <c r="C899" t="s">
        <v>46</v>
      </c>
      <c r="D899" t="s">
        <v>16</v>
      </c>
      <c r="E899">
        <v>40</v>
      </c>
      <c r="F899" t="str" cm="1">
        <f t="array" ref="F899">_xlfn.IFS(EmployeeData[[#This Row],[Age]]&lt;30,"20s",EmployeeData[[#This Row],[Age]]&lt;40,"30s",EmployeeData[[#This Row],[Age]]&lt;50,"40s",EmployeeData[[#This Row],[Age]]&lt;60,"50s",EmployeeData[[#This Row],[Age]]&gt;=60,"60s")</f>
        <v>40s</v>
      </c>
      <c r="G899" s="5">
        <v>44255</v>
      </c>
      <c r="I899" t="s">
        <v>17</v>
      </c>
      <c r="J899" t="s">
        <v>18</v>
      </c>
      <c r="K899" cm="1">
        <f t="array" aca="1" ref="K899" ca="1">_xlfn.IFS(EmployeeData[[#This Row],[Status]]="Active",_xlfn.DAYS(TODAY(),EmployeeData[[#This Row],[Join Date]]),EmployeeData[[#This Row],[Status]]="Exited",_xlfn.DAYS(EmployeeData[[#This Row],[Exit Date]],EmployeeData[[#This Row],[Join Date]]))</f>
        <v>1942</v>
      </c>
      <c r="L899" cm="1">
        <f t="array" aca="1" ref="L899" ca="1">_xlfn.IFS(EmployeeData[[#This Row],[Status]]="Exited",DATEDIF(EmployeeData[[#This Row],[Join Date]], EmployeeData[[#This Row],[Exit Date]], "Y"),EmployeeData[[#This Row],[Status]]="Active",DATEDIF(EmployeeData[[#This Row],[Join Date]], TODAY(), "Y"))</f>
        <v>5</v>
      </c>
      <c r="Q899" t="str" cm="1">
        <f t="array" aca="1" ref="Q8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27 days</v>
      </c>
    </row>
    <row r="900" spans="1:17" hidden="1" x14ac:dyDescent="0.3">
      <c r="A900">
        <v>1899</v>
      </c>
      <c r="B900" t="s">
        <v>647</v>
      </c>
      <c r="C900" t="s">
        <v>20</v>
      </c>
      <c r="D900" t="s">
        <v>16</v>
      </c>
      <c r="E900">
        <v>53</v>
      </c>
      <c r="F900" t="str" cm="1">
        <f t="array" ref="F900">_xlfn.IFS(EmployeeData[[#This Row],[Age]]&lt;30,"20s",EmployeeData[[#This Row],[Age]]&lt;40,"30s",EmployeeData[[#This Row],[Age]]&lt;50,"40s",EmployeeData[[#This Row],[Age]]&lt;60,"50s",EmployeeData[[#This Row],[Age]]&gt;=60,"60s")</f>
        <v>50s</v>
      </c>
      <c r="G900" s="5">
        <v>43712</v>
      </c>
      <c r="I900" t="s">
        <v>17</v>
      </c>
      <c r="J900" t="s">
        <v>18</v>
      </c>
      <c r="K900" cm="1">
        <f t="array" aca="1" ref="K900" ca="1">_xlfn.IFS(EmployeeData[[#This Row],[Status]]="Active",_xlfn.DAYS(TODAY(),EmployeeData[[#This Row],[Join Date]]),EmployeeData[[#This Row],[Status]]="Exited",_xlfn.DAYS(EmployeeData[[#This Row],[Exit Date]],EmployeeData[[#This Row],[Join Date]]))</f>
        <v>2485</v>
      </c>
      <c r="L900" cm="1">
        <f t="array" aca="1" ref="L900" ca="1">_xlfn.IFS(EmployeeData[[#This Row],[Status]]="Exited",DATEDIF(EmployeeData[[#This Row],[Join Date]], EmployeeData[[#This Row],[Exit Date]], "Y"),EmployeeData[[#This Row],[Status]]="Active",DATEDIF(EmployeeData[[#This Row],[Join Date]], TODAY(), "Y"))</f>
        <v>6</v>
      </c>
      <c r="Q900" t="str" cm="1">
        <f t="array" aca="1" ref="Q9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20 days</v>
      </c>
    </row>
    <row r="901" spans="1:17" hidden="1" x14ac:dyDescent="0.3">
      <c r="A901">
        <v>1900</v>
      </c>
      <c r="B901" t="s">
        <v>1039</v>
      </c>
      <c r="C901" t="s">
        <v>15</v>
      </c>
      <c r="D901" t="s">
        <v>16</v>
      </c>
      <c r="E901">
        <v>58</v>
      </c>
      <c r="F901" t="str" cm="1">
        <f t="array" ref="F901">_xlfn.IFS(EmployeeData[[#This Row],[Age]]&lt;30,"20s",EmployeeData[[#This Row],[Age]]&lt;40,"30s",EmployeeData[[#This Row],[Age]]&lt;50,"40s",EmployeeData[[#This Row],[Age]]&lt;60,"50s",EmployeeData[[#This Row],[Age]]&gt;=60,"60s")</f>
        <v>50s</v>
      </c>
      <c r="G901" s="5">
        <v>45364</v>
      </c>
      <c r="I901" t="s">
        <v>17</v>
      </c>
      <c r="J901" t="s">
        <v>18</v>
      </c>
      <c r="K901" cm="1">
        <f t="array" aca="1" ref="K901" ca="1">_xlfn.IFS(EmployeeData[[#This Row],[Status]]="Active",_xlfn.DAYS(TODAY(),EmployeeData[[#This Row],[Join Date]]),EmployeeData[[#This Row],[Status]]="Exited",_xlfn.DAYS(EmployeeData[[#This Row],[Exit Date]],EmployeeData[[#This Row],[Join Date]]))</f>
        <v>833</v>
      </c>
      <c r="L901" cm="1">
        <f t="array" aca="1" ref="L901" ca="1">_xlfn.IFS(EmployeeData[[#This Row],[Status]]="Exited",DATEDIF(EmployeeData[[#This Row],[Join Date]], EmployeeData[[#This Row],[Exit Date]], "Y"),EmployeeData[[#This Row],[Status]]="Active",DATEDIF(EmployeeData[[#This Row],[Join Date]], TODAY(), "Y"))</f>
        <v>2</v>
      </c>
      <c r="Q901" t="str" cm="1">
        <f t="array" aca="1" ref="Q9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11 days</v>
      </c>
    </row>
    <row r="902" spans="1:17" hidden="1" x14ac:dyDescent="0.3">
      <c r="A902">
        <v>1901</v>
      </c>
      <c r="B902" t="s">
        <v>991</v>
      </c>
      <c r="C902" t="s">
        <v>10</v>
      </c>
      <c r="D902" t="s">
        <v>16</v>
      </c>
      <c r="E902">
        <v>47</v>
      </c>
      <c r="F902" t="str" cm="1">
        <f t="array" ref="F902">_xlfn.IFS(EmployeeData[[#This Row],[Age]]&lt;30,"20s",EmployeeData[[#This Row],[Age]]&lt;40,"30s",EmployeeData[[#This Row],[Age]]&lt;50,"40s",EmployeeData[[#This Row],[Age]]&lt;60,"50s",EmployeeData[[#This Row],[Age]]&gt;=60,"60s")</f>
        <v>40s</v>
      </c>
      <c r="G902" s="5">
        <v>43959</v>
      </c>
      <c r="I902" t="s">
        <v>17</v>
      </c>
      <c r="J902" t="s">
        <v>18</v>
      </c>
      <c r="K902" cm="1">
        <f t="array" aca="1" ref="K902" ca="1">_xlfn.IFS(EmployeeData[[#This Row],[Status]]="Active",_xlfn.DAYS(TODAY(),EmployeeData[[#This Row],[Join Date]]),EmployeeData[[#This Row],[Status]]="Exited",_xlfn.DAYS(EmployeeData[[#This Row],[Exit Date]],EmployeeData[[#This Row],[Join Date]]))</f>
        <v>2238</v>
      </c>
      <c r="L902" cm="1">
        <f t="array" aca="1" ref="L902" ca="1">_xlfn.IFS(EmployeeData[[#This Row],[Status]]="Exited",DATEDIF(EmployeeData[[#This Row],[Join Date]], EmployeeData[[#This Row],[Exit Date]], "Y"),EmployeeData[[#This Row],[Status]]="Active",DATEDIF(EmployeeData[[#This Row],[Join Date]], TODAY(), "Y"))</f>
        <v>6</v>
      </c>
      <c r="Q902" t="str" cm="1">
        <f t="array" aca="1" ref="Q9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16 days</v>
      </c>
    </row>
    <row r="903" spans="1:17" hidden="1" x14ac:dyDescent="0.3">
      <c r="A903">
        <v>1902</v>
      </c>
      <c r="B903" t="s">
        <v>35</v>
      </c>
      <c r="C903" t="s">
        <v>10</v>
      </c>
      <c r="D903" t="s">
        <v>11</v>
      </c>
      <c r="E903">
        <v>52</v>
      </c>
      <c r="F903" t="str" cm="1">
        <f t="array" ref="F903">_xlfn.IFS(EmployeeData[[#This Row],[Age]]&lt;30,"20s",EmployeeData[[#This Row],[Age]]&lt;40,"30s",EmployeeData[[#This Row],[Age]]&lt;50,"40s",EmployeeData[[#This Row],[Age]]&lt;60,"50s",EmployeeData[[#This Row],[Age]]&gt;=60,"60s")</f>
        <v>50s</v>
      </c>
      <c r="G903" s="5">
        <v>45799</v>
      </c>
      <c r="I903" t="s">
        <v>17</v>
      </c>
      <c r="J903" t="s">
        <v>18</v>
      </c>
      <c r="K903" cm="1">
        <f t="array" aca="1" ref="K903" ca="1">_xlfn.IFS(EmployeeData[[#This Row],[Status]]="Active",_xlfn.DAYS(TODAY(),EmployeeData[[#This Row],[Join Date]]),EmployeeData[[#This Row],[Status]]="Exited",_xlfn.DAYS(EmployeeData[[#This Row],[Exit Date]],EmployeeData[[#This Row],[Join Date]]))</f>
        <v>398</v>
      </c>
      <c r="L903" cm="1">
        <f t="array" aca="1" ref="L903" ca="1">_xlfn.IFS(EmployeeData[[#This Row],[Status]]="Exited",DATEDIF(EmployeeData[[#This Row],[Join Date]], EmployeeData[[#This Row],[Exit Date]], "Y"),EmployeeData[[#This Row],[Status]]="Active",DATEDIF(EmployeeData[[#This Row],[Join Date]], TODAY(), "Y"))</f>
        <v>1</v>
      </c>
      <c r="Q903" t="str" cm="1">
        <f t="array" aca="1" ref="Q9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904" spans="1:17" hidden="1" x14ac:dyDescent="0.3">
      <c r="A904">
        <v>1903</v>
      </c>
      <c r="B904" t="s">
        <v>913</v>
      </c>
      <c r="C904" t="s">
        <v>20</v>
      </c>
      <c r="D904" t="s">
        <v>11</v>
      </c>
      <c r="E904">
        <v>40</v>
      </c>
      <c r="F904" t="str" cm="1">
        <f t="array" ref="F904">_xlfn.IFS(EmployeeData[[#This Row],[Age]]&lt;30,"20s",EmployeeData[[#This Row],[Age]]&lt;40,"30s",EmployeeData[[#This Row],[Age]]&lt;50,"40s",EmployeeData[[#This Row],[Age]]&lt;60,"50s",EmployeeData[[#This Row],[Age]]&gt;=60,"60s")</f>
        <v>40s</v>
      </c>
      <c r="G904" s="5">
        <v>44436</v>
      </c>
      <c r="I904" t="s">
        <v>17</v>
      </c>
      <c r="J904" t="s">
        <v>18</v>
      </c>
      <c r="K904" cm="1">
        <f t="array" aca="1" ref="K904" ca="1">_xlfn.IFS(EmployeeData[[#This Row],[Status]]="Active",_xlfn.DAYS(TODAY(),EmployeeData[[#This Row],[Join Date]]),EmployeeData[[#This Row],[Status]]="Exited",_xlfn.DAYS(EmployeeData[[#This Row],[Exit Date]],EmployeeData[[#This Row],[Join Date]]))</f>
        <v>1761</v>
      </c>
      <c r="L904" cm="1">
        <f t="array" aca="1" ref="L904" ca="1">_xlfn.IFS(EmployeeData[[#This Row],[Status]]="Exited",DATEDIF(EmployeeData[[#This Row],[Join Date]], EmployeeData[[#This Row],[Exit Date]], "Y"),EmployeeData[[#This Row],[Status]]="Active",DATEDIF(EmployeeData[[#This Row],[Join Date]], TODAY(), "Y"))</f>
        <v>4</v>
      </c>
      <c r="Q904" t="str" cm="1">
        <f t="array" aca="1" ref="Q9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27 days</v>
      </c>
    </row>
    <row r="905" spans="1:17" hidden="1" x14ac:dyDescent="0.3">
      <c r="A905">
        <v>1904</v>
      </c>
      <c r="B905" t="s">
        <v>173</v>
      </c>
      <c r="C905" t="s">
        <v>15</v>
      </c>
      <c r="D905" t="s">
        <v>11</v>
      </c>
      <c r="E905">
        <v>42</v>
      </c>
      <c r="F905" t="str" cm="1">
        <f t="array" ref="F905">_xlfn.IFS(EmployeeData[[#This Row],[Age]]&lt;30,"20s",EmployeeData[[#This Row],[Age]]&lt;40,"30s",EmployeeData[[#This Row],[Age]]&lt;50,"40s",EmployeeData[[#This Row],[Age]]&lt;60,"50s",EmployeeData[[#This Row],[Age]]&gt;=60,"60s")</f>
        <v>40s</v>
      </c>
      <c r="G905" s="5">
        <v>45428</v>
      </c>
      <c r="I905" t="s">
        <v>17</v>
      </c>
      <c r="J905" t="s">
        <v>18</v>
      </c>
      <c r="K905" cm="1">
        <f t="array" aca="1" ref="K905" ca="1">_xlfn.IFS(EmployeeData[[#This Row],[Status]]="Active",_xlfn.DAYS(TODAY(),EmployeeData[[#This Row],[Join Date]]),EmployeeData[[#This Row],[Status]]="Exited",_xlfn.DAYS(EmployeeData[[#This Row],[Exit Date]],EmployeeData[[#This Row],[Join Date]]))</f>
        <v>769</v>
      </c>
      <c r="L905" cm="1">
        <f t="array" aca="1" ref="L905" ca="1">_xlfn.IFS(EmployeeData[[#This Row],[Status]]="Exited",DATEDIF(EmployeeData[[#This Row],[Join Date]], EmployeeData[[#This Row],[Exit Date]], "Y"),EmployeeData[[#This Row],[Status]]="Active",DATEDIF(EmployeeData[[#This Row],[Join Date]], TODAY(), "Y"))</f>
        <v>2</v>
      </c>
      <c r="Q905" t="str" cm="1">
        <f t="array" aca="1" ref="Q9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8 days</v>
      </c>
    </row>
    <row r="906" spans="1:17" x14ac:dyDescent="0.3">
      <c r="A906">
        <v>1905</v>
      </c>
      <c r="B906" t="s">
        <v>260</v>
      </c>
      <c r="C906" t="s">
        <v>46</v>
      </c>
      <c r="D906" t="s">
        <v>16</v>
      </c>
      <c r="E906">
        <v>46</v>
      </c>
      <c r="F906" t="str" cm="1">
        <f t="array" ref="F906">_xlfn.IFS(EmployeeData[[#This Row],[Age]]&lt;30,"20s",EmployeeData[[#This Row],[Age]]&lt;40,"30s",EmployeeData[[#This Row],[Age]]&lt;50,"40s",EmployeeData[[#This Row],[Age]]&lt;60,"50s",EmployeeData[[#This Row],[Age]]&gt;=60,"60s")</f>
        <v>40s</v>
      </c>
      <c r="G906" s="5">
        <v>43361</v>
      </c>
      <c r="I906" t="s">
        <v>17</v>
      </c>
      <c r="J906" t="s">
        <v>18</v>
      </c>
      <c r="K906" cm="1">
        <f t="array" aca="1" ref="K906" ca="1">_xlfn.IFS(EmployeeData[[#This Row],[Status]]="Active",_xlfn.DAYS(TODAY(),EmployeeData[[#This Row],[Join Date]]),EmployeeData[[#This Row],[Status]]="Exited",_xlfn.DAYS(EmployeeData[[#This Row],[Exit Date]],EmployeeData[[#This Row],[Join Date]]))</f>
        <v>2836</v>
      </c>
      <c r="L906" cm="1">
        <f t="array" aca="1" ref="L906" ca="1">_xlfn.IFS(EmployeeData[[#This Row],[Status]]="Exited",DATEDIF(EmployeeData[[#This Row],[Join Date]], EmployeeData[[#This Row],[Exit Date]], "Y"),EmployeeData[[#This Row],[Status]]="Active",DATEDIF(EmployeeData[[#This Row],[Join Date]], TODAY(), "Y"))</f>
        <v>7</v>
      </c>
      <c r="Q906" t="str" cm="1">
        <f t="array" aca="1" ref="Q9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6 days</v>
      </c>
    </row>
    <row r="907" spans="1:17" hidden="1" x14ac:dyDescent="0.3">
      <c r="A907">
        <v>1906</v>
      </c>
      <c r="B907" t="s">
        <v>42</v>
      </c>
      <c r="C907" t="s">
        <v>23</v>
      </c>
      <c r="D907" t="s">
        <v>16</v>
      </c>
      <c r="E907">
        <v>31</v>
      </c>
      <c r="F907" t="str" cm="1">
        <f t="array" ref="F907">_xlfn.IFS(EmployeeData[[#This Row],[Age]]&lt;30,"20s",EmployeeData[[#This Row],[Age]]&lt;40,"30s",EmployeeData[[#This Row],[Age]]&lt;50,"40s",EmployeeData[[#This Row],[Age]]&lt;60,"50s",EmployeeData[[#This Row],[Age]]&gt;=60,"60s")</f>
        <v>30s</v>
      </c>
      <c r="G907" s="5">
        <v>43528</v>
      </c>
      <c r="I907" t="s">
        <v>17</v>
      </c>
      <c r="J907" t="s">
        <v>18</v>
      </c>
      <c r="K907" cm="1">
        <f t="array" aca="1" ref="K907" ca="1">_xlfn.IFS(EmployeeData[[#This Row],[Status]]="Active",_xlfn.DAYS(TODAY(),EmployeeData[[#This Row],[Join Date]]),EmployeeData[[#This Row],[Status]]="Exited",_xlfn.DAYS(EmployeeData[[#This Row],[Exit Date]],EmployeeData[[#This Row],[Join Date]]))</f>
        <v>2669</v>
      </c>
      <c r="L907" cm="1">
        <f t="array" aca="1" ref="L907" ca="1">_xlfn.IFS(EmployeeData[[#This Row],[Status]]="Exited",DATEDIF(EmployeeData[[#This Row],[Join Date]], EmployeeData[[#This Row],[Exit Date]], "Y"),EmployeeData[[#This Row],[Status]]="Active",DATEDIF(EmployeeData[[#This Row],[Join Date]], TODAY(), "Y"))</f>
        <v>7</v>
      </c>
      <c r="Q907" t="str" cm="1">
        <f t="array" aca="1" ref="Q9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20 days</v>
      </c>
    </row>
    <row r="908" spans="1:17" x14ac:dyDescent="0.3">
      <c r="A908">
        <v>1907</v>
      </c>
      <c r="B908" t="s">
        <v>38</v>
      </c>
      <c r="C908" t="s">
        <v>23</v>
      </c>
      <c r="D908" t="s">
        <v>16</v>
      </c>
      <c r="E908">
        <v>33</v>
      </c>
      <c r="F908" t="str" cm="1">
        <f t="array" ref="F908">_xlfn.IFS(EmployeeData[[#This Row],[Age]]&lt;30,"20s",EmployeeData[[#This Row],[Age]]&lt;40,"30s",EmployeeData[[#This Row],[Age]]&lt;50,"40s",EmployeeData[[#This Row],[Age]]&lt;60,"50s",EmployeeData[[#This Row],[Age]]&gt;=60,"60s")</f>
        <v>30s</v>
      </c>
      <c r="G908" s="5">
        <v>43385</v>
      </c>
      <c r="I908" t="s">
        <v>17</v>
      </c>
      <c r="J908" t="s">
        <v>18</v>
      </c>
      <c r="K908" cm="1">
        <f t="array" aca="1" ref="K908" ca="1">_xlfn.IFS(EmployeeData[[#This Row],[Status]]="Active",_xlfn.DAYS(TODAY(),EmployeeData[[#This Row],[Join Date]]),EmployeeData[[#This Row],[Status]]="Exited",_xlfn.DAYS(EmployeeData[[#This Row],[Exit Date]],EmployeeData[[#This Row],[Join Date]]))</f>
        <v>2812</v>
      </c>
      <c r="L908" cm="1">
        <f t="array" aca="1" ref="L908" ca="1">_xlfn.IFS(EmployeeData[[#This Row],[Status]]="Exited",DATEDIF(EmployeeData[[#This Row],[Join Date]], EmployeeData[[#This Row],[Exit Date]], "Y"),EmployeeData[[#This Row],[Status]]="Active",DATEDIF(EmployeeData[[#This Row],[Join Date]], TODAY(), "Y"))</f>
        <v>7</v>
      </c>
      <c r="Q908" t="str" cm="1">
        <f t="array" aca="1" ref="Q9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12 days</v>
      </c>
    </row>
    <row r="909" spans="1:17" hidden="1" x14ac:dyDescent="0.3">
      <c r="A909">
        <v>1908</v>
      </c>
      <c r="B909" t="s">
        <v>789</v>
      </c>
      <c r="C909" t="s">
        <v>20</v>
      </c>
      <c r="D909" t="s">
        <v>16</v>
      </c>
      <c r="E909">
        <v>24</v>
      </c>
      <c r="F909" t="str" cm="1">
        <f t="array" ref="F909">_xlfn.IFS(EmployeeData[[#This Row],[Age]]&lt;30,"20s",EmployeeData[[#This Row],[Age]]&lt;40,"30s",EmployeeData[[#This Row],[Age]]&lt;50,"40s",EmployeeData[[#This Row],[Age]]&lt;60,"50s",EmployeeData[[#This Row],[Age]]&gt;=60,"60s")</f>
        <v>20s</v>
      </c>
      <c r="G909" s="5">
        <v>44610</v>
      </c>
      <c r="I909" t="s">
        <v>17</v>
      </c>
      <c r="J909" t="s">
        <v>18</v>
      </c>
      <c r="K909" cm="1">
        <f t="array" aca="1" ref="K909" ca="1">_xlfn.IFS(EmployeeData[[#This Row],[Status]]="Active",_xlfn.DAYS(TODAY(),EmployeeData[[#This Row],[Join Date]]),EmployeeData[[#This Row],[Status]]="Exited",_xlfn.DAYS(EmployeeData[[#This Row],[Exit Date]],EmployeeData[[#This Row],[Join Date]]))</f>
        <v>1587</v>
      </c>
      <c r="L909" cm="1">
        <f t="array" aca="1" ref="L909" ca="1">_xlfn.IFS(EmployeeData[[#This Row],[Status]]="Exited",DATEDIF(EmployeeData[[#This Row],[Join Date]], EmployeeData[[#This Row],[Exit Date]], "Y"),EmployeeData[[#This Row],[Status]]="Active",DATEDIF(EmployeeData[[#This Row],[Join Date]], TODAY(), "Y"))</f>
        <v>4</v>
      </c>
      <c r="Q909" t="str" cm="1">
        <f t="array" aca="1" ref="Q9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6 days</v>
      </c>
    </row>
    <row r="910" spans="1:17" hidden="1" x14ac:dyDescent="0.3">
      <c r="A910">
        <v>1909</v>
      </c>
      <c r="B910" t="s">
        <v>851</v>
      </c>
      <c r="C910" t="s">
        <v>10</v>
      </c>
      <c r="D910" t="s">
        <v>16</v>
      </c>
      <c r="E910">
        <v>28</v>
      </c>
      <c r="F910" t="str" cm="1">
        <f t="array" ref="F910">_xlfn.IFS(EmployeeData[[#This Row],[Age]]&lt;30,"20s",EmployeeData[[#This Row],[Age]]&lt;40,"30s",EmployeeData[[#This Row],[Age]]&lt;50,"40s",EmployeeData[[#This Row],[Age]]&lt;60,"50s",EmployeeData[[#This Row],[Age]]&gt;=60,"60s")</f>
        <v>20s</v>
      </c>
      <c r="G910" s="5">
        <v>43629</v>
      </c>
      <c r="I910" t="s">
        <v>17</v>
      </c>
      <c r="J910" t="s">
        <v>18</v>
      </c>
      <c r="K910" cm="1">
        <f t="array" aca="1" ref="K910" ca="1">_xlfn.IFS(EmployeeData[[#This Row],[Status]]="Active",_xlfn.DAYS(TODAY(),EmployeeData[[#This Row],[Join Date]]),EmployeeData[[#This Row],[Status]]="Exited",_xlfn.DAYS(EmployeeData[[#This Row],[Exit Date]],EmployeeData[[#This Row],[Join Date]]))</f>
        <v>2568</v>
      </c>
      <c r="L910" cm="1">
        <f t="array" aca="1" ref="L910" ca="1">_xlfn.IFS(EmployeeData[[#This Row],[Status]]="Exited",DATEDIF(EmployeeData[[#This Row],[Join Date]], EmployeeData[[#This Row],[Exit Date]], "Y"),EmployeeData[[#This Row],[Status]]="Active",DATEDIF(EmployeeData[[#This Row],[Join Date]], TODAY(), "Y"))</f>
        <v>7</v>
      </c>
      <c r="Q910" t="str" cm="1">
        <f t="array" aca="1" ref="Q9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11 days</v>
      </c>
    </row>
    <row r="911" spans="1:17" hidden="1" x14ac:dyDescent="0.3">
      <c r="A911">
        <v>1910</v>
      </c>
      <c r="B911" t="s">
        <v>325</v>
      </c>
      <c r="C911" t="s">
        <v>15</v>
      </c>
      <c r="D911" t="s">
        <v>16</v>
      </c>
      <c r="E911">
        <v>48</v>
      </c>
      <c r="F911" t="str" cm="1">
        <f t="array" ref="F911">_xlfn.IFS(EmployeeData[[#This Row],[Age]]&lt;30,"20s",EmployeeData[[#This Row],[Age]]&lt;40,"30s",EmployeeData[[#This Row],[Age]]&lt;50,"40s",EmployeeData[[#This Row],[Age]]&lt;60,"50s",EmployeeData[[#This Row],[Age]]&gt;=60,"60s")</f>
        <v>40s</v>
      </c>
      <c r="G911" s="5">
        <v>45823</v>
      </c>
      <c r="I911" t="s">
        <v>17</v>
      </c>
      <c r="J911" t="s">
        <v>18</v>
      </c>
      <c r="K911" cm="1">
        <f t="array" aca="1" ref="K911" ca="1">_xlfn.IFS(EmployeeData[[#This Row],[Status]]="Active",_xlfn.DAYS(TODAY(),EmployeeData[[#This Row],[Join Date]]),EmployeeData[[#This Row],[Status]]="Exited",_xlfn.DAYS(EmployeeData[[#This Row],[Exit Date]],EmployeeData[[#This Row],[Join Date]]))</f>
        <v>374</v>
      </c>
      <c r="L911" cm="1">
        <f t="array" aca="1" ref="L911" ca="1">_xlfn.IFS(EmployeeData[[#This Row],[Status]]="Exited",DATEDIF(EmployeeData[[#This Row],[Join Date]], EmployeeData[[#This Row],[Exit Date]], "Y"),EmployeeData[[#This Row],[Status]]="Active",DATEDIF(EmployeeData[[#This Row],[Join Date]], TODAY(), "Y"))</f>
        <v>1</v>
      </c>
      <c r="Q911" t="str" cm="1">
        <f t="array" aca="1" ref="Q9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9 days</v>
      </c>
    </row>
    <row r="912" spans="1:17" hidden="1" x14ac:dyDescent="0.3">
      <c r="A912">
        <v>1911</v>
      </c>
      <c r="B912" t="s">
        <v>586</v>
      </c>
      <c r="C912" t="s">
        <v>10</v>
      </c>
      <c r="D912" t="s">
        <v>16</v>
      </c>
      <c r="E912">
        <v>30</v>
      </c>
      <c r="F912" t="str" cm="1">
        <f t="array" ref="F912">_xlfn.IFS(EmployeeData[[#This Row],[Age]]&lt;30,"20s",EmployeeData[[#This Row],[Age]]&lt;40,"30s",EmployeeData[[#This Row],[Age]]&lt;50,"40s",EmployeeData[[#This Row],[Age]]&lt;60,"50s",EmployeeData[[#This Row],[Age]]&gt;=60,"60s")</f>
        <v>30s</v>
      </c>
      <c r="G912" s="5">
        <v>44926</v>
      </c>
      <c r="H912" s="5">
        <v>45833</v>
      </c>
      <c r="I912" t="s">
        <v>28</v>
      </c>
      <c r="J912" t="s">
        <v>13</v>
      </c>
      <c r="K912" cm="1">
        <f t="array" aca="1" ref="K912" ca="1">_xlfn.IFS(EmployeeData[[#This Row],[Status]]="Active",_xlfn.DAYS(TODAY(),EmployeeData[[#This Row],[Join Date]]),EmployeeData[[#This Row],[Status]]="Exited",_xlfn.DAYS(EmployeeData[[#This Row],[Exit Date]],EmployeeData[[#This Row],[Join Date]]))</f>
        <v>907</v>
      </c>
      <c r="L912" cm="1">
        <f t="array" aca="1" ref="L912" ca="1">_xlfn.IFS(EmployeeData[[#This Row],[Status]]="Exited",DATEDIF(EmployeeData[[#This Row],[Join Date]], EmployeeData[[#This Row],[Exit Date]], "Y"),EmployeeData[[#This Row],[Status]]="Active",DATEDIF(EmployeeData[[#This Row],[Join Date]], TODAY(), "Y"))</f>
        <v>2</v>
      </c>
      <c r="Q912" t="str" cm="1">
        <f t="array" aca="1" ref="Q9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913" spans="1:17" hidden="1" x14ac:dyDescent="0.3">
      <c r="A913">
        <v>1912</v>
      </c>
      <c r="B913" t="s">
        <v>383</v>
      </c>
      <c r="C913" t="s">
        <v>23</v>
      </c>
      <c r="D913" t="s">
        <v>24</v>
      </c>
      <c r="E913">
        <v>26</v>
      </c>
      <c r="F913" t="str" cm="1">
        <f t="array" ref="F913">_xlfn.IFS(EmployeeData[[#This Row],[Age]]&lt;30,"20s",EmployeeData[[#This Row],[Age]]&lt;40,"30s",EmployeeData[[#This Row],[Age]]&lt;50,"40s",EmployeeData[[#This Row],[Age]]&lt;60,"50s",EmployeeData[[#This Row],[Age]]&gt;=60,"60s")</f>
        <v>20s</v>
      </c>
      <c r="G913" s="5">
        <v>44280</v>
      </c>
      <c r="I913" t="s">
        <v>17</v>
      </c>
      <c r="J913" t="s">
        <v>18</v>
      </c>
      <c r="K913" cm="1">
        <f t="array" aca="1" ref="K913" ca="1">_xlfn.IFS(EmployeeData[[#This Row],[Status]]="Active",_xlfn.DAYS(TODAY(),EmployeeData[[#This Row],[Join Date]]),EmployeeData[[#This Row],[Status]]="Exited",_xlfn.DAYS(EmployeeData[[#This Row],[Exit Date]],EmployeeData[[#This Row],[Join Date]]))</f>
        <v>1917</v>
      </c>
      <c r="L913" cm="1">
        <f t="array" aca="1" ref="L913" ca="1">_xlfn.IFS(EmployeeData[[#This Row],[Status]]="Exited",DATEDIF(EmployeeData[[#This Row],[Join Date]], EmployeeData[[#This Row],[Exit Date]], "Y"),EmployeeData[[#This Row],[Status]]="Active",DATEDIF(EmployeeData[[#This Row],[Join Date]], TODAY(), "Y"))</f>
        <v>5</v>
      </c>
      <c r="Q913" t="str" cm="1">
        <f t="array" aca="1" ref="Q9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30 days</v>
      </c>
    </row>
    <row r="914" spans="1:17" hidden="1" x14ac:dyDescent="0.3">
      <c r="A914">
        <v>1913</v>
      </c>
      <c r="B914" t="s">
        <v>624</v>
      </c>
      <c r="C914" t="s">
        <v>20</v>
      </c>
      <c r="D914" t="s">
        <v>16</v>
      </c>
      <c r="E914">
        <v>32</v>
      </c>
      <c r="F914" t="str" cm="1">
        <f t="array" ref="F914">_xlfn.IFS(EmployeeData[[#This Row],[Age]]&lt;30,"20s",EmployeeData[[#This Row],[Age]]&lt;40,"30s",EmployeeData[[#This Row],[Age]]&lt;50,"40s",EmployeeData[[#This Row],[Age]]&lt;60,"50s",EmployeeData[[#This Row],[Age]]&gt;=60,"60s")</f>
        <v>30s</v>
      </c>
      <c r="G914" s="5">
        <v>44801</v>
      </c>
      <c r="H914" s="5">
        <v>46156</v>
      </c>
      <c r="I914" t="s">
        <v>34</v>
      </c>
      <c r="J914" t="s">
        <v>13</v>
      </c>
      <c r="K914" cm="1">
        <f t="array" aca="1" ref="K914" ca="1">_xlfn.IFS(EmployeeData[[#This Row],[Status]]="Active",_xlfn.DAYS(TODAY(),EmployeeData[[#This Row],[Join Date]]),EmployeeData[[#This Row],[Status]]="Exited",_xlfn.DAYS(EmployeeData[[#This Row],[Exit Date]],EmployeeData[[#This Row],[Join Date]]))</f>
        <v>1355</v>
      </c>
      <c r="L914" cm="1">
        <f t="array" aca="1" ref="L914" ca="1">_xlfn.IFS(EmployeeData[[#This Row],[Status]]="Exited",DATEDIF(EmployeeData[[#This Row],[Join Date]], EmployeeData[[#This Row],[Exit Date]], "Y"),EmployeeData[[#This Row],[Status]]="Active",DATEDIF(EmployeeData[[#This Row],[Join Date]], TODAY(), "Y"))</f>
        <v>3</v>
      </c>
      <c r="Q914" t="str" cm="1">
        <f t="array" aca="1" ref="Q9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915" spans="1:17" hidden="1" x14ac:dyDescent="0.3">
      <c r="A915">
        <v>1914</v>
      </c>
      <c r="B915" t="s">
        <v>317</v>
      </c>
      <c r="C915" t="s">
        <v>15</v>
      </c>
      <c r="D915" t="s">
        <v>24</v>
      </c>
      <c r="E915">
        <v>46</v>
      </c>
      <c r="F915" t="str" cm="1">
        <f t="array" ref="F915">_xlfn.IFS(EmployeeData[[#This Row],[Age]]&lt;30,"20s",EmployeeData[[#This Row],[Age]]&lt;40,"30s",EmployeeData[[#This Row],[Age]]&lt;50,"40s",EmployeeData[[#This Row],[Age]]&lt;60,"50s",EmployeeData[[#This Row],[Age]]&gt;=60,"60s")</f>
        <v>40s</v>
      </c>
      <c r="G915" s="5">
        <v>45962</v>
      </c>
      <c r="I915" t="s">
        <v>17</v>
      </c>
      <c r="J915" t="s">
        <v>18</v>
      </c>
      <c r="K915" cm="1">
        <f t="array" aca="1" ref="K915" ca="1">_xlfn.IFS(EmployeeData[[#This Row],[Status]]="Active",_xlfn.DAYS(TODAY(),EmployeeData[[#This Row],[Join Date]]),EmployeeData[[#This Row],[Status]]="Exited",_xlfn.DAYS(EmployeeData[[#This Row],[Exit Date]],EmployeeData[[#This Row],[Join Date]]))</f>
        <v>235</v>
      </c>
      <c r="L915" cm="1">
        <f t="array" aca="1" ref="L915" ca="1">_xlfn.IFS(EmployeeData[[#This Row],[Status]]="Exited",DATEDIF(EmployeeData[[#This Row],[Join Date]], EmployeeData[[#This Row],[Exit Date]], "Y"),EmployeeData[[#This Row],[Status]]="Active",DATEDIF(EmployeeData[[#This Row],[Join Date]], TODAY(), "Y"))</f>
        <v>0</v>
      </c>
      <c r="Q915" t="str" cm="1">
        <f t="array" aca="1" ref="Q9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23 days</v>
      </c>
    </row>
    <row r="916" spans="1:17" hidden="1" x14ac:dyDescent="0.3">
      <c r="A916">
        <v>1915</v>
      </c>
      <c r="B916" t="s">
        <v>813</v>
      </c>
      <c r="C916" t="s">
        <v>20</v>
      </c>
      <c r="D916" t="s">
        <v>16</v>
      </c>
      <c r="E916">
        <v>34</v>
      </c>
      <c r="F916" t="str" cm="1">
        <f t="array" ref="F916">_xlfn.IFS(EmployeeData[[#This Row],[Age]]&lt;30,"20s",EmployeeData[[#This Row],[Age]]&lt;40,"30s",EmployeeData[[#This Row],[Age]]&lt;50,"40s",EmployeeData[[#This Row],[Age]]&lt;60,"50s",EmployeeData[[#This Row],[Age]]&gt;=60,"60s")</f>
        <v>30s</v>
      </c>
      <c r="G916" s="5">
        <v>45122</v>
      </c>
      <c r="I916" t="s">
        <v>17</v>
      </c>
      <c r="J916" t="s">
        <v>18</v>
      </c>
      <c r="K916" cm="1">
        <f t="array" aca="1" ref="K916" ca="1">_xlfn.IFS(EmployeeData[[#This Row],[Status]]="Active",_xlfn.DAYS(TODAY(),EmployeeData[[#This Row],[Join Date]]),EmployeeData[[#This Row],[Status]]="Exited",_xlfn.DAYS(EmployeeData[[#This Row],[Exit Date]],EmployeeData[[#This Row],[Join Date]]))</f>
        <v>1075</v>
      </c>
      <c r="L916" cm="1">
        <f t="array" aca="1" ref="L916" ca="1">_xlfn.IFS(EmployeeData[[#This Row],[Status]]="Exited",DATEDIF(EmployeeData[[#This Row],[Join Date]], EmployeeData[[#This Row],[Exit Date]], "Y"),EmployeeData[[#This Row],[Status]]="Active",DATEDIF(EmployeeData[[#This Row],[Join Date]], TODAY(), "Y"))</f>
        <v>2</v>
      </c>
      <c r="Q916" t="str" cm="1">
        <f t="array" aca="1" ref="Q9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9 days</v>
      </c>
    </row>
    <row r="917" spans="1:17" hidden="1" x14ac:dyDescent="0.3">
      <c r="A917">
        <v>1916</v>
      </c>
      <c r="B917" t="s">
        <v>436</v>
      </c>
      <c r="C917" t="s">
        <v>15</v>
      </c>
      <c r="D917" t="s">
        <v>16</v>
      </c>
      <c r="E917">
        <v>41</v>
      </c>
      <c r="F917" t="str" cm="1">
        <f t="array" ref="F917">_xlfn.IFS(EmployeeData[[#This Row],[Age]]&lt;30,"20s",EmployeeData[[#This Row],[Age]]&lt;40,"30s",EmployeeData[[#This Row],[Age]]&lt;50,"40s",EmployeeData[[#This Row],[Age]]&lt;60,"50s",EmployeeData[[#This Row],[Age]]&gt;=60,"60s")</f>
        <v>40s</v>
      </c>
      <c r="G917" s="5">
        <v>44780</v>
      </c>
      <c r="I917" t="s">
        <v>17</v>
      </c>
      <c r="J917" t="s">
        <v>18</v>
      </c>
      <c r="K917" cm="1">
        <f t="array" aca="1" ref="K917" ca="1">_xlfn.IFS(EmployeeData[[#This Row],[Status]]="Active",_xlfn.DAYS(TODAY(),EmployeeData[[#This Row],[Join Date]]),EmployeeData[[#This Row],[Status]]="Exited",_xlfn.DAYS(EmployeeData[[#This Row],[Exit Date]],EmployeeData[[#This Row],[Join Date]]))</f>
        <v>1417</v>
      </c>
      <c r="L917" cm="1">
        <f t="array" aca="1" ref="L917" ca="1">_xlfn.IFS(EmployeeData[[#This Row],[Status]]="Exited",DATEDIF(EmployeeData[[#This Row],[Join Date]], EmployeeData[[#This Row],[Exit Date]], "Y"),EmployeeData[[#This Row],[Status]]="Active",DATEDIF(EmployeeData[[#This Row],[Join Date]], TODAY(), "Y"))</f>
        <v>3</v>
      </c>
      <c r="Q917" t="str" cm="1">
        <f t="array" aca="1" ref="Q9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17 days</v>
      </c>
    </row>
    <row r="918" spans="1:17" hidden="1" x14ac:dyDescent="0.3">
      <c r="A918">
        <v>1917</v>
      </c>
      <c r="B918" t="s">
        <v>200</v>
      </c>
      <c r="C918" t="s">
        <v>15</v>
      </c>
      <c r="D918" t="s">
        <v>24</v>
      </c>
      <c r="E918">
        <v>50</v>
      </c>
      <c r="F918" t="str" cm="1">
        <f t="array" ref="F918">_xlfn.IFS(EmployeeData[[#This Row],[Age]]&lt;30,"20s",EmployeeData[[#This Row],[Age]]&lt;40,"30s",EmployeeData[[#This Row],[Age]]&lt;50,"40s",EmployeeData[[#This Row],[Age]]&lt;60,"50s",EmployeeData[[#This Row],[Age]]&gt;=60,"60s")</f>
        <v>50s</v>
      </c>
      <c r="G918" s="5">
        <v>44662</v>
      </c>
      <c r="H918" s="5">
        <v>45569</v>
      </c>
      <c r="I918" t="s">
        <v>52</v>
      </c>
      <c r="J918" t="s">
        <v>13</v>
      </c>
      <c r="K918" cm="1">
        <f t="array" aca="1" ref="K918" ca="1">_xlfn.IFS(EmployeeData[[#This Row],[Status]]="Active",_xlfn.DAYS(TODAY(),EmployeeData[[#This Row],[Join Date]]),EmployeeData[[#This Row],[Status]]="Exited",_xlfn.DAYS(EmployeeData[[#This Row],[Exit Date]],EmployeeData[[#This Row],[Join Date]]))</f>
        <v>907</v>
      </c>
      <c r="L918" cm="1">
        <f t="array" aca="1" ref="L918" ca="1">_xlfn.IFS(EmployeeData[[#This Row],[Status]]="Exited",DATEDIF(EmployeeData[[#This Row],[Join Date]], EmployeeData[[#This Row],[Exit Date]], "Y"),EmployeeData[[#This Row],[Status]]="Active",DATEDIF(EmployeeData[[#This Row],[Join Date]], TODAY(), "Y"))</f>
        <v>2</v>
      </c>
      <c r="Q918" t="str" cm="1">
        <f t="array" aca="1" ref="Q9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23 days</v>
      </c>
    </row>
    <row r="919" spans="1:17" hidden="1" x14ac:dyDescent="0.3">
      <c r="A919">
        <v>1918</v>
      </c>
      <c r="B919" t="s">
        <v>773</v>
      </c>
      <c r="C919" t="s">
        <v>20</v>
      </c>
      <c r="D919" t="s">
        <v>16</v>
      </c>
      <c r="E919">
        <v>50</v>
      </c>
      <c r="F919" t="str" cm="1">
        <f t="array" ref="F919">_xlfn.IFS(EmployeeData[[#This Row],[Age]]&lt;30,"20s",EmployeeData[[#This Row],[Age]]&lt;40,"30s",EmployeeData[[#This Row],[Age]]&lt;50,"40s",EmployeeData[[#This Row],[Age]]&lt;60,"50s",EmployeeData[[#This Row],[Age]]&gt;=60,"60s")</f>
        <v>50s</v>
      </c>
      <c r="G919" s="5">
        <v>45086</v>
      </c>
      <c r="I919" t="s">
        <v>17</v>
      </c>
      <c r="J919" t="s">
        <v>18</v>
      </c>
      <c r="K919" cm="1">
        <f t="array" aca="1" ref="K919" ca="1">_xlfn.IFS(EmployeeData[[#This Row],[Status]]="Active",_xlfn.DAYS(TODAY(),EmployeeData[[#This Row],[Join Date]]),EmployeeData[[#This Row],[Status]]="Exited",_xlfn.DAYS(EmployeeData[[#This Row],[Exit Date]],EmployeeData[[#This Row],[Join Date]]))</f>
        <v>1111</v>
      </c>
      <c r="L919" cm="1">
        <f t="array" aca="1" ref="L919" ca="1">_xlfn.IFS(EmployeeData[[#This Row],[Status]]="Exited",DATEDIF(EmployeeData[[#This Row],[Join Date]], EmployeeData[[#This Row],[Exit Date]], "Y"),EmployeeData[[#This Row],[Status]]="Active",DATEDIF(EmployeeData[[#This Row],[Join Date]], TODAY(), "Y"))</f>
        <v>3</v>
      </c>
      <c r="Q919" t="str" cm="1">
        <f t="array" aca="1" ref="Q9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920" spans="1:17" hidden="1" x14ac:dyDescent="0.3">
      <c r="A920">
        <v>1919</v>
      </c>
      <c r="B920" t="s">
        <v>458</v>
      </c>
      <c r="C920" t="s">
        <v>20</v>
      </c>
      <c r="D920" t="s">
        <v>24</v>
      </c>
      <c r="E920">
        <v>51</v>
      </c>
      <c r="F920" t="str" cm="1">
        <f t="array" ref="F920">_xlfn.IFS(EmployeeData[[#This Row],[Age]]&lt;30,"20s",EmployeeData[[#This Row],[Age]]&lt;40,"30s",EmployeeData[[#This Row],[Age]]&lt;50,"40s",EmployeeData[[#This Row],[Age]]&lt;60,"50s",EmployeeData[[#This Row],[Age]]&gt;=60,"60s")</f>
        <v>50s</v>
      </c>
      <c r="G920" s="5">
        <v>44244</v>
      </c>
      <c r="I920" t="s">
        <v>17</v>
      </c>
      <c r="J920" t="s">
        <v>18</v>
      </c>
      <c r="K920" cm="1">
        <f t="array" aca="1" ref="K920" ca="1">_xlfn.IFS(EmployeeData[[#This Row],[Status]]="Active",_xlfn.DAYS(TODAY(),EmployeeData[[#This Row],[Join Date]]),EmployeeData[[#This Row],[Status]]="Exited",_xlfn.DAYS(EmployeeData[[#This Row],[Exit Date]],EmployeeData[[#This Row],[Join Date]]))</f>
        <v>1953</v>
      </c>
      <c r="L920" cm="1">
        <f t="array" aca="1" ref="L920" ca="1">_xlfn.IFS(EmployeeData[[#This Row],[Status]]="Exited",DATEDIF(EmployeeData[[#This Row],[Join Date]], EmployeeData[[#This Row],[Exit Date]], "Y"),EmployeeData[[#This Row],[Status]]="Active",DATEDIF(EmployeeData[[#This Row],[Join Date]], TODAY(), "Y"))</f>
        <v>5</v>
      </c>
      <c r="Q920" t="str" cm="1">
        <f t="array" aca="1" ref="Q9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7 days</v>
      </c>
    </row>
    <row r="921" spans="1:17" hidden="1" x14ac:dyDescent="0.3">
      <c r="A921">
        <v>1920</v>
      </c>
      <c r="B921" t="s">
        <v>1096</v>
      </c>
      <c r="C921" t="s">
        <v>15</v>
      </c>
      <c r="D921" t="s">
        <v>16</v>
      </c>
      <c r="E921">
        <v>46</v>
      </c>
      <c r="F921" t="str" cm="1">
        <f t="array" ref="F921">_xlfn.IFS(EmployeeData[[#This Row],[Age]]&lt;30,"20s",EmployeeData[[#This Row],[Age]]&lt;40,"30s",EmployeeData[[#This Row],[Age]]&lt;50,"40s",EmployeeData[[#This Row],[Age]]&lt;60,"50s",EmployeeData[[#This Row],[Age]]&gt;=60,"60s")</f>
        <v>40s</v>
      </c>
      <c r="G921" s="5">
        <v>43790</v>
      </c>
      <c r="H921" s="5">
        <v>43925</v>
      </c>
      <c r="I921" t="s">
        <v>28</v>
      </c>
      <c r="J921" t="s">
        <v>13</v>
      </c>
      <c r="K921" cm="1">
        <f t="array" aca="1" ref="K921" ca="1">_xlfn.IFS(EmployeeData[[#This Row],[Status]]="Active",_xlfn.DAYS(TODAY(),EmployeeData[[#This Row],[Join Date]]),EmployeeData[[#This Row],[Status]]="Exited",_xlfn.DAYS(EmployeeData[[#This Row],[Exit Date]],EmployeeData[[#This Row],[Join Date]]))</f>
        <v>135</v>
      </c>
      <c r="L921" cm="1">
        <f t="array" aca="1" ref="L921" ca="1">_xlfn.IFS(EmployeeData[[#This Row],[Status]]="Exited",DATEDIF(EmployeeData[[#This Row],[Join Date]], EmployeeData[[#This Row],[Exit Date]], "Y"),EmployeeData[[#This Row],[Status]]="Active",DATEDIF(EmployeeData[[#This Row],[Join Date]], TODAY(), "Y"))</f>
        <v>0</v>
      </c>
      <c r="Q921" t="str" cm="1">
        <f t="array" aca="1" ref="Q9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922" spans="1:17" hidden="1" x14ac:dyDescent="0.3">
      <c r="A922">
        <v>1921</v>
      </c>
      <c r="B922" t="s">
        <v>764</v>
      </c>
      <c r="C922" t="s">
        <v>20</v>
      </c>
      <c r="D922" t="s">
        <v>11</v>
      </c>
      <c r="E922">
        <v>55</v>
      </c>
      <c r="F922" t="str" cm="1">
        <f t="array" ref="F922">_xlfn.IFS(EmployeeData[[#This Row],[Age]]&lt;30,"20s",EmployeeData[[#This Row],[Age]]&lt;40,"30s",EmployeeData[[#This Row],[Age]]&lt;50,"40s",EmployeeData[[#This Row],[Age]]&lt;60,"50s",EmployeeData[[#This Row],[Age]]&gt;=60,"60s")</f>
        <v>50s</v>
      </c>
      <c r="G922" s="5">
        <v>43986</v>
      </c>
      <c r="I922" t="s">
        <v>17</v>
      </c>
      <c r="J922" t="s">
        <v>18</v>
      </c>
      <c r="K922" cm="1">
        <f t="array" aca="1" ref="K922" ca="1">_xlfn.IFS(EmployeeData[[#This Row],[Status]]="Active",_xlfn.DAYS(TODAY(),EmployeeData[[#This Row],[Join Date]]),EmployeeData[[#This Row],[Status]]="Exited",_xlfn.DAYS(EmployeeData[[#This Row],[Exit Date]],EmployeeData[[#This Row],[Join Date]]))</f>
        <v>2211</v>
      </c>
      <c r="L922" cm="1">
        <f t="array" aca="1" ref="L922" ca="1">_xlfn.IFS(EmployeeData[[#This Row],[Status]]="Exited",DATEDIF(EmployeeData[[#This Row],[Join Date]], EmployeeData[[#This Row],[Exit Date]], "Y"),EmployeeData[[#This Row],[Status]]="Active",DATEDIF(EmployeeData[[#This Row],[Join Date]], TODAY(), "Y"))</f>
        <v>6</v>
      </c>
      <c r="Q922" t="str" cm="1">
        <f t="array" aca="1" ref="Q9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923" spans="1:17" hidden="1" x14ac:dyDescent="0.3">
      <c r="A923">
        <v>1922</v>
      </c>
      <c r="B923" t="s">
        <v>495</v>
      </c>
      <c r="C923" t="s">
        <v>20</v>
      </c>
      <c r="D923" t="s">
        <v>11</v>
      </c>
      <c r="E923">
        <v>27</v>
      </c>
      <c r="F923" t="str" cm="1">
        <f t="array" ref="F923">_xlfn.IFS(EmployeeData[[#This Row],[Age]]&lt;30,"20s",EmployeeData[[#This Row],[Age]]&lt;40,"30s",EmployeeData[[#This Row],[Age]]&lt;50,"40s",EmployeeData[[#This Row],[Age]]&lt;60,"50s",EmployeeData[[#This Row],[Age]]&gt;=60,"60s")</f>
        <v>20s</v>
      </c>
      <c r="G923" s="5">
        <v>44700</v>
      </c>
      <c r="I923" t="s">
        <v>17</v>
      </c>
      <c r="J923" t="s">
        <v>18</v>
      </c>
      <c r="K923" cm="1">
        <f t="array" aca="1" ref="K923" ca="1">_xlfn.IFS(EmployeeData[[#This Row],[Status]]="Active",_xlfn.DAYS(TODAY(),EmployeeData[[#This Row],[Join Date]]),EmployeeData[[#This Row],[Status]]="Exited",_xlfn.DAYS(EmployeeData[[#This Row],[Exit Date]],EmployeeData[[#This Row],[Join Date]]))</f>
        <v>1497</v>
      </c>
      <c r="L923" cm="1">
        <f t="array" aca="1" ref="L923" ca="1">_xlfn.IFS(EmployeeData[[#This Row],[Status]]="Exited",DATEDIF(EmployeeData[[#This Row],[Join Date]], EmployeeData[[#This Row],[Exit Date]], "Y"),EmployeeData[[#This Row],[Status]]="Active",DATEDIF(EmployeeData[[#This Row],[Join Date]], TODAY(), "Y"))</f>
        <v>4</v>
      </c>
      <c r="Q923" t="str" cm="1">
        <f t="array" aca="1" ref="Q9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5 days</v>
      </c>
    </row>
    <row r="924" spans="1:17" hidden="1" x14ac:dyDescent="0.3">
      <c r="A924">
        <v>1923</v>
      </c>
      <c r="B924" t="s">
        <v>1019</v>
      </c>
      <c r="C924" t="s">
        <v>20</v>
      </c>
      <c r="D924" t="s">
        <v>11</v>
      </c>
      <c r="E924">
        <v>36</v>
      </c>
      <c r="F924" t="str" cm="1">
        <f t="array" ref="F924">_xlfn.IFS(EmployeeData[[#This Row],[Age]]&lt;30,"20s",EmployeeData[[#This Row],[Age]]&lt;40,"30s",EmployeeData[[#This Row],[Age]]&lt;50,"40s",EmployeeData[[#This Row],[Age]]&lt;60,"50s",EmployeeData[[#This Row],[Age]]&gt;=60,"60s")</f>
        <v>30s</v>
      </c>
      <c r="G924" s="5">
        <v>44635</v>
      </c>
      <c r="I924" t="s">
        <v>17</v>
      </c>
      <c r="J924" t="s">
        <v>18</v>
      </c>
      <c r="K924" cm="1">
        <f t="array" aca="1" ref="K924" ca="1">_xlfn.IFS(EmployeeData[[#This Row],[Status]]="Active",_xlfn.DAYS(TODAY(),EmployeeData[[#This Row],[Join Date]]),EmployeeData[[#This Row],[Status]]="Exited",_xlfn.DAYS(EmployeeData[[#This Row],[Exit Date]],EmployeeData[[#This Row],[Join Date]]))</f>
        <v>1562</v>
      </c>
      <c r="L924" cm="1">
        <f t="array" aca="1" ref="L924" ca="1">_xlfn.IFS(EmployeeData[[#This Row],[Status]]="Exited",DATEDIF(EmployeeData[[#This Row],[Join Date]], EmployeeData[[#This Row],[Exit Date]], "Y"),EmployeeData[[#This Row],[Status]]="Active",DATEDIF(EmployeeData[[#This Row],[Join Date]], TODAY(), "Y"))</f>
        <v>4</v>
      </c>
      <c r="Q924" t="str" cm="1">
        <f t="array" aca="1" ref="Q9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9 days</v>
      </c>
    </row>
    <row r="925" spans="1:17" hidden="1" x14ac:dyDescent="0.3">
      <c r="A925">
        <v>1924</v>
      </c>
      <c r="B925" t="s">
        <v>741</v>
      </c>
      <c r="C925" t="s">
        <v>46</v>
      </c>
      <c r="D925" t="s">
        <v>24</v>
      </c>
      <c r="E925">
        <v>33</v>
      </c>
      <c r="F925" t="str" cm="1">
        <f t="array" ref="F925">_xlfn.IFS(EmployeeData[[#This Row],[Age]]&lt;30,"20s",EmployeeData[[#This Row],[Age]]&lt;40,"30s",EmployeeData[[#This Row],[Age]]&lt;50,"40s",EmployeeData[[#This Row],[Age]]&lt;60,"50s",EmployeeData[[#This Row],[Age]]&gt;=60,"60s")</f>
        <v>30s</v>
      </c>
      <c r="G925" s="5">
        <v>45886</v>
      </c>
      <c r="I925" t="s">
        <v>17</v>
      </c>
      <c r="J925" t="s">
        <v>18</v>
      </c>
      <c r="K925" cm="1">
        <f t="array" aca="1" ref="K925" ca="1">_xlfn.IFS(EmployeeData[[#This Row],[Status]]="Active",_xlfn.DAYS(TODAY(),EmployeeData[[#This Row],[Join Date]]),EmployeeData[[#This Row],[Status]]="Exited",_xlfn.DAYS(EmployeeData[[#This Row],[Exit Date]],EmployeeData[[#This Row],[Join Date]]))</f>
        <v>311</v>
      </c>
      <c r="L925" cm="1">
        <f t="array" aca="1" ref="L925" ca="1">_xlfn.IFS(EmployeeData[[#This Row],[Status]]="Exited",DATEDIF(EmployeeData[[#This Row],[Join Date]], EmployeeData[[#This Row],[Exit Date]], "Y"),EmployeeData[[#This Row],[Status]]="Active",DATEDIF(EmployeeData[[#This Row],[Join Date]], TODAY(), "Y"))</f>
        <v>0</v>
      </c>
      <c r="Q925" t="str" cm="1">
        <f t="array" aca="1" ref="Q9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7 days</v>
      </c>
    </row>
    <row r="926" spans="1:17" x14ac:dyDescent="0.3">
      <c r="A926">
        <v>1925</v>
      </c>
      <c r="B926" t="s">
        <v>1008</v>
      </c>
      <c r="C926" t="s">
        <v>33</v>
      </c>
      <c r="D926" t="s">
        <v>16</v>
      </c>
      <c r="E926">
        <v>31</v>
      </c>
      <c r="F926" t="str" cm="1">
        <f t="array" ref="F926">_xlfn.IFS(EmployeeData[[#This Row],[Age]]&lt;30,"20s",EmployeeData[[#This Row],[Age]]&lt;40,"30s",EmployeeData[[#This Row],[Age]]&lt;50,"40s",EmployeeData[[#This Row],[Age]]&lt;60,"50s",EmployeeData[[#This Row],[Age]]&gt;=60,"60s")</f>
        <v>30s</v>
      </c>
      <c r="G926" s="5">
        <v>43281</v>
      </c>
      <c r="I926" t="s">
        <v>17</v>
      </c>
      <c r="J926" t="s">
        <v>18</v>
      </c>
      <c r="K926" cm="1">
        <f t="array" aca="1" ref="K926" ca="1">_xlfn.IFS(EmployeeData[[#This Row],[Status]]="Active",_xlfn.DAYS(TODAY(),EmployeeData[[#This Row],[Join Date]]),EmployeeData[[#This Row],[Status]]="Exited",_xlfn.DAYS(EmployeeData[[#This Row],[Exit Date]],EmployeeData[[#This Row],[Join Date]]))</f>
        <v>2916</v>
      </c>
      <c r="L926" cm="1">
        <f t="array" aca="1" ref="L926" ca="1">_xlfn.IFS(EmployeeData[[#This Row],[Status]]="Exited",DATEDIF(EmployeeData[[#This Row],[Join Date]], EmployeeData[[#This Row],[Exit Date]], "Y"),EmployeeData[[#This Row],[Status]]="Active",DATEDIF(EmployeeData[[#This Row],[Join Date]], TODAY(), "Y"))</f>
        <v>7</v>
      </c>
      <c r="Q926" t="str" cm="1">
        <f t="array" aca="1" ref="Q9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25 days</v>
      </c>
    </row>
    <row r="927" spans="1:17" hidden="1" x14ac:dyDescent="0.3">
      <c r="A927">
        <v>1926</v>
      </c>
      <c r="B927" t="s">
        <v>595</v>
      </c>
      <c r="C927" t="s">
        <v>23</v>
      </c>
      <c r="D927" t="s">
        <v>11</v>
      </c>
      <c r="E927">
        <v>46</v>
      </c>
      <c r="F927" t="str" cm="1">
        <f t="array" ref="F927">_xlfn.IFS(EmployeeData[[#This Row],[Age]]&lt;30,"20s",EmployeeData[[#This Row],[Age]]&lt;40,"30s",EmployeeData[[#This Row],[Age]]&lt;50,"40s",EmployeeData[[#This Row],[Age]]&lt;60,"50s",EmployeeData[[#This Row],[Age]]&gt;=60,"60s")</f>
        <v>40s</v>
      </c>
      <c r="G927" s="5">
        <v>44853</v>
      </c>
      <c r="H927" s="5">
        <v>45380</v>
      </c>
      <c r="I927" t="s">
        <v>31</v>
      </c>
      <c r="J927" t="s">
        <v>13</v>
      </c>
      <c r="K927" cm="1">
        <f t="array" aca="1" ref="K927" ca="1">_xlfn.IFS(EmployeeData[[#This Row],[Status]]="Active",_xlfn.DAYS(TODAY(),EmployeeData[[#This Row],[Join Date]]),EmployeeData[[#This Row],[Status]]="Exited",_xlfn.DAYS(EmployeeData[[#This Row],[Exit Date]],EmployeeData[[#This Row],[Join Date]]))</f>
        <v>527</v>
      </c>
      <c r="L927" cm="1">
        <f t="array" aca="1" ref="L927" ca="1">_xlfn.IFS(EmployeeData[[#This Row],[Status]]="Exited",DATEDIF(EmployeeData[[#This Row],[Join Date]], EmployeeData[[#This Row],[Exit Date]], "Y"),EmployeeData[[#This Row],[Status]]="Active",DATEDIF(EmployeeData[[#This Row],[Join Date]], TODAY(), "Y"))</f>
        <v>1</v>
      </c>
      <c r="Q927" t="str" cm="1">
        <f t="array" aca="1" ref="Q9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928" spans="1:17" x14ac:dyDescent="0.3">
      <c r="A928">
        <v>1927</v>
      </c>
      <c r="B928" t="s">
        <v>832</v>
      </c>
      <c r="C928" t="s">
        <v>15</v>
      </c>
      <c r="D928" t="s">
        <v>16</v>
      </c>
      <c r="E928">
        <v>35</v>
      </c>
      <c r="F928" t="str" cm="1">
        <f t="array" ref="F928">_xlfn.IFS(EmployeeData[[#This Row],[Age]]&lt;30,"20s",EmployeeData[[#This Row],[Age]]&lt;40,"30s",EmployeeData[[#This Row],[Age]]&lt;50,"40s",EmployeeData[[#This Row],[Age]]&lt;60,"50s",EmployeeData[[#This Row],[Age]]&gt;=60,"60s")</f>
        <v>30s</v>
      </c>
      <c r="G928" s="5">
        <v>43371</v>
      </c>
      <c r="I928" t="s">
        <v>17</v>
      </c>
      <c r="J928" t="s">
        <v>18</v>
      </c>
      <c r="K928" cm="1">
        <f t="array" aca="1" ref="K928" ca="1">_xlfn.IFS(EmployeeData[[#This Row],[Status]]="Active",_xlfn.DAYS(TODAY(),EmployeeData[[#This Row],[Join Date]]),EmployeeData[[#This Row],[Status]]="Exited",_xlfn.DAYS(EmployeeData[[#This Row],[Exit Date]],EmployeeData[[#This Row],[Join Date]]))</f>
        <v>2826</v>
      </c>
      <c r="L928" cm="1">
        <f t="array" aca="1" ref="L928" ca="1">_xlfn.IFS(EmployeeData[[#This Row],[Status]]="Exited",DATEDIF(EmployeeData[[#This Row],[Join Date]], EmployeeData[[#This Row],[Exit Date]], "Y"),EmployeeData[[#This Row],[Status]]="Active",DATEDIF(EmployeeData[[#This Row],[Join Date]], TODAY(), "Y"))</f>
        <v>7</v>
      </c>
      <c r="Q928" t="str" cm="1">
        <f t="array" aca="1" ref="Q9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27 days</v>
      </c>
    </row>
    <row r="929" spans="1:17" hidden="1" x14ac:dyDescent="0.3">
      <c r="A929">
        <v>1928</v>
      </c>
      <c r="B929" t="s">
        <v>757</v>
      </c>
      <c r="C929" t="s">
        <v>15</v>
      </c>
      <c r="D929" t="s">
        <v>11</v>
      </c>
      <c r="E929">
        <v>47</v>
      </c>
      <c r="F929" t="str" cm="1">
        <f t="array" ref="F929">_xlfn.IFS(EmployeeData[[#This Row],[Age]]&lt;30,"20s",EmployeeData[[#This Row],[Age]]&lt;40,"30s",EmployeeData[[#This Row],[Age]]&lt;50,"40s",EmployeeData[[#This Row],[Age]]&lt;60,"50s",EmployeeData[[#This Row],[Age]]&gt;=60,"60s")</f>
        <v>40s</v>
      </c>
      <c r="G929" s="5">
        <v>44336</v>
      </c>
      <c r="I929" t="s">
        <v>17</v>
      </c>
      <c r="J929" t="s">
        <v>18</v>
      </c>
      <c r="K929" cm="1">
        <f t="array" aca="1" ref="K929" ca="1">_xlfn.IFS(EmployeeData[[#This Row],[Status]]="Active",_xlfn.DAYS(TODAY(),EmployeeData[[#This Row],[Join Date]]),EmployeeData[[#This Row],[Status]]="Exited",_xlfn.DAYS(EmployeeData[[#This Row],[Exit Date]],EmployeeData[[#This Row],[Join Date]]))</f>
        <v>1861</v>
      </c>
      <c r="L929" cm="1">
        <f t="array" aca="1" ref="L929" ca="1">_xlfn.IFS(EmployeeData[[#This Row],[Status]]="Exited",DATEDIF(EmployeeData[[#This Row],[Join Date]], EmployeeData[[#This Row],[Exit Date]], "Y"),EmployeeData[[#This Row],[Status]]="Active",DATEDIF(EmployeeData[[#This Row],[Join Date]], TODAY(), "Y"))</f>
        <v>5</v>
      </c>
      <c r="Q929" t="str" cm="1">
        <f t="array" aca="1" ref="Q9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4 days</v>
      </c>
    </row>
    <row r="930" spans="1:17" hidden="1" x14ac:dyDescent="0.3">
      <c r="A930">
        <v>1929</v>
      </c>
      <c r="B930" t="s">
        <v>1027</v>
      </c>
      <c r="C930" t="s">
        <v>33</v>
      </c>
      <c r="D930" t="s">
        <v>11</v>
      </c>
      <c r="E930">
        <v>57</v>
      </c>
      <c r="F930" t="str" cm="1">
        <f t="array" ref="F930">_xlfn.IFS(EmployeeData[[#This Row],[Age]]&lt;30,"20s",EmployeeData[[#This Row],[Age]]&lt;40,"30s",EmployeeData[[#This Row],[Age]]&lt;50,"40s",EmployeeData[[#This Row],[Age]]&lt;60,"50s",EmployeeData[[#This Row],[Age]]&gt;=60,"60s")</f>
        <v>50s</v>
      </c>
      <c r="G930" s="5">
        <v>43803</v>
      </c>
      <c r="H930" s="5">
        <v>44281</v>
      </c>
      <c r="I930" t="s">
        <v>28</v>
      </c>
      <c r="J930" t="s">
        <v>13</v>
      </c>
      <c r="K930" cm="1">
        <f t="array" aca="1" ref="K930" ca="1">_xlfn.IFS(EmployeeData[[#This Row],[Status]]="Active",_xlfn.DAYS(TODAY(),EmployeeData[[#This Row],[Join Date]]),EmployeeData[[#This Row],[Status]]="Exited",_xlfn.DAYS(EmployeeData[[#This Row],[Exit Date]],EmployeeData[[#This Row],[Join Date]]))</f>
        <v>478</v>
      </c>
      <c r="L930" cm="1">
        <f t="array" aca="1" ref="L930" ca="1">_xlfn.IFS(EmployeeData[[#This Row],[Status]]="Exited",DATEDIF(EmployeeData[[#This Row],[Join Date]], EmployeeData[[#This Row],[Exit Date]], "Y"),EmployeeData[[#This Row],[Status]]="Active",DATEDIF(EmployeeData[[#This Row],[Join Date]], TODAY(), "Y"))</f>
        <v>1</v>
      </c>
      <c r="Q930" t="str" cm="1">
        <f t="array" aca="1" ref="Q9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931" spans="1:17" hidden="1" x14ac:dyDescent="0.3">
      <c r="A931">
        <v>1930</v>
      </c>
      <c r="B931" t="s">
        <v>1067</v>
      </c>
      <c r="C931" t="s">
        <v>20</v>
      </c>
      <c r="D931" t="s">
        <v>16</v>
      </c>
      <c r="E931">
        <v>32</v>
      </c>
      <c r="F931" t="str" cm="1">
        <f t="array" ref="F931">_xlfn.IFS(EmployeeData[[#This Row],[Age]]&lt;30,"20s",EmployeeData[[#This Row],[Age]]&lt;40,"30s",EmployeeData[[#This Row],[Age]]&lt;50,"40s",EmployeeData[[#This Row],[Age]]&lt;60,"50s",EmployeeData[[#This Row],[Age]]&gt;=60,"60s")</f>
        <v>30s</v>
      </c>
      <c r="G931" s="5">
        <v>45703</v>
      </c>
      <c r="I931" t="s">
        <v>17</v>
      </c>
      <c r="J931" t="s">
        <v>18</v>
      </c>
      <c r="K931" cm="1">
        <f t="array" aca="1" ref="K931" ca="1">_xlfn.IFS(EmployeeData[[#This Row],[Status]]="Active",_xlfn.DAYS(TODAY(),EmployeeData[[#This Row],[Join Date]]),EmployeeData[[#This Row],[Status]]="Exited",_xlfn.DAYS(EmployeeData[[#This Row],[Exit Date]],EmployeeData[[#This Row],[Join Date]]))</f>
        <v>494</v>
      </c>
      <c r="L931" cm="1">
        <f t="array" aca="1" ref="L931" ca="1">_xlfn.IFS(EmployeeData[[#This Row],[Status]]="Exited",DATEDIF(EmployeeData[[#This Row],[Join Date]], EmployeeData[[#This Row],[Exit Date]], "Y"),EmployeeData[[#This Row],[Status]]="Active",DATEDIF(EmployeeData[[#This Row],[Join Date]], TODAY(), "Y"))</f>
        <v>1</v>
      </c>
      <c r="Q931" t="str" cm="1">
        <f t="array" aca="1" ref="Q9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9 days</v>
      </c>
    </row>
    <row r="932" spans="1:17" hidden="1" x14ac:dyDescent="0.3">
      <c r="A932">
        <v>1931</v>
      </c>
      <c r="B932" t="s">
        <v>99</v>
      </c>
      <c r="C932" t="s">
        <v>15</v>
      </c>
      <c r="D932" t="s">
        <v>11</v>
      </c>
      <c r="E932">
        <v>49</v>
      </c>
      <c r="F932" t="str" cm="1">
        <f t="array" ref="F932">_xlfn.IFS(EmployeeData[[#This Row],[Age]]&lt;30,"20s",EmployeeData[[#This Row],[Age]]&lt;40,"30s",EmployeeData[[#This Row],[Age]]&lt;50,"40s",EmployeeData[[#This Row],[Age]]&lt;60,"50s",EmployeeData[[#This Row],[Age]]&gt;=60,"60s")</f>
        <v>40s</v>
      </c>
      <c r="G932" s="5">
        <v>44667</v>
      </c>
      <c r="I932" t="s">
        <v>17</v>
      </c>
      <c r="J932" t="s">
        <v>18</v>
      </c>
      <c r="K932" cm="1">
        <f t="array" aca="1" ref="K932" ca="1">_xlfn.IFS(EmployeeData[[#This Row],[Status]]="Active",_xlfn.DAYS(TODAY(),EmployeeData[[#This Row],[Join Date]]),EmployeeData[[#This Row],[Status]]="Exited",_xlfn.DAYS(EmployeeData[[#This Row],[Exit Date]],EmployeeData[[#This Row],[Join Date]]))</f>
        <v>1530</v>
      </c>
      <c r="L932" cm="1">
        <f t="array" aca="1" ref="L932" ca="1">_xlfn.IFS(EmployeeData[[#This Row],[Status]]="Exited",DATEDIF(EmployeeData[[#This Row],[Join Date]], EmployeeData[[#This Row],[Exit Date]], "Y"),EmployeeData[[#This Row],[Status]]="Active",DATEDIF(EmployeeData[[#This Row],[Join Date]], TODAY(), "Y"))</f>
        <v>4</v>
      </c>
      <c r="Q932" t="str" cm="1">
        <f t="array" aca="1" ref="Q9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8 days</v>
      </c>
    </row>
    <row r="933" spans="1:17" hidden="1" x14ac:dyDescent="0.3">
      <c r="A933">
        <v>1932</v>
      </c>
      <c r="B933" t="s">
        <v>756</v>
      </c>
      <c r="C933" t="s">
        <v>15</v>
      </c>
      <c r="D933" t="s">
        <v>24</v>
      </c>
      <c r="E933">
        <v>28</v>
      </c>
      <c r="F933" t="str" cm="1">
        <f t="array" ref="F933">_xlfn.IFS(EmployeeData[[#This Row],[Age]]&lt;30,"20s",EmployeeData[[#This Row],[Age]]&lt;40,"30s",EmployeeData[[#This Row],[Age]]&lt;50,"40s",EmployeeData[[#This Row],[Age]]&lt;60,"50s",EmployeeData[[#This Row],[Age]]&gt;=60,"60s")</f>
        <v>20s</v>
      </c>
      <c r="G933" s="5">
        <v>44366</v>
      </c>
      <c r="H933" s="5">
        <v>45333</v>
      </c>
      <c r="I933" t="s">
        <v>34</v>
      </c>
      <c r="J933" t="s">
        <v>13</v>
      </c>
      <c r="K933" cm="1">
        <f t="array" aca="1" ref="K933" ca="1">_xlfn.IFS(EmployeeData[[#This Row],[Status]]="Active",_xlfn.DAYS(TODAY(),EmployeeData[[#This Row],[Join Date]]),EmployeeData[[#This Row],[Status]]="Exited",_xlfn.DAYS(EmployeeData[[#This Row],[Exit Date]],EmployeeData[[#This Row],[Join Date]]))</f>
        <v>967</v>
      </c>
      <c r="L933" cm="1">
        <f t="array" aca="1" ref="L933" ca="1">_xlfn.IFS(EmployeeData[[#This Row],[Status]]="Exited",DATEDIF(EmployeeData[[#This Row],[Join Date]], EmployeeData[[#This Row],[Exit Date]], "Y"),EmployeeData[[#This Row],[Status]]="Active",DATEDIF(EmployeeData[[#This Row],[Join Date]], TODAY(), "Y"))</f>
        <v>2</v>
      </c>
      <c r="Q933" t="str" cm="1">
        <f t="array" aca="1" ref="Q9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34" spans="1:17" hidden="1" x14ac:dyDescent="0.3">
      <c r="A934">
        <v>1933</v>
      </c>
      <c r="B934" t="s">
        <v>482</v>
      </c>
      <c r="C934" t="s">
        <v>10</v>
      </c>
      <c r="D934" t="s">
        <v>16</v>
      </c>
      <c r="E934">
        <v>34</v>
      </c>
      <c r="F934" t="str" cm="1">
        <f t="array" ref="F934">_xlfn.IFS(EmployeeData[[#This Row],[Age]]&lt;30,"20s",EmployeeData[[#This Row],[Age]]&lt;40,"30s",EmployeeData[[#This Row],[Age]]&lt;50,"40s",EmployeeData[[#This Row],[Age]]&lt;60,"50s",EmployeeData[[#This Row],[Age]]&gt;=60,"60s")</f>
        <v>30s</v>
      </c>
      <c r="G934" s="5">
        <v>45730</v>
      </c>
      <c r="H934" s="5">
        <v>46126</v>
      </c>
      <c r="I934" t="s">
        <v>21</v>
      </c>
      <c r="J934" t="s">
        <v>13</v>
      </c>
      <c r="K934" cm="1">
        <f t="array" aca="1" ref="K934" ca="1">_xlfn.IFS(EmployeeData[[#This Row],[Status]]="Active",_xlfn.DAYS(TODAY(),EmployeeData[[#This Row],[Join Date]]),EmployeeData[[#This Row],[Status]]="Exited",_xlfn.DAYS(EmployeeData[[#This Row],[Exit Date]],EmployeeData[[#This Row],[Join Date]]))</f>
        <v>396</v>
      </c>
      <c r="L934" cm="1">
        <f t="array" aca="1" ref="L934" ca="1">_xlfn.IFS(EmployeeData[[#This Row],[Status]]="Exited",DATEDIF(EmployeeData[[#This Row],[Join Date]], EmployeeData[[#This Row],[Exit Date]], "Y"),EmployeeData[[#This Row],[Status]]="Active",DATEDIF(EmployeeData[[#This Row],[Join Date]], TODAY(), "Y"))</f>
        <v>1</v>
      </c>
      <c r="Q934" t="str" cm="1">
        <f t="array" aca="1" ref="Q9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35" spans="1:17" hidden="1" x14ac:dyDescent="0.3">
      <c r="A935">
        <v>1934</v>
      </c>
      <c r="B935" t="s">
        <v>948</v>
      </c>
      <c r="C935" t="s">
        <v>15</v>
      </c>
      <c r="D935" t="s">
        <v>16</v>
      </c>
      <c r="E935">
        <v>23</v>
      </c>
      <c r="F935" t="str" cm="1">
        <f t="array" ref="F935">_xlfn.IFS(EmployeeData[[#This Row],[Age]]&lt;30,"20s",EmployeeData[[#This Row],[Age]]&lt;40,"30s",EmployeeData[[#This Row],[Age]]&lt;50,"40s",EmployeeData[[#This Row],[Age]]&lt;60,"50s",EmployeeData[[#This Row],[Age]]&gt;=60,"60s")</f>
        <v>20s</v>
      </c>
      <c r="G935" s="5">
        <v>45234</v>
      </c>
      <c r="I935" t="s">
        <v>17</v>
      </c>
      <c r="J935" t="s">
        <v>18</v>
      </c>
      <c r="K935" cm="1">
        <f t="array" aca="1" ref="K935" ca="1">_xlfn.IFS(EmployeeData[[#This Row],[Status]]="Active",_xlfn.DAYS(TODAY(),EmployeeData[[#This Row],[Join Date]]),EmployeeData[[#This Row],[Status]]="Exited",_xlfn.DAYS(EmployeeData[[#This Row],[Exit Date]],EmployeeData[[#This Row],[Join Date]]))</f>
        <v>963</v>
      </c>
      <c r="L935" cm="1">
        <f t="array" aca="1" ref="L935" ca="1">_xlfn.IFS(EmployeeData[[#This Row],[Status]]="Exited",DATEDIF(EmployeeData[[#This Row],[Join Date]], EmployeeData[[#This Row],[Exit Date]], "Y"),EmployeeData[[#This Row],[Status]]="Active",DATEDIF(EmployeeData[[#This Row],[Join Date]], TODAY(), "Y"))</f>
        <v>2</v>
      </c>
      <c r="Q935" t="str" cm="1">
        <f t="array" aca="1" ref="Q9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936" spans="1:17" hidden="1" x14ac:dyDescent="0.3">
      <c r="A936">
        <v>1935</v>
      </c>
      <c r="B936" t="s">
        <v>788</v>
      </c>
      <c r="C936" t="s">
        <v>20</v>
      </c>
      <c r="D936" t="s">
        <v>16</v>
      </c>
      <c r="E936">
        <v>42</v>
      </c>
      <c r="F936" t="str" cm="1">
        <f t="array" ref="F936">_xlfn.IFS(EmployeeData[[#This Row],[Age]]&lt;30,"20s",EmployeeData[[#This Row],[Age]]&lt;40,"30s",EmployeeData[[#This Row],[Age]]&lt;50,"40s",EmployeeData[[#This Row],[Age]]&lt;60,"50s",EmployeeData[[#This Row],[Age]]&gt;=60,"60s")</f>
        <v>40s</v>
      </c>
      <c r="G936" s="5">
        <v>44504</v>
      </c>
      <c r="H936" s="5">
        <v>45698</v>
      </c>
      <c r="I936" t="s">
        <v>31</v>
      </c>
      <c r="J936" t="s">
        <v>13</v>
      </c>
      <c r="K936" cm="1">
        <f t="array" aca="1" ref="K936" ca="1">_xlfn.IFS(EmployeeData[[#This Row],[Status]]="Active",_xlfn.DAYS(TODAY(),EmployeeData[[#This Row],[Join Date]]),EmployeeData[[#This Row],[Status]]="Exited",_xlfn.DAYS(EmployeeData[[#This Row],[Exit Date]],EmployeeData[[#This Row],[Join Date]]))</f>
        <v>1194</v>
      </c>
      <c r="L936" cm="1">
        <f t="array" aca="1" ref="L936" ca="1">_xlfn.IFS(EmployeeData[[#This Row],[Status]]="Exited",DATEDIF(EmployeeData[[#This Row],[Join Date]], EmployeeData[[#This Row],[Exit Date]], "Y"),EmployeeData[[#This Row],[Status]]="Active",DATEDIF(EmployeeData[[#This Row],[Join Date]], TODAY(), "Y"))</f>
        <v>3</v>
      </c>
      <c r="Q936" t="str" cm="1">
        <f t="array" aca="1" ref="Q9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37" spans="1:17" hidden="1" x14ac:dyDescent="0.3">
      <c r="A937">
        <v>1936</v>
      </c>
      <c r="B937" t="s">
        <v>824</v>
      </c>
      <c r="C937" t="s">
        <v>15</v>
      </c>
      <c r="D937" t="s">
        <v>11</v>
      </c>
      <c r="E937">
        <v>54</v>
      </c>
      <c r="F937" t="str" cm="1">
        <f t="array" ref="F937">_xlfn.IFS(EmployeeData[[#This Row],[Age]]&lt;30,"20s",EmployeeData[[#This Row],[Age]]&lt;40,"30s",EmployeeData[[#This Row],[Age]]&lt;50,"40s",EmployeeData[[#This Row],[Age]]&lt;60,"50s",EmployeeData[[#This Row],[Age]]&gt;=60,"60s")</f>
        <v>50s</v>
      </c>
      <c r="G937" s="5">
        <v>44418</v>
      </c>
      <c r="H937" s="5">
        <v>45797</v>
      </c>
      <c r="I937" t="s">
        <v>31</v>
      </c>
      <c r="J937" t="s">
        <v>13</v>
      </c>
      <c r="K937" cm="1">
        <f t="array" aca="1" ref="K937" ca="1">_xlfn.IFS(EmployeeData[[#This Row],[Status]]="Active",_xlfn.DAYS(TODAY(),EmployeeData[[#This Row],[Join Date]]),EmployeeData[[#This Row],[Status]]="Exited",_xlfn.DAYS(EmployeeData[[#This Row],[Exit Date]],EmployeeData[[#This Row],[Join Date]]))</f>
        <v>1379</v>
      </c>
      <c r="L937" cm="1">
        <f t="array" aca="1" ref="L937" ca="1">_xlfn.IFS(EmployeeData[[#This Row],[Status]]="Exited",DATEDIF(EmployeeData[[#This Row],[Join Date]], EmployeeData[[#This Row],[Exit Date]], "Y"),EmployeeData[[#This Row],[Status]]="Active",DATEDIF(EmployeeData[[#This Row],[Join Date]], TODAY(), "Y"))</f>
        <v>3</v>
      </c>
      <c r="Q937" t="str" cm="1">
        <f t="array" aca="1" ref="Q9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938" spans="1:17" hidden="1" x14ac:dyDescent="0.3">
      <c r="A938">
        <v>1937</v>
      </c>
      <c r="B938" t="s">
        <v>791</v>
      </c>
      <c r="C938" t="s">
        <v>15</v>
      </c>
      <c r="D938" t="s">
        <v>11</v>
      </c>
      <c r="E938">
        <v>52</v>
      </c>
      <c r="F938" t="str" cm="1">
        <f t="array" ref="F938">_xlfn.IFS(EmployeeData[[#This Row],[Age]]&lt;30,"20s",EmployeeData[[#This Row],[Age]]&lt;40,"30s",EmployeeData[[#This Row],[Age]]&lt;50,"40s",EmployeeData[[#This Row],[Age]]&lt;60,"50s",EmployeeData[[#This Row],[Age]]&gt;=60,"60s")</f>
        <v>50s</v>
      </c>
      <c r="G938" s="5">
        <v>43615</v>
      </c>
      <c r="H938" s="5">
        <v>44542</v>
      </c>
      <c r="I938" t="s">
        <v>26</v>
      </c>
      <c r="J938" t="s">
        <v>13</v>
      </c>
      <c r="K938" cm="1">
        <f t="array" aca="1" ref="K938" ca="1">_xlfn.IFS(EmployeeData[[#This Row],[Status]]="Active",_xlfn.DAYS(TODAY(),EmployeeData[[#This Row],[Join Date]]),EmployeeData[[#This Row],[Status]]="Exited",_xlfn.DAYS(EmployeeData[[#This Row],[Exit Date]],EmployeeData[[#This Row],[Join Date]]))</f>
        <v>927</v>
      </c>
      <c r="L938" cm="1">
        <f t="array" aca="1" ref="L938" ca="1">_xlfn.IFS(EmployeeData[[#This Row],[Status]]="Exited",DATEDIF(EmployeeData[[#This Row],[Join Date]], EmployeeData[[#This Row],[Exit Date]], "Y"),EmployeeData[[#This Row],[Status]]="Active",DATEDIF(EmployeeData[[#This Row],[Join Date]], TODAY(), "Y"))</f>
        <v>2</v>
      </c>
      <c r="Q938" t="str" cm="1">
        <f t="array" aca="1" ref="Q9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939" spans="1:17" hidden="1" x14ac:dyDescent="0.3">
      <c r="A939">
        <v>1938</v>
      </c>
      <c r="B939" t="s">
        <v>517</v>
      </c>
      <c r="C939" t="s">
        <v>20</v>
      </c>
      <c r="D939" t="s">
        <v>16</v>
      </c>
      <c r="E939">
        <v>32</v>
      </c>
      <c r="F939" t="str" cm="1">
        <f t="array" ref="F939">_xlfn.IFS(EmployeeData[[#This Row],[Age]]&lt;30,"20s",EmployeeData[[#This Row],[Age]]&lt;40,"30s",EmployeeData[[#This Row],[Age]]&lt;50,"40s",EmployeeData[[#This Row],[Age]]&lt;60,"50s",EmployeeData[[#This Row],[Age]]&gt;=60,"60s")</f>
        <v>30s</v>
      </c>
      <c r="G939" s="5">
        <v>45582</v>
      </c>
      <c r="H939" s="5">
        <v>45964</v>
      </c>
      <c r="I939" t="s">
        <v>65</v>
      </c>
      <c r="J939" t="s">
        <v>13</v>
      </c>
      <c r="K939" cm="1">
        <f t="array" aca="1" ref="K939" ca="1">_xlfn.IFS(EmployeeData[[#This Row],[Status]]="Active",_xlfn.DAYS(TODAY(),EmployeeData[[#This Row],[Join Date]]),EmployeeData[[#This Row],[Status]]="Exited",_xlfn.DAYS(EmployeeData[[#This Row],[Exit Date]],EmployeeData[[#This Row],[Join Date]]))</f>
        <v>382</v>
      </c>
      <c r="L939" cm="1">
        <f t="array" aca="1" ref="L939" ca="1">_xlfn.IFS(EmployeeData[[#This Row],[Status]]="Exited",DATEDIF(EmployeeData[[#This Row],[Join Date]], EmployeeData[[#This Row],[Exit Date]], "Y"),EmployeeData[[#This Row],[Status]]="Active",DATEDIF(EmployeeData[[#This Row],[Join Date]], TODAY(), "Y"))</f>
        <v>1</v>
      </c>
      <c r="Q939" t="str" cm="1">
        <f t="array" aca="1" ref="Q9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17 days</v>
      </c>
    </row>
    <row r="940" spans="1:17" hidden="1" x14ac:dyDescent="0.3">
      <c r="A940">
        <v>1939</v>
      </c>
      <c r="B940" t="s">
        <v>209</v>
      </c>
      <c r="C940" t="s">
        <v>23</v>
      </c>
      <c r="D940" t="s">
        <v>11</v>
      </c>
      <c r="E940">
        <v>44</v>
      </c>
      <c r="F940" t="str" cm="1">
        <f t="array" ref="F940">_xlfn.IFS(EmployeeData[[#This Row],[Age]]&lt;30,"20s",EmployeeData[[#This Row],[Age]]&lt;40,"30s",EmployeeData[[#This Row],[Age]]&lt;50,"40s",EmployeeData[[#This Row],[Age]]&lt;60,"50s",EmployeeData[[#This Row],[Age]]&gt;=60,"60s")</f>
        <v>40s</v>
      </c>
      <c r="G940" s="5">
        <v>44732</v>
      </c>
      <c r="H940" s="5">
        <v>45786</v>
      </c>
      <c r="I940" t="s">
        <v>12</v>
      </c>
      <c r="J940" t="s">
        <v>13</v>
      </c>
      <c r="K940" cm="1">
        <f t="array" aca="1" ref="K940" ca="1">_xlfn.IFS(EmployeeData[[#This Row],[Status]]="Active",_xlfn.DAYS(TODAY(),EmployeeData[[#This Row],[Join Date]]),EmployeeData[[#This Row],[Status]]="Exited",_xlfn.DAYS(EmployeeData[[#This Row],[Exit Date]],EmployeeData[[#This Row],[Join Date]]))</f>
        <v>1054</v>
      </c>
      <c r="L940" cm="1">
        <f t="array" aca="1" ref="L940" ca="1">_xlfn.IFS(EmployeeData[[#This Row],[Status]]="Exited",DATEDIF(EmployeeData[[#This Row],[Join Date]], EmployeeData[[#This Row],[Exit Date]], "Y"),EmployeeData[[#This Row],[Status]]="Active",DATEDIF(EmployeeData[[#This Row],[Join Date]], TODAY(), "Y"))</f>
        <v>2</v>
      </c>
      <c r="Q940" t="str" cm="1">
        <f t="array" aca="1" ref="Q9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19 days</v>
      </c>
    </row>
    <row r="941" spans="1:17" x14ac:dyDescent="0.3">
      <c r="A941">
        <v>1940</v>
      </c>
      <c r="B941" t="s">
        <v>361</v>
      </c>
      <c r="C941" t="s">
        <v>20</v>
      </c>
      <c r="D941" t="s">
        <v>11</v>
      </c>
      <c r="E941">
        <v>51</v>
      </c>
      <c r="F941" t="str" cm="1">
        <f t="array" ref="F941">_xlfn.IFS(EmployeeData[[#This Row],[Age]]&lt;30,"20s",EmployeeData[[#This Row],[Age]]&lt;40,"30s",EmployeeData[[#This Row],[Age]]&lt;50,"40s",EmployeeData[[#This Row],[Age]]&lt;60,"50s",EmployeeData[[#This Row],[Age]]&gt;=60,"60s")</f>
        <v>50s</v>
      </c>
      <c r="G941" s="5">
        <v>43182</v>
      </c>
      <c r="I941" t="s">
        <v>17</v>
      </c>
      <c r="J941" t="s">
        <v>18</v>
      </c>
      <c r="K941" cm="1">
        <f t="array" aca="1" ref="K941" ca="1">_xlfn.IFS(EmployeeData[[#This Row],[Status]]="Active",_xlfn.DAYS(TODAY(),EmployeeData[[#This Row],[Join Date]]),EmployeeData[[#This Row],[Status]]="Exited",_xlfn.DAYS(EmployeeData[[#This Row],[Exit Date]],EmployeeData[[#This Row],[Join Date]]))</f>
        <v>3015</v>
      </c>
      <c r="L941" cm="1">
        <f t="array" aca="1" ref="L941" ca="1">_xlfn.IFS(EmployeeData[[#This Row],[Status]]="Exited",DATEDIF(EmployeeData[[#This Row],[Join Date]], EmployeeData[[#This Row],[Exit Date]], "Y"),EmployeeData[[#This Row],[Status]]="Active",DATEDIF(EmployeeData[[#This Row],[Join Date]], TODAY(), "Y"))</f>
        <v>8</v>
      </c>
      <c r="Q941" t="str" cm="1">
        <f t="array" aca="1" ref="Q9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942" spans="1:17" hidden="1" x14ac:dyDescent="0.3">
      <c r="A942">
        <v>1941</v>
      </c>
      <c r="B942" t="s">
        <v>771</v>
      </c>
      <c r="C942" t="s">
        <v>46</v>
      </c>
      <c r="D942" t="s">
        <v>24</v>
      </c>
      <c r="E942">
        <v>30</v>
      </c>
      <c r="F942" t="str" cm="1">
        <f t="array" ref="F942">_xlfn.IFS(EmployeeData[[#This Row],[Age]]&lt;30,"20s",EmployeeData[[#This Row],[Age]]&lt;40,"30s",EmployeeData[[#This Row],[Age]]&lt;50,"40s",EmployeeData[[#This Row],[Age]]&lt;60,"50s",EmployeeData[[#This Row],[Age]]&gt;=60,"60s")</f>
        <v>30s</v>
      </c>
      <c r="G942" s="5">
        <v>45365</v>
      </c>
      <c r="I942" t="s">
        <v>17</v>
      </c>
      <c r="J942" t="s">
        <v>18</v>
      </c>
      <c r="K942" cm="1">
        <f t="array" aca="1" ref="K942" ca="1">_xlfn.IFS(EmployeeData[[#This Row],[Status]]="Active",_xlfn.DAYS(TODAY(),EmployeeData[[#This Row],[Join Date]]),EmployeeData[[#This Row],[Status]]="Exited",_xlfn.DAYS(EmployeeData[[#This Row],[Exit Date]],EmployeeData[[#This Row],[Join Date]]))</f>
        <v>832</v>
      </c>
      <c r="L942" cm="1">
        <f t="array" aca="1" ref="L942" ca="1">_xlfn.IFS(EmployeeData[[#This Row],[Status]]="Exited",DATEDIF(EmployeeData[[#This Row],[Join Date]], EmployeeData[[#This Row],[Exit Date]], "Y"),EmployeeData[[#This Row],[Status]]="Active",DATEDIF(EmployeeData[[#This Row],[Join Date]], TODAY(), "Y"))</f>
        <v>2</v>
      </c>
      <c r="Q942" t="str" cm="1">
        <f t="array" aca="1" ref="Q9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10 days</v>
      </c>
    </row>
    <row r="943" spans="1:17" x14ac:dyDescent="0.3">
      <c r="A943">
        <v>1942</v>
      </c>
      <c r="B943" t="s">
        <v>1037</v>
      </c>
      <c r="C943" t="s">
        <v>10</v>
      </c>
      <c r="D943" t="s">
        <v>24</v>
      </c>
      <c r="E943">
        <v>51</v>
      </c>
      <c r="F943" t="str" cm="1">
        <f t="array" ref="F943">_xlfn.IFS(EmployeeData[[#This Row],[Age]]&lt;30,"20s",EmployeeData[[#This Row],[Age]]&lt;40,"30s",EmployeeData[[#This Row],[Age]]&lt;50,"40s",EmployeeData[[#This Row],[Age]]&lt;60,"50s",EmployeeData[[#This Row],[Age]]&gt;=60,"60s")</f>
        <v>50s</v>
      </c>
      <c r="G943" s="5">
        <v>43395</v>
      </c>
      <c r="H943" s="5">
        <v>45407</v>
      </c>
      <c r="I943" t="s">
        <v>31</v>
      </c>
      <c r="J943" t="s">
        <v>13</v>
      </c>
      <c r="K943" cm="1">
        <f t="array" aca="1" ref="K943" ca="1">_xlfn.IFS(EmployeeData[[#This Row],[Status]]="Active",_xlfn.DAYS(TODAY(),EmployeeData[[#This Row],[Join Date]]),EmployeeData[[#This Row],[Status]]="Exited",_xlfn.DAYS(EmployeeData[[#This Row],[Exit Date]],EmployeeData[[#This Row],[Join Date]]))</f>
        <v>2012</v>
      </c>
      <c r="L943" cm="1">
        <f t="array" aca="1" ref="L943" ca="1">_xlfn.IFS(EmployeeData[[#This Row],[Status]]="Exited",DATEDIF(EmployeeData[[#This Row],[Join Date]], EmployeeData[[#This Row],[Exit Date]], "Y"),EmployeeData[[#This Row],[Status]]="Active",DATEDIF(EmployeeData[[#This Row],[Join Date]], TODAY(), "Y"))</f>
        <v>5</v>
      </c>
      <c r="Q943" t="str" cm="1">
        <f t="array" aca="1" ref="Q9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3 days</v>
      </c>
    </row>
    <row r="944" spans="1:17" hidden="1" x14ac:dyDescent="0.3">
      <c r="A944">
        <v>1943</v>
      </c>
      <c r="B944" t="s">
        <v>677</v>
      </c>
      <c r="C944" t="s">
        <v>23</v>
      </c>
      <c r="D944" t="s">
        <v>11</v>
      </c>
      <c r="E944">
        <v>46</v>
      </c>
      <c r="F944" t="str" cm="1">
        <f t="array" ref="F944">_xlfn.IFS(EmployeeData[[#This Row],[Age]]&lt;30,"20s",EmployeeData[[#This Row],[Age]]&lt;40,"30s",EmployeeData[[#This Row],[Age]]&lt;50,"40s",EmployeeData[[#This Row],[Age]]&lt;60,"50s",EmployeeData[[#This Row],[Age]]&gt;=60,"60s")</f>
        <v>40s</v>
      </c>
      <c r="G944" s="5">
        <v>44629</v>
      </c>
      <c r="I944" t="s">
        <v>17</v>
      </c>
      <c r="J944" t="s">
        <v>18</v>
      </c>
      <c r="K944" cm="1">
        <f t="array" aca="1" ref="K944" ca="1">_xlfn.IFS(EmployeeData[[#This Row],[Status]]="Active",_xlfn.DAYS(TODAY(),EmployeeData[[#This Row],[Join Date]]),EmployeeData[[#This Row],[Status]]="Exited",_xlfn.DAYS(EmployeeData[[#This Row],[Exit Date]],EmployeeData[[#This Row],[Join Date]]))</f>
        <v>1568</v>
      </c>
      <c r="L944" cm="1">
        <f t="array" aca="1" ref="L944" ca="1">_xlfn.IFS(EmployeeData[[#This Row],[Status]]="Exited",DATEDIF(EmployeeData[[#This Row],[Join Date]], EmployeeData[[#This Row],[Exit Date]], "Y"),EmployeeData[[#This Row],[Status]]="Active",DATEDIF(EmployeeData[[#This Row],[Join Date]], TODAY(), "Y"))</f>
        <v>4</v>
      </c>
      <c r="Q944" t="str" cm="1">
        <f t="array" aca="1" ref="Q9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15 days</v>
      </c>
    </row>
    <row r="945" spans="1:17" hidden="1" x14ac:dyDescent="0.3">
      <c r="A945">
        <v>1944</v>
      </c>
      <c r="B945" t="s">
        <v>779</v>
      </c>
      <c r="C945" t="s">
        <v>15</v>
      </c>
      <c r="D945" t="s">
        <v>11</v>
      </c>
      <c r="E945">
        <v>28</v>
      </c>
      <c r="F945" t="str" cm="1">
        <f t="array" ref="F945">_xlfn.IFS(EmployeeData[[#This Row],[Age]]&lt;30,"20s",EmployeeData[[#This Row],[Age]]&lt;40,"30s",EmployeeData[[#This Row],[Age]]&lt;50,"40s",EmployeeData[[#This Row],[Age]]&lt;60,"50s",EmployeeData[[#This Row],[Age]]&gt;=60,"60s")</f>
        <v>20s</v>
      </c>
      <c r="G945" s="5">
        <v>44677</v>
      </c>
      <c r="I945" t="s">
        <v>17</v>
      </c>
      <c r="J945" t="s">
        <v>18</v>
      </c>
      <c r="K945" cm="1">
        <f t="array" aca="1" ref="K945" ca="1">_xlfn.IFS(EmployeeData[[#This Row],[Status]]="Active",_xlfn.DAYS(TODAY(),EmployeeData[[#This Row],[Join Date]]),EmployeeData[[#This Row],[Status]]="Exited",_xlfn.DAYS(EmployeeData[[#This Row],[Exit Date]],EmployeeData[[#This Row],[Join Date]]))</f>
        <v>1520</v>
      </c>
      <c r="L945" cm="1">
        <f t="array" aca="1" ref="L945" ca="1">_xlfn.IFS(EmployeeData[[#This Row],[Status]]="Exited",DATEDIF(EmployeeData[[#This Row],[Join Date]], EmployeeData[[#This Row],[Exit Date]], "Y"),EmployeeData[[#This Row],[Status]]="Active",DATEDIF(EmployeeData[[#This Row],[Join Date]], TODAY(), "Y"))</f>
        <v>4</v>
      </c>
      <c r="Q945" t="str" cm="1">
        <f t="array" aca="1" ref="Q9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29 days</v>
      </c>
    </row>
    <row r="946" spans="1:17" hidden="1" x14ac:dyDescent="0.3">
      <c r="A946">
        <v>1945</v>
      </c>
      <c r="B946" t="s">
        <v>752</v>
      </c>
      <c r="C946" t="s">
        <v>46</v>
      </c>
      <c r="D946" t="s">
        <v>11</v>
      </c>
      <c r="E946">
        <v>43</v>
      </c>
      <c r="F946" t="str" cm="1">
        <f t="array" ref="F946">_xlfn.IFS(EmployeeData[[#This Row],[Age]]&lt;30,"20s",EmployeeData[[#This Row],[Age]]&lt;40,"30s",EmployeeData[[#This Row],[Age]]&lt;50,"40s",EmployeeData[[#This Row],[Age]]&lt;60,"50s",EmployeeData[[#This Row],[Age]]&gt;=60,"60s")</f>
        <v>40s</v>
      </c>
      <c r="G946" s="5">
        <v>45188</v>
      </c>
      <c r="I946" t="s">
        <v>17</v>
      </c>
      <c r="J946" t="s">
        <v>18</v>
      </c>
      <c r="K946" cm="1">
        <f t="array" aca="1" ref="K946" ca="1">_xlfn.IFS(EmployeeData[[#This Row],[Status]]="Active",_xlfn.DAYS(TODAY(),EmployeeData[[#This Row],[Join Date]]),EmployeeData[[#This Row],[Status]]="Exited",_xlfn.DAYS(EmployeeData[[#This Row],[Exit Date]],EmployeeData[[#This Row],[Join Date]]))</f>
        <v>1009</v>
      </c>
      <c r="L946" cm="1">
        <f t="array" aca="1" ref="L946" ca="1">_xlfn.IFS(EmployeeData[[#This Row],[Status]]="Exited",DATEDIF(EmployeeData[[#This Row],[Join Date]], EmployeeData[[#This Row],[Exit Date]], "Y"),EmployeeData[[#This Row],[Status]]="Active",DATEDIF(EmployeeData[[#This Row],[Join Date]], TODAY(), "Y"))</f>
        <v>2</v>
      </c>
      <c r="Q946" t="str" cm="1">
        <f t="array" aca="1" ref="Q9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5 days</v>
      </c>
    </row>
    <row r="947" spans="1:17" hidden="1" x14ac:dyDescent="0.3">
      <c r="A947">
        <v>1946</v>
      </c>
      <c r="B947" t="s">
        <v>221</v>
      </c>
      <c r="C947" t="s">
        <v>46</v>
      </c>
      <c r="D947" t="s">
        <v>11</v>
      </c>
      <c r="E947">
        <v>36</v>
      </c>
      <c r="F947" t="str" cm="1">
        <f t="array" ref="F947">_xlfn.IFS(EmployeeData[[#This Row],[Age]]&lt;30,"20s",EmployeeData[[#This Row],[Age]]&lt;40,"30s",EmployeeData[[#This Row],[Age]]&lt;50,"40s",EmployeeData[[#This Row],[Age]]&lt;60,"50s",EmployeeData[[#This Row],[Age]]&gt;=60,"60s")</f>
        <v>30s</v>
      </c>
      <c r="G947" s="5">
        <v>45057</v>
      </c>
      <c r="H947" s="5">
        <v>45887</v>
      </c>
      <c r="I947" t="s">
        <v>28</v>
      </c>
      <c r="J947" t="s">
        <v>13</v>
      </c>
      <c r="K947" cm="1">
        <f t="array" aca="1" ref="K947" ca="1">_xlfn.IFS(EmployeeData[[#This Row],[Status]]="Active",_xlfn.DAYS(TODAY(),EmployeeData[[#This Row],[Join Date]]),EmployeeData[[#This Row],[Status]]="Exited",_xlfn.DAYS(EmployeeData[[#This Row],[Exit Date]],EmployeeData[[#This Row],[Join Date]]))</f>
        <v>830</v>
      </c>
      <c r="L947" cm="1">
        <f t="array" aca="1" ref="L947" ca="1">_xlfn.IFS(EmployeeData[[#This Row],[Status]]="Exited",DATEDIF(EmployeeData[[#This Row],[Join Date]], EmployeeData[[#This Row],[Exit Date]], "Y"),EmployeeData[[#This Row],[Status]]="Active",DATEDIF(EmployeeData[[#This Row],[Join Date]], TODAY(), "Y"))</f>
        <v>2</v>
      </c>
      <c r="Q947" t="str" cm="1">
        <f t="array" aca="1" ref="Q9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8" spans="1:17" hidden="1" x14ac:dyDescent="0.3">
      <c r="A948">
        <v>1947</v>
      </c>
      <c r="B948" t="s">
        <v>186</v>
      </c>
      <c r="C948" t="s">
        <v>15</v>
      </c>
      <c r="D948" t="s">
        <v>24</v>
      </c>
      <c r="E948">
        <v>30</v>
      </c>
      <c r="F948" t="str" cm="1">
        <f t="array" ref="F948">_xlfn.IFS(EmployeeData[[#This Row],[Age]]&lt;30,"20s",EmployeeData[[#This Row],[Age]]&lt;40,"30s",EmployeeData[[#This Row],[Age]]&lt;50,"40s",EmployeeData[[#This Row],[Age]]&lt;60,"50s",EmployeeData[[#This Row],[Age]]&gt;=60,"60s")</f>
        <v>30s</v>
      </c>
      <c r="G948" s="5">
        <v>44142</v>
      </c>
      <c r="H948" s="5">
        <v>45416</v>
      </c>
      <c r="I948" t="s">
        <v>21</v>
      </c>
      <c r="J948" t="s">
        <v>13</v>
      </c>
      <c r="K948" cm="1">
        <f t="array" aca="1" ref="K948" ca="1">_xlfn.IFS(EmployeeData[[#This Row],[Status]]="Active",_xlfn.DAYS(TODAY(),EmployeeData[[#This Row],[Join Date]]),EmployeeData[[#This Row],[Status]]="Exited",_xlfn.DAYS(EmployeeData[[#This Row],[Exit Date]],EmployeeData[[#This Row],[Join Date]]))</f>
        <v>1274</v>
      </c>
      <c r="L948" cm="1">
        <f t="array" aca="1" ref="L948" ca="1">_xlfn.IFS(EmployeeData[[#This Row],[Status]]="Exited",DATEDIF(EmployeeData[[#This Row],[Join Date]], EmployeeData[[#This Row],[Exit Date]], "Y"),EmployeeData[[#This Row],[Status]]="Active",DATEDIF(EmployeeData[[#This Row],[Join Date]], TODAY(), "Y"))</f>
        <v>3</v>
      </c>
      <c r="Q948" t="str" cm="1">
        <f t="array" aca="1" ref="Q9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949" spans="1:17" hidden="1" x14ac:dyDescent="0.3">
      <c r="A949">
        <v>1948</v>
      </c>
      <c r="B949" t="s">
        <v>506</v>
      </c>
      <c r="C949" t="s">
        <v>20</v>
      </c>
      <c r="D949" t="s">
        <v>11</v>
      </c>
      <c r="E949">
        <v>46</v>
      </c>
      <c r="F949" t="str" cm="1">
        <f t="array" ref="F949">_xlfn.IFS(EmployeeData[[#This Row],[Age]]&lt;30,"20s",EmployeeData[[#This Row],[Age]]&lt;40,"30s",EmployeeData[[#This Row],[Age]]&lt;50,"40s",EmployeeData[[#This Row],[Age]]&lt;60,"50s",EmployeeData[[#This Row],[Age]]&gt;=60,"60s")</f>
        <v>40s</v>
      </c>
      <c r="G949" s="5">
        <v>45993</v>
      </c>
      <c r="I949" t="s">
        <v>17</v>
      </c>
      <c r="J949" t="s">
        <v>18</v>
      </c>
      <c r="K949" cm="1">
        <f t="array" aca="1" ref="K949" ca="1">_xlfn.IFS(EmployeeData[[#This Row],[Status]]="Active",_xlfn.DAYS(TODAY(),EmployeeData[[#This Row],[Join Date]]),EmployeeData[[#This Row],[Status]]="Exited",_xlfn.DAYS(EmployeeData[[#This Row],[Exit Date]],EmployeeData[[#This Row],[Join Date]]))</f>
        <v>204</v>
      </c>
      <c r="L949" cm="1">
        <f t="array" aca="1" ref="L949" ca="1">_xlfn.IFS(EmployeeData[[#This Row],[Status]]="Exited",DATEDIF(EmployeeData[[#This Row],[Join Date]], EmployeeData[[#This Row],[Exit Date]], "Y"),EmployeeData[[#This Row],[Status]]="Active",DATEDIF(EmployeeData[[#This Row],[Join Date]], TODAY(), "Y"))</f>
        <v>0</v>
      </c>
      <c r="Q949" t="str" cm="1">
        <f t="array" aca="1" ref="Q9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22 days</v>
      </c>
    </row>
    <row r="950" spans="1:17" hidden="1" x14ac:dyDescent="0.3">
      <c r="A950">
        <v>1949</v>
      </c>
      <c r="B950" t="s">
        <v>136</v>
      </c>
      <c r="C950" t="s">
        <v>33</v>
      </c>
      <c r="D950" t="s">
        <v>16</v>
      </c>
      <c r="E950">
        <v>48</v>
      </c>
      <c r="F950" t="str" cm="1">
        <f t="array" ref="F950">_xlfn.IFS(EmployeeData[[#This Row],[Age]]&lt;30,"20s",EmployeeData[[#This Row],[Age]]&lt;40,"30s",EmployeeData[[#This Row],[Age]]&lt;50,"40s",EmployeeData[[#This Row],[Age]]&lt;60,"50s",EmployeeData[[#This Row],[Age]]&gt;=60,"60s")</f>
        <v>40s</v>
      </c>
      <c r="G950" s="5">
        <v>44136</v>
      </c>
      <c r="I950" t="s">
        <v>17</v>
      </c>
      <c r="J950" t="s">
        <v>18</v>
      </c>
      <c r="K950" cm="1">
        <f t="array" aca="1" ref="K950" ca="1">_xlfn.IFS(EmployeeData[[#This Row],[Status]]="Active",_xlfn.DAYS(TODAY(),EmployeeData[[#This Row],[Join Date]]),EmployeeData[[#This Row],[Status]]="Exited",_xlfn.DAYS(EmployeeData[[#This Row],[Exit Date]],EmployeeData[[#This Row],[Join Date]]))</f>
        <v>2061</v>
      </c>
      <c r="L950" cm="1">
        <f t="array" aca="1" ref="L950" ca="1">_xlfn.IFS(EmployeeData[[#This Row],[Status]]="Exited",DATEDIF(EmployeeData[[#This Row],[Join Date]], EmployeeData[[#This Row],[Exit Date]], "Y"),EmployeeData[[#This Row],[Status]]="Active",DATEDIF(EmployeeData[[#This Row],[Join Date]], TODAY(), "Y"))</f>
        <v>5</v>
      </c>
      <c r="Q950" t="str" cm="1">
        <f t="array" aca="1" ref="Q9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23 days</v>
      </c>
    </row>
    <row r="951" spans="1:17" x14ac:dyDescent="0.3">
      <c r="A951">
        <v>1950</v>
      </c>
      <c r="B951" t="s">
        <v>982</v>
      </c>
      <c r="C951" t="s">
        <v>10</v>
      </c>
      <c r="D951" t="s">
        <v>16</v>
      </c>
      <c r="E951">
        <v>47</v>
      </c>
      <c r="F951" t="str" cm="1">
        <f t="array" ref="F951">_xlfn.IFS(EmployeeData[[#This Row],[Age]]&lt;30,"20s",EmployeeData[[#This Row],[Age]]&lt;40,"30s",EmployeeData[[#This Row],[Age]]&lt;50,"40s",EmployeeData[[#This Row],[Age]]&lt;60,"50s",EmployeeData[[#This Row],[Age]]&gt;=60,"60s")</f>
        <v>40s</v>
      </c>
      <c r="G951" s="5">
        <v>43465</v>
      </c>
      <c r="H951" s="5">
        <v>44965</v>
      </c>
      <c r="I951" t="s">
        <v>52</v>
      </c>
      <c r="J951" t="s">
        <v>13</v>
      </c>
      <c r="K951" cm="1">
        <f t="array" aca="1" ref="K951" ca="1">_xlfn.IFS(EmployeeData[[#This Row],[Status]]="Active",_xlfn.DAYS(TODAY(),EmployeeData[[#This Row],[Join Date]]),EmployeeData[[#This Row],[Status]]="Exited",_xlfn.DAYS(EmployeeData[[#This Row],[Exit Date]],EmployeeData[[#This Row],[Join Date]]))</f>
        <v>1500</v>
      </c>
      <c r="L951" cm="1">
        <f t="array" aca="1" ref="L951" ca="1">_xlfn.IFS(EmployeeData[[#This Row],[Status]]="Exited",DATEDIF(EmployeeData[[#This Row],[Join Date]], EmployeeData[[#This Row],[Exit Date]], "Y"),EmployeeData[[#This Row],[Status]]="Active",DATEDIF(EmployeeData[[#This Row],[Join Date]], TODAY(), "Y"))</f>
        <v>4</v>
      </c>
      <c r="Q951" t="str" cm="1">
        <f t="array" aca="1" ref="Q9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952" spans="1:17" hidden="1" x14ac:dyDescent="0.3">
      <c r="A952">
        <v>1951</v>
      </c>
      <c r="B952" t="s">
        <v>307</v>
      </c>
      <c r="C952" t="s">
        <v>20</v>
      </c>
      <c r="D952" t="s">
        <v>16</v>
      </c>
      <c r="E952">
        <v>31</v>
      </c>
      <c r="F952" t="str" cm="1">
        <f t="array" ref="F952">_xlfn.IFS(EmployeeData[[#This Row],[Age]]&lt;30,"20s",EmployeeData[[#This Row],[Age]]&lt;40,"30s",EmployeeData[[#This Row],[Age]]&lt;50,"40s",EmployeeData[[#This Row],[Age]]&lt;60,"50s",EmployeeData[[#This Row],[Age]]&gt;=60,"60s")</f>
        <v>30s</v>
      </c>
      <c r="G952" s="5">
        <v>45115</v>
      </c>
      <c r="H952" s="5">
        <v>45276</v>
      </c>
      <c r="I952" t="s">
        <v>34</v>
      </c>
      <c r="J952" t="s">
        <v>13</v>
      </c>
      <c r="K952" cm="1">
        <f t="array" aca="1" ref="K952" ca="1">_xlfn.IFS(EmployeeData[[#This Row],[Status]]="Active",_xlfn.DAYS(TODAY(),EmployeeData[[#This Row],[Join Date]]),EmployeeData[[#This Row],[Status]]="Exited",_xlfn.DAYS(EmployeeData[[#This Row],[Exit Date]],EmployeeData[[#This Row],[Join Date]]))</f>
        <v>161</v>
      </c>
      <c r="L952" cm="1">
        <f t="array" aca="1" ref="L952" ca="1">_xlfn.IFS(EmployeeData[[#This Row],[Status]]="Exited",DATEDIF(EmployeeData[[#This Row],[Join Date]], EmployeeData[[#This Row],[Exit Date]], "Y"),EmployeeData[[#This Row],[Status]]="Active",DATEDIF(EmployeeData[[#This Row],[Join Date]], TODAY(), "Y"))</f>
        <v>0</v>
      </c>
      <c r="Q952" t="str" cm="1">
        <f t="array" aca="1" ref="Q9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953" spans="1:17" hidden="1" x14ac:dyDescent="0.3">
      <c r="A953">
        <v>1952</v>
      </c>
      <c r="B953" t="s">
        <v>384</v>
      </c>
      <c r="C953" t="s">
        <v>20</v>
      </c>
      <c r="D953" t="s">
        <v>16</v>
      </c>
      <c r="E953">
        <v>44</v>
      </c>
      <c r="F953" t="str" cm="1">
        <f t="array" ref="F953">_xlfn.IFS(EmployeeData[[#This Row],[Age]]&lt;30,"20s",EmployeeData[[#This Row],[Age]]&lt;40,"30s",EmployeeData[[#This Row],[Age]]&lt;50,"40s",EmployeeData[[#This Row],[Age]]&lt;60,"50s",EmployeeData[[#This Row],[Age]]&gt;=60,"60s")</f>
        <v>40s</v>
      </c>
      <c r="G953" s="5">
        <v>43864</v>
      </c>
      <c r="I953" t="s">
        <v>17</v>
      </c>
      <c r="J953" t="s">
        <v>18</v>
      </c>
      <c r="K953" cm="1">
        <f t="array" aca="1" ref="K953" ca="1">_xlfn.IFS(EmployeeData[[#This Row],[Status]]="Active",_xlfn.DAYS(TODAY(),EmployeeData[[#This Row],[Join Date]]),EmployeeData[[#This Row],[Status]]="Exited",_xlfn.DAYS(EmployeeData[[#This Row],[Exit Date]],EmployeeData[[#This Row],[Join Date]]))</f>
        <v>2333</v>
      </c>
      <c r="L953" cm="1">
        <f t="array" aca="1" ref="L953" ca="1">_xlfn.IFS(EmployeeData[[#This Row],[Status]]="Exited",DATEDIF(EmployeeData[[#This Row],[Join Date]], EmployeeData[[#This Row],[Exit Date]], "Y"),EmployeeData[[#This Row],[Status]]="Active",DATEDIF(EmployeeData[[#This Row],[Join Date]], TODAY(), "Y"))</f>
        <v>6</v>
      </c>
      <c r="Q953" t="str" cm="1">
        <f t="array" aca="1" ref="Q9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21 days</v>
      </c>
    </row>
    <row r="954" spans="1:17" hidden="1" x14ac:dyDescent="0.3">
      <c r="A954">
        <v>1953</v>
      </c>
      <c r="B954" t="s">
        <v>753</v>
      </c>
      <c r="C954" t="s">
        <v>10</v>
      </c>
      <c r="D954" t="s">
        <v>11</v>
      </c>
      <c r="E954">
        <v>32</v>
      </c>
      <c r="F954" t="str" cm="1">
        <f t="array" ref="F954">_xlfn.IFS(EmployeeData[[#This Row],[Age]]&lt;30,"20s",EmployeeData[[#This Row],[Age]]&lt;40,"30s",EmployeeData[[#This Row],[Age]]&lt;50,"40s",EmployeeData[[#This Row],[Age]]&lt;60,"50s",EmployeeData[[#This Row],[Age]]&gt;=60,"60s")</f>
        <v>30s</v>
      </c>
      <c r="G954" s="5">
        <v>43924</v>
      </c>
      <c r="H954" s="5">
        <v>44762</v>
      </c>
      <c r="I954" t="s">
        <v>52</v>
      </c>
      <c r="J954" t="s">
        <v>13</v>
      </c>
      <c r="K954" cm="1">
        <f t="array" aca="1" ref="K954" ca="1">_xlfn.IFS(EmployeeData[[#This Row],[Status]]="Active",_xlfn.DAYS(TODAY(),EmployeeData[[#This Row],[Join Date]]),EmployeeData[[#This Row],[Status]]="Exited",_xlfn.DAYS(EmployeeData[[#This Row],[Exit Date]],EmployeeData[[#This Row],[Join Date]]))</f>
        <v>838</v>
      </c>
      <c r="L954" cm="1">
        <f t="array" aca="1" ref="L954" ca="1">_xlfn.IFS(EmployeeData[[#This Row],[Status]]="Exited",DATEDIF(EmployeeData[[#This Row],[Join Date]], EmployeeData[[#This Row],[Exit Date]], "Y"),EmployeeData[[#This Row],[Status]]="Active",DATEDIF(EmployeeData[[#This Row],[Join Date]], TODAY(), "Y"))</f>
        <v>2</v>
      </c>
      <c r="Q954" t="str" cm="1">
        <f t="array" aca="1" ref="Q9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955" spans="1:17" hidden="1" x14ac:dyDescent="0.3">
      <c r="A955">
        <v>1954</v>
      </c>
      <c r="B955" t="s">
        <v>289</v>
      </c>
      <c r="C955" t="s">
        <v>33</v>
      </c>
      <c r="D955" t="s">
        <v>24</v>
      </c>
      <c r="E955">
        <v>27</v>
      </c>
      <c r="F955" t="str" cm="1">
        <f t="array" ref="F955">_xlfn.IFS(EmployeeData[[#This Row],[Age]]&lt;30,"20s",EmployeeData[[#This Row],[Age]]&lt;40,"30s",EmployeeData[[#This Row],[Age]]&lt;50,"40s",EmployeeData[[#This Row],[Age]]&lt;60,"50s",EmployeeData[[#This Row],[Age]]&gt;=60,"60s")</f>
        <v>20s</v>
      </c>
      <c r="G955" s="5">
        <v>45707</v>
      </c>
      <c r="H955" s="5">
        <v>45947</v>
      </c>
      <c r="I955" t="s">
        <v>31</v>
      </c>
      <c r="J955" t="s">
        <v>13</v>
      </c>
      <c r="K955" cm="1">
        <f t="array" aca="1" ref="K955" ca="1">_xlfn.IFS(EmployeeData[[#This Row],[Status]]="Active",_xlfn.DAYS(TODAY(),EmployeeData[[#This Row],[Join Date]]),EmployeeData[[#This Row],[Status]]="Exited",_xlfn.DAYS(EmployeeData[[#This Row],[Exit Date]],EmployeeData[[#This Row],[Join Date]]))</f>
        <v>240</v>
      </c>
      <c r="L955" cm="1">
        <f t="array" aca="1" ref="L955" ca="1">_xlfn.IFS(EmployeeData[[#This Row],[Status]]="Exited",DATEDIF(EmployeeData[[#This Row],[Join Date]], EmployeeData[[#This Row],[Exit Date]], "Y"),EmployeeData[[#This Row],[Status]]="Active",DATEDIF(EmployeeData[[#This Row],[Join Date]], TODAY(), "Y"))</f>
        <v>0</v>
      </c>
      <c r="Q955" t="str" cm="1">
        <f t="array" aca="1" ref="Q9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956" spans="1:17" x14ac:dyDescent="0.3">
      <c r="A956">
        <v>1955</v>
      </c>
      <c r="B956" t="s">
        <v>956</v>
      </c>
      <c r="C956" t="s">
        <v>23</v>
      </c>
      <c r="D956" t="s">
        <v>24</v>
      </c>
      <c r="E956">
        <v>27</v>
      </c>
      <c r="F956" t="str" cm="1">
        <f t="array" ref="F956">_xlfn.IFS(EmployeeData[[#This Row],[Age]]&lt;30,"20s",EmployeeData[[#This Row],[Age]]&lt;40,"30s",EmployeeData[[#This Row],[Age]]&lt;50,"40s",EmployeeData[[#This Row],[Age]]&lt;60,"50s",EmployeeData[[#This Row],[Age]]&gt;=60,"60s")</f>
        <v>20s</v>
      </c>
      <c r="G956" s="5">
        <v>43139</v>
      </c>
      <c r="H956" s="5">
        <v>43258</v>
      </c>
      <c r="I956" t="s">
        <v>28</v>
      </c>
      <c r="J956" t="s">
        <v>13</v>
      </c>
      <c r="K956" cm="1">
        <f t="array" aca="1" ref="K956" ca="1">_xlfn.IFS(EmployeeData[[#This Row],[Status]]="Active",_xlfn.DAYS(TODAY(),EmployeeData[[#This Row],[Join Date]]),EmployeeData[[#This Row],[Status]]="Exited",_xlfn.DAYS(EmployeeData[[#This Row],[Exit Date]],EmployeeData[[#This Row],[Join Date]]))</f>
        <v>119</v>
      </c>
      <c r="L956" cm="1">
        <f t="array" aca="1" ref="L956" ca="1">_xlfn.IFS(EmployeeData[[#This Row],[Status]]="Exited",DATEDIF(EmployeeData[[#This Row],[Join Date]], EmployeeData[[#This Row],[Exit Date]], "Y"),EmployeeData[[#This Row],[Status]]="Active",DATEDIF(EmployeeData[[#This Row],[Join Date]], TODAY(), "Y"))</f>
        <v>0</v>
      </c>
      <c r="Q956" t="str" cm="1">
        <f t="array" aca="1" ref="Q9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30 days</v>
      </c>
    </row>
    <row r="957" spans="1:17" hidden="1" x14ac:dyDescent="0.3">
      <c r="A957">
        <v>1956</v>
      </c>
      <c r="B957" t="s">
        <v>128</v>
      </c>
      <c r="C957" t="s">
        <v>10</v>
      </c>
      <c r="D957" t="s">
        <v>24</v>
      </c>
      <c r="E957">
        <v>38</v>
      </c>
      <c r="F957" t="str" cm="1">
        <f t="array" ref="F957">_xlfn.IFS(EmployeeData[[#This Row],[Age]]&lt;30,"20s",EmployeeData[[#This Row],[Age]]&lt;40,"30s",EmployeeData[[#This Row],[Age]]&lt;50,"40s",EmployeeData[[#This Row],[Age]]&lt;60,"50s",EmployeeData[[#This Row],[Age]]&gt;=60,"60s")</f>
        <v>30s</v>
      </c>
      <c r="G957" s="5">
        <v>45091</v>
      </c>
      <c r="I957" t="s">
        <v>17</v>
      </c>
      <c r="J957" t="s">
        <v>18</v>
      </c>
      <c r="K957" cm="1">
        <f t="array" aca="1" ref="K957" ca="1">_xlfn.IFS(EmployeeData[[#This Row],[Status]]="Active",_xlfn.DAYS(TODAY(),EmployeeData[[#This Row],[Join Date]]),EmployeeData[[#This Row],[Status]]="Exited",_xlfn.DAYS(EmployeeData[[#This Row],[Exit Date]],EmployeeData[[#This Row],[Join Date]]))</f>
        <v>1106</v>
      </c>
      <c r="L957" cm="1">
        <f t="array" aca="1" ref="L957" ca="1">_xlfn.IFS(EmployeeData[[#This Row],[Status]]="Exited",DATEDIF(EmployeeData[[#This Row],[Join Date]], EmployeeData[[#This Row],[Exit Date]], "Y"),EmployeeData[[#This Row],[Status]]="Active",DATEDIF(EmployeeData[[#This Row],[Join Date]], TODAY(), "Y"))</f>
        <v>3</v>
      </c>
      <c r="Q957" t="str" cm="1">
        <f t="array" aca="1" ref="Q9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10 days</v>
      </c>
    </row>
    <row r="958" spans="1:17" hidden="1" x14ac:dyDescent="0.3">
      <c r="A958">
        <v>1957</v>
      </c>
      <c r="B958" t="s">
        <v>180</v>
      </c>
      <c r="C958" t="s">
        <v>20</v>
      </c>
      <c r="D958" t="s">
        <v>24</v>
      </c>
      <c r="E958">
        <v>41</v>
      </c>
      <c r="F958" t="str" cm="1">
        <f t="array" ref="F958">_xlfn.IFS(EmployeeData[[#This Row],[Age]]&lt;30,"20s",EmployeeData[[#This Row],[Age]]&lt;40,"30s",EmployeeData[[#This Row],[Age]]&lt;50,"40s",EmployeeData[[#This Row],[Age]]&lt;60,"50s",EmployeeData[[#This Row],[Age]]&gt;=60,"60s")</f>
        <v>40s</v>
      </c>
      <c r="G958" s="5">
        <v>44082</v>
      </c>
      <c r="I958" t="s">
        <v>17</v>
      </c>
      <c r="J958" t="s">
        <v>18</v>
      </c>
      <c r="K958" cm="1">
        <f t="array" aca="1" ref="K958" ca="1">_xlfn.IFS(EmployeeData[[#This Row],[Status]]="Active",_xlfn.DAYS(TODAY(),EmployeeData[[#This Row],[Join Date]]),EmployeeData[[#This Row],[Status]]="Exited",_xlfn.DAYS(EmployeeData[[#This Row],[Exit Date]],EmployeeData[[#This Row],[Join Date]]))</f>
        <v>2115</v>
      </c>
      <c r="L958" cm="1">
        <f t="array" aca="1" ref="L958" ca="1">_xlfn.IFS(EmployeeData[[#This Row],[Status]]="Exited",DATEDIF(EmployeeData[[#This Row],[Join Date]], EmployeeData[[#This Row],[Exit Date]], "Y"),EmployeeData[[#This Row],[Status]]="Active",DATEDIF(EmployeeData[[#This Row],[Join Date]], TODAY(), "Y"))</f>
        <v>5</v>
      </c>
      <c r="Q958" t="str" cm="1">
        <f t="array" aca="1" ref="Q9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16 days</v>
      </c>
    </row>
    <row r="959" spans="1:17" x14ac:dyDescent="0.3">
      <c r="A959">
        <v>1958</v>
      </c>
      <c r="B959" t="s">
        <v>231</v>
      </c>
      <c r="C959" t="s">
        <v>46</v>
      </c>
      <c r="D959" t="s">
        <v>11</v>
      </c>
      <c r="E959">
        <v>27</v>
      </c>
      <c r="F959" t="str" cm="1">
        <f t="array" ref="F959">_xlfn.IFS(EmployeeData[[#This Row],[Age]]&lt;30,"20s",EmployeeData[[#This Row],[Age]]&lt;40,"30s",EmployeeData[[#This Row],[Age]]&lt;50,"40s",EmployeeData[[#This Row],[Age]]&lt;60,"50s",EmployeeData[[#This Row],[Age]]&gt;=60,"60s")</f>
        <v>20s</v>
      </c>
      <c r="G959" s="5">
        <v>43113</v>
      </c>
      <c r="I959" t="s">
        <v>17</v>
      </c>
      <c r="J959" t="s">
        <v>18</v>
      </c>
      <c r="K959" cm="1">
        <f t="array" aca="1" ref="K959" ca="1">_xlfn.IFS(EmployeeData[[#This Row],[Status]]="Active",_xlfn.DAYS(TODAY(),EmployeeData[[#This Row],[Join Date]]),EmployeeData[[#This Row],[Status]]="Exited",_xlfn.DAYS(EmployeeData[[#This Row],[Exit Date]],EmployeeData[[#This Row],[Join Date]]))</f>
        <v>3084</v>
      </c>
      <c r="L959" cm="1">
        <f t="array" aca="1" ref="L959" ca="1">_xlfn.IFS(EmployeeData[[#This Row],[Status]]="Exited",DATEDIF(EmployeeData[[#This Row],[Join Date]], EmployeeData[[#This Row],[Exit Date]], "Y"),EmployeeData[[#This Row],[Status]]="Active",DATEDIF(EmployeeData[[#This Row],[Join Date]], TODAY(), "Y"))</f>
        <v>8</v>
      </c>
      <c r="Q959" t="str" cm="1">
        <f t="array" aca="1" ref="Q9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11 days</v>
      </c>
    </row>
    <row r="960" spans="1:17" hidden="1" x14ac:dyDescent="0.3">
      <c r="A960">
        <v>1959</v>
      </c>
      <c r="B960" t="s">
        <v>109</v>
      </c>
      <c r="C960" t="s">
        <v>46</v>
      </c>
      <c r="D960" t="s">
        <v>16</v>
      </c>
      <c r="E960">
        <v>28</v>
      </c>
      <c r="F960" t="str" cm="1">
        <f t="array" ref="F960">_xlfn.IFS(EmployeeData[[#This Row],[Age]]&lt;30,"20s",EmployeeData[[#This Row],[Age]]&lt;40,"30s",EmployeeData[[#This Row],[Age]]&lt;50,"40s",EmployeeData[[#This Row],[Age]]&lt;60,"50s",EmployeeData[[#This Row],[Age]]&gt;=60,"60s")</f>
        <v>20s</v>
      </c>
      <c r="G960" s="5">
        <v>45274</v>
      </c>
      <c r="H960" s="5">
        <v>46080</v>
      </c>
      <c r="I960" t="s">
        <v>34</v>
      </c>
      <c r="J960" t="s">
        <v>13</v>
      </c>
      <c r="K960" cm="1">
        <f t="array" aca="1" ref="K960" ca="1">_xlfn.IFS(EmployeeData[[#This Row],[Status]]="Active",_xlfn.DAYS(TODAY(),EmployeeData[[#This Row],[Join Date]]),EmployeeData[[#This Row],[Status]]="Exited",_xlfn.DAYS(EmployeeData[[#This Row],[Exit Date]],EmployeeData[[#This Row],[Join Date]]))</f>
        <v>806</v>
      </c>
      <c r="L960" cm="1">
        <f t="array" aca="1" ref="L960" ca="1">_xlfn.IFS(EmployeeData[[#This Row],[Status]]="Exited",DATEDIF(EmployeeData[[#This Row],[Join Date]], EmployeeData[[#This Row],[Exit Date]], "Y"),EmployeeData[[#This Row],[Status]]="Active",DATEDIF(EmployeeData[[#This Row],[Join Date]], TODAY(), "Y"))</f>
        <v>2</v>
      </c>
      <c r="Q960" t="str" cm="1">
        <f t="array" aca="1" ref="Q9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961" spans="1:17" hidden="1" x14ac:dyDescent="0.3">
      <c r="A961">
        <v>1960</v>
      </c>
      <c r="B961" t="s">
        <v>812</v>
      </c>
      <c r="C961" t="s">
        <v>23</v>
      </c>
      <c r="D961" t="s">
        <v>24</v>
      </c>
      <c r="E961">
        <v>21</v>
      </c>
      <c r="F961" t="str" cm="1">
        <f t="array" ref="F961">_xlfn.IFS(EmployeeData[[#This Row],[Age]]&lt;30,"20s",EmployeeData[[#This Row],[Age]]&lt;40,"30s",EmployeeData[[#This Row],[Age]]&lt;50,"40s",EmployeeData[[#This Row],[Age]]&lt;60,"50s",EmployeeData[[#This Row],[Age]]&gt;=60,"60s")</f>
        <v>20s</v>
      </c>
      <c r="G961" s="5">
        <v>45714</v>
      </c>
      <c r="I961" t="s">
        <v>17</v>
      </c>
      <c r="J961" t="s">
        <v>18</v>
      </c>
      <c r="K961" cm="1">
        <f t="array" aca="1" ref="K961" ca="1">_xlfn.IFS(EmployeeData[[#This Row],[Status]]="Active",_xlfn.DAYS(TODAY(),EmployeeData[[#This Row],[Join Date]]),EmployeeData[[#This Row],[Status]]="Exited",_xlfn.DAYS(EmployeeData[[#This Row],[Exit Date]],EmployeeData[[#This Row],[Join Date]]))</f>
        <v>483</v>
      </c>
      <c r="L961" cm="1">
        <f t="array" aca="1" ref="L961" ca="1">_xlfn.IFS(EmployeeData[[#This Row],[Status]]="Exited",DATEDIF(EmployeeData[[#This Row],[Join Date]], EmployeeData[[#This Row],[Exit Date]], "Y"),EmployeeData[[#This Row],[Status]]="Active",DATEDIF(EmployeeData[[#This Row],[Join Date]], TODAY(), "Y"))</f>
        <v>1</v>
      </c>
      <c r="Q961" t="str" cm="1">
        <f t="array" aca="1" ref="Q9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29 days</v>
      </c>
    </row>
    <row r="962" spans="1:17" hidden="1" x14ac:dyDescent="0.3">
      <c r="A962">
        <v>1961</v>
      </c>
      <c r="B962" t="s">
        <v>941</v>
      </c>
      <c r="C962" t="s">
        <v>33</v>
      </c>
      <c r="D962" t="s">
        <v>11</v>
      </c>
      <c r="E962">
        <v>41</v>
      </c>
      <c r="F962" t="str" cm="1">
        <f t="array" ref="F962">_xlfn.IFS(EmployeeData[[#This Row],[Age]]&lt;30,"20s",EmployeeData[[#This Row],[Age]]&lt;40,"30s",EmployeeData[[#This Row],[Age]]&lt;50,"40s",EmployeeData[[#This Row],[Age]]&lt;60,"50s",EmployeeData[[#This Row],[Age]]&gt;=60,"60s")</f>
        <v>40s</v>
      </c>
      <c r="G962" s="5">
        <v>45877</v>
      </c>
      <c r="I962" t="s">
        <v>17</v>
      </c>
      <c r="J962" t="s">
        <v>18</v>
      </c>
      <c r="K962" cm="1">
        <f t="array" aca="1" ref="K962" ca="1">_xlfn.IFS(EmployeeData[[#This Row],[Status]]="Active",_xlfn.DAYS(TODAY(),EmployeeData[[#This Row],[Join Date]]),EmployeeData[[#This Row],[Status]]="Exited",_xlfn.DAYS(EmployeeData[[#This Row],[Exit Date]],EmployeeData[[#This Row],[Join Date]]))</f>
        <v>320</v>
      </c>
      <c r="L962" cm="1">
        <f t="array" aca="1" ref="L962" ca="1">_xlfn.IFS(EmployeeData[[#This Row],[Status]]="Exited",DATEDIF(EmployeeData[[#This Row],[Join Date]], EmployeeData[[#This Row],[Exit Date]], "Y"),EmployeeData[[#This Row],[Status]]="Active",DATEDIF(EmployeeData[[#This Row],[Join Date]], TODAY(), "Y"))</f>
        <v>0</v>
      </c>
      <c r="Q962" t="str" cm="1">
        <f t="array" aca="1" ref="Q9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16 days</v>
      </c>
    </row>
    <row r="963" spans="1:17" hidden="1" x14ac:dyDescent="0.3">
      <c r="A963">
        <v>1962</v>
      </c>
      <c r="B963" t="s">
        <v>695</v>
      </c>
      <c r="C963" t="s">
        <v>10</v>
      </c>
      <c r="D963" t="s">
        <v>11</v>
      </c>
      <c r="E963">
        <v>51</v>
      </c>
      <c r="F963" t="str" cm="1">
        <f t="array" ref="F963">_xlfn.IFS(EmployeeData[[#This Row],[Age]]&lt;30,"20s",EmployeeData[[#This Row],[Age]]&lt;40,"30s",EmployeeData[[#This Row],[Age]]&lt;50,"40s",EmployeeData[[#This Row],[Age]]&lt;60,"50s",EmployeeData[[#This Row],[Age]]&gt;=60,"60s")</f>
        <v>50s</v>
      </c>
      <c r="G963" s="5">
        <v>45797</v>
      </c>
      <c r="I963" t="s">
        <v>17</v>
      </c>
      <c r="J963" t="s">
        <v>18</v>
      </c>
      <c r="K963" cm="1">
        <f t="array" aca="1" ref="K963" ca="1">_xlfn.IFS(EmployeeData[[#This Row],[Status]]="Active",_xlfn.DAYS(TODAY(),EmployeeData[[#This Row],[Join Date]]),EmployeeData[[#This Row],[Status]]="Exited",_xlfn.DAYS(EmployeeData[[#This Row],[Exit Date]],EmployeeData[[#This Row],[Join Date]]))</f>
        <v>400</v>
      </c>
      <c r="L963" cm="1">
        <f t="array" aca="1" ref="L963" ca="1">_xlfn.IFS(EmployeeData[[#This Row],[Status]]="Exited",DATEDIF(EmployeeData[[#This Row],[Join Date]], EmployeeData[[#This Row],[Exit Date]], "Y"),EmployeeData[[#This Row],[Status]]="Active",DATEDIF(EmployeeData[[#This Row],[Join Date]], TODAY(), "Y"))</f>
        <v>1</v>
      </c>
      <c r="Q963" t="str" cm="1">
        <f t="array" aca="1" ref="Q9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4 days</v>
      </c>
    </row>
    <row r="964" spans="1:17" hidden="1" x14ac:dyDescent="0.3">
      <c r="A964">
        <v>1963</v>
      </c>
      <c r="B964" t="s">
        <v>117</v>
      </c>
      <c r="C964" t="s">
        <v>20</v>
      </c>
      <c r="D964" t="s">
        <v>11</v>
      </c>
      <c r="E964">
        <v>57</v>
      </c>
      <c r="F964" t="str" cm="1">
        <f t="array" ref="F964">_xlfn.IFS(EmployeeData[[#This Row],[Age]]&lt;30,"20s",EmployeeData[[#This Row],[Age]]&lt;40,"30s",EmployeeData[[#This Row],[Age]]&lt;50,"40s",EmployeeData[[#This Row],[Age]]&lt;60,"50s",EmployeeData[[#This Row],[Age]]&gt;=60,"60s")</f>
        <v>50s</v>
      </c>
      <c r="G964" s="5">
        <v>45167</v>
      </c>
      <c r="H964" s="5">
        <v>45766</v>
      </c>
      <c r="I964" t="s">
        <v>52</v>
      </c>
      <c r="J964" t="s">
        <v>13</v>
      </c>
      <c r="K964" cm="1">
        <f t="array" aca="1" ref="K964" ca="1">_xlfn.IFS(EmployeeData[[#This Row],[Status]]="Active",_xlfn.DAYS(TODAY(),EmployeeData[[#This Row],[Join Date]]),EmployeeData[[#This Row],[Status]]="Exited",_xlfn.DAYS(EmployeeData[[#This Row],[Exit Date]],EmployeeData[[#This Row],[Join Date]]))</f>
        <v>599</v>
      </c>
      <c r="L964" cm="1">
        <f t="array" aca="1" ref="L964" ca="1">_xlfn.IFS(EmployeeData[[#This Row],[Status]]="Exited",DATEDIF(EmployeeData[[#This Row],[Join Date]], EmployeeData[[#This Row],[Exit Date]], "Y"),EmployeeData[[#This Row],[Status]]="Active",DATEDIF(EmployeeData[[#This Row],[Join Date]], TODAY(), "Y"))</f>
        <v>1</v>
      </c>
      <c r="Q964" t="str" cm="1">
        <f t="array" aca="1" ref="Q9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21 days</v>
      </c>
    </row>
    <row r="965" spans="1:17" hidden="1" x14ac:dyDescent="0.3">
      <c r="A965">
        <v>1964</v>
      </c>
      <c r="B965" t="s">
        <v>807</v>
      </c>
      <c r="C965" t="s">
        <v>46</v>
      </c>
      <c r="D965" t="s">
        <v>24</v>
      </c>
      <c r="E965">
        <v>49</v>
      </c>
      <c r="F965" t="str" cm="1">
        <f t="array" ref="F965">_xlfn.IFS(EmployeeData[[#This Row],[Age]]&lt;30,"20s",EmployeeData[[#This Row],[Age]]&lt;40,"30s",EmployeeData[[#This Row],[Age]]&lt;50,"40s",EmployeeData[[#This Row],[Age]]&lt;60,"50s",EmployeeData[[#This Row],[Age]]&gt;=60,"60s")</f>
        <v>40s</v>
      </c>
      <c r="G965" s="5">
        <v>43574</v>
      </c>
      <c r="I965" t="s">
        <v>17</v>
      </c>
      <c r="J965" t="s">
        <v>18</v>
      </c>
      <c r="K965" cm="1">
        <f t="array" aca="1" ref="K965" ca="1">_xlfn.IFS(EmployeeData[[#This Row],[Status]]="Active",_xlfn.DAYS(TODAY(),EmployeeData[[#This Row],[Join Date]]),EmployeeData[[#This Row],[Status]]="Exited",_xlfn.DAYS(EmployeeData[[#This Row],[Exit Date]],EmployeeData[[#This Row],[Join Date]]))</f>
        <v>2623</v>
      </c>
      <c r="L965" cm="1">
        <f t="array" aca="1" ref="L965" ca="1">_xlfn.IFS(EmployeeData[[#This Row],[Status]]="Exited",DATEDIF(EmployeeData[[#This Row],[Join Date]], EmployeeData[[#This Row],[Exit Date]], "Y"),EmployeeData[[#This Row],[Status]]="Active",DATEDIF(EmployeeData[[#This Row],[Join Date]], TODAY(), "Y"))</f>
        <v>7</v>
      </c>
      <c r="Q965" t="str" cm="1">
        <f t="array" aca="1" ref="Q9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5 days</v>
      </c>
    </row>
    <row r="966" spans="1:17" hidden="1" x14ac:dyDescent="0.3">
      <c r="A966">
        <v>1965</v>
      </c>
      <c r="B966" t="s">
        <v>409</v>
      </c>
      <c r="C966" t="s">
        <v>20</v>
      </c>
      <c r="D966" t="s">
        <v>24</v>
      </c>
      <c r="E966">
        <v>26</v>
      </c>
      <c r="F966" t="str" cm="1">
        <f t="array" ref="F966">_xlfn.IFS(EmployeeData[[#This Row],[Age]]&lt;30,"20s",EmployeeData[[#This Row],[Age]]&lt;40,"30s",EmployeeData[[#This Row],[Age]]&lt;50,"40s",EmployeeData[[#This Row],[Age]]&lt;60,"50s",EmployeeData[[#This Row],[Age]]&gt;=60,"60s")</f>
        <v>20s</v>
      </c>
      <c r="G966" s="5">
        <v>43533</v>
      </c>
      <c r="I966" t="s">
        <v>17</v>
      </c>
      <c r="J966" t="s">
        <v>18</v>
      </c>
      <c r="K966" cm="1">
        <f t="array" aca="1" ref="K966" ca="1">_xlfn.IFS(EmployeeData[[#This Row],[Status]]="Active",_xlfn.DAYS(TODAY(),EmployeeData[[#This Row],[Join Date]]),EmployeeData[[#This Row],[Status]]="Exited",_xlfn.DAYS(EmployeeData[[#This Row],[Exit Date]],EmployeeData[[#This Row],[Join Date]]))</f>
        <v>2664</v>
      </c>
      <c r="L966" cm="1">
        <f t="array" aca="1" ref="L966" ca="1">_xlfn.IFS(EmployeeData[[#This Row],[Status]]="Exited",DATEDIF(EmployeeData[[#This Row],[Join Date]], EmployeeData[[#This Row],[Exit Date]], "Y"),EmployeeData[[#This Row],[Status]]="Active",DATEDIF(EmployeeData[[#This Row],[Join Date]], TODAY(), "Y"))</f>
        <v>7</v>
      </c>
      <c r="Q966" t="str" cm="1">
        <f t="array" aca="1" ref="Q9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15 days</v>
      </c>
    </row>
    <row r="967" spans="1:17" hidden="1" x14ac:dyDescent="0.3">
      <c r="A967">
        <v>1966</v>
      </c>
      <c r="B967" t="s">
        <v>135</v>
      </c>
      <c r="C967" t="s">
        <v>10</v>
      </c>
      <c r="D967" t="s">
        <v>24</v>
      </c>
      <c r="E967">
        <v>38</v>
      </c>
      <c r="F967" t="str" cm="1">
        <f t="array" ref="F967">_xlfn.IFS(EmployeeData[[#This Row],[Age]]&lt;30,"20s",EmployeeData[[#This Row],[Age]]&lt;40,"30s",EmployeeData[[#This Row],[Age]]&lt;50,"40s",EmployeeData[[#This Row],[Age]]&lt;60,"50s",EmployeeData[[#This Row],[Age]]&gt;=60,"60s")</f>
        <v>30s</v>
      </c>
      <c r="G967" s="5">
        <v>44003</v>
      </c>
      <c r="I967" t="s">
        <v>17</v>
      </c>
      <c r="J967" t="s">
        <v>18</v>
      </c>
      <c r="K967" cm="1">
        <f t="array" aca="1" ref="K967" ca="1">_xlfn.IFS(EmployeeData[[#This Row],[Status]]="Active",_xlfn.DAYS(TODAY(),EmployeeData[[#This Row],[Join Date]]),EmployeeData[[#This Row],[Status]]="Exited",_xlfn.DAYS(EmployeeData[[#This Row],[Exit Date]],EmployeeData[[#This Row],[Join Date]]))</f>
        <v>2194</v>
      </c>
      <c r="L967" cm="1">
        <f t="array" aca="1" ref="L967" ca="1">_xlfn.IFS(EmployeeData[[#This Row],[Status]]="Exited",DATEDIF(EmployeeData[[#This Row],[Join Date]], EmployeeData[[#This Row],[Exit Date]], "Y"),EmployeeData[[#This Row],[Status]]="Active",DATEDIF(EmployeeData[[#This Row],[Join Date]], TODAY(), "Y"))</f>
        <v>6</v>
      </c>
      <c r="Q967" t="str" cm="1">
        <f t="array" aca="1" ref="Q9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3 days</v>
      </c>
    </row>
    <row r="968" spans="1:17" hidden="1" x14ac:dyDescent="0.3">
      <c r="A968">
        <v>1967</v>
      </c>
      <c r="B968" t="s">
        <v>1010</v>
      </c>
      <c r="C968" t="s">
        <v>46</v>
      </c>
      <c r="D968" t="s">
        <v>24</v>
      </c>
      <c r="E968">
        <v>52</v>
      </c>
      <c r="F968" t="str" cm="1">
        <f t="array" ref="F968">_xlfn.IFS(EmployeeData[[#This Row],[Age]]&lt;30,"20s",EmployeeData[[#This Row],[Age]]&lt;40,"30s",EmployeeData[[#This Row],[Age]]&lt;50,"40s",EmployeeData[[#This Row],[Age]]&lt;60,"50s",EmployeeData[[#This Row],[Age]]&gt;=60,"60s")</f>
        <v>50s</v>
      </c>
      <c r="G968" s="5">
        <v>43471</v>
      </c>
      <c r="I968" t="s">
        <v>17</v>
      </c>
      <c r="J968" t="s">
        <v>18</v>
      </c>
      <c r="K968" cm="1">
        <f t="array" aca="1" ref="K968" ca="1">_xlfn.IFS(EmployeeData[[#This Row],[Status]]="Active",_xlfn.DAYS(TODAY(),EmployeeData[[#This Row],[Join Date]]),EmployeeData[[#This Row],[Status]]="Exited",_xlfn.DAYS(EmployeeData[[#This Row],[Exit Date]],EmployeeData[[#This Row],[Join Date]]))</f>
        <v>2726</v>
      </c>
      <c r="L968" cm="1">
        <f t="array" aca="1" ref="L968" ca="1">_xlfn.IFS(EmployeeData[[#This Row],[Status]]="Exited",DATEDIF(EmployeeData[[#This Row],[Join Date]], EmployeeData[[#This Row],[Exit Date]], "Y"),EmployeeData[[#This Row],[Status]]="Active",DATEDIF(EmployeeData[[#This Row],[Join Date]], TODAY(), "Y"))</f>
        <v>7</v>
      </c>
      <c r="Q968" t="str" cm="1">
        <f t="array" aca="1" ref="Q9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18 days</v>
      </c>
    </row>
    <row r="969" spans="1:17" hidden="1" x14ac:dyDescent="0.3">
      <c r="A969">
        <v>1968</v>
      </c>
      <c r="B969" t="s">
        <v>871</v>
      </c>
      <c r="C969" t="s">
        <v>20</v>
      </c>
      <c r="D969" t="s">
        <v>24</v>
      </c>
      <c r="E969">
        <v>42</v>
      </c>
      <c r="F969" t="str" cm="1">
        <f t="array" ref="F969">_xlfn.IFS(EmployeeData[[#This Row],[Age]]&lt;30,"20s",EmployeeData[[#This Row],[Age]]&lt;40,"30s",EmployeeData[[#This Row],[Age]]&lt;50,"40s",EmployeeData[[#This Row],[Age]]&lt;60,"50s",EmployeeData[[#This Row],[Age]]&gt;=60,"60s")</f>
        <v>40s</v>
      </c>
      <c r="G969" s="5">
        <v>44645</v>
      </c>
      <c r="I969" t="s">
        <v>17</v>
      </c>
      <c r="J969" t="s">
        <v>18</v>
      </c>
      <c r="K969" cm="1">
        <f t="array" aca="1" ref="K969" ca="1">_xlfn.IFS(EmployeeData[[#This Row],[Status]]="Active",_xlfn.DAYS(TODAY(),EmployeeData[[#This Row],[Join Date]]),EmployeeData[[#This Row],[Status]]="Exited",_xlfn.DAYS(EmployeeData[[#This Row],[Exit Date]],EmployeeData[[#This Row],[Join Date]]))</f>
        <v>1552</v>
      </c>
      <c r="L969" cm="1">
        <f t="array" aca="1" ref="L969" ca="1">_xlfn.IFS(EmployeeData[[#This Row],[Status]]="Exited",DATEDIF(EmployeeData[[#This Row],[Join Date]], EmployeeData[[#This Row],[Exit Date]], "Y"),EmployeeData[[#This Row],[Status]]="Active",DATEDIF(EmployeeData[[#This Row],[Join Date]], TODAY(), "Y"))</f>
        <v>4</v>
      </c>
      <c r="Q969" t="str" cm="1">
        <f t="array" aca="1" ref="Q9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30 days</v>
      </c>
    </row>
    <row r="970" spans="1:17" hidden="1" x14ac:dyDescent="0.3">
      <c r="A970">
        <v>1969</v>
      </c>
      <c r="B970" t="s">
        <v>578</v>
      </c>
      <c r="C970" t="s">
        <v>23</v>
      </c>
      <c r="D970" t="s">
        <v>11</v>
      </c>
      <c r="E970">
        <v>35</v>
      </c>
      <c r="F970" t="str" cm="1">
        <f t="array" ref="F970">_xlfn.IFS(EmployeeData[[#This Row],[Age]]&lt;30,"20s",EmployeeData[[#This Row],[Age]]&lt;40,"30s",EmployeeData[[#This Row],[Age]]&lt;50,"40s",EmployeeData[[#This Row],[Age]]&lt;60,"50s",EmployeeData[[#This Row],[Age]]&gt;=60,"60s")</f>
        <v>30s</v>
      </c>
      <c r="G970" s="5">
        <v>44016</v>
      </c>
      <c r="H970" s="5">
        <v>45297</v>
      </c>
      <c r="I970" t="s">
        <v>31</v>
      </c>
      <c r="J970" t="s">
        <v>13</v>
      </c>
      <c r="K970" cm="1">
        <f t="array" aca="1" ref="K970" ca="1">_xlfn.IFS(EmployeeData[[#This Row],[Status]]="Active",_xlfn.DAYS(TODAY(),EmployeeData[[#This Row],[Join Date]]),EmployeeData[[#This Row],[Status]]="Exited",_xlfn.DAYS(EmployeeData[[#This Row],[Exit Date]],EmployeeData[[#This Row],[Join Date]]))</f>
        <v>1281</v>
      </c>
      <c r="L970" cm="1">
        <f t="array" aca="1" ref="L970" ca="1">_xlfn.IFS(EmployeeData[[#This Row],[Status]]="Exited",DATEDIF(EmployeeData[[#This Row],[Join Date]], EmployeeData[[#This Row],[Exit Date]], "Y"),EmployeeData[[#This Row],[Status]]="Active",DATEDIF(EmployeeData[[#This Row],[Join Date]], TODAY(), "Y"))</f>
        <v>3</v>
      </c>
      <c r="Q970" t="str" cm="1">
        <f t="array" aca="1" ref="Q9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971" spans="1:17" hidden="1" x14ac:dyDescent="0.3">
      <c r="A971">
        <v>1970</v>
      </c>
      <c r="B971" t="s">
        <v>542</v>
      </c>
      <c r="C971" t="s">
        <v>46</v>
      </c>
      <c r="D971" t="s">
        <v>11</v>
      </c>
      <c r="E971">
        <v>28</v>
      </c>
      <c r="F971" t="str" cm="1">
        <f t="array" ref="F971">_xlfn.IFS(EmployeeData[[#This Row],[Age]]&lt;30,"20s",EmployeeData[[#This Row],[Age]]&lt;40,"30s",EmployeeData[[#This Row],[Age]]&lt;50,"40s",EmployeeData[[#This Row],[Age]]&lt;60,"50s",EmployeeData[[#This Row],[Age]]&gt;=60,"60s")</f>
        <v>20s</v>
      </c>
      <c r="G971" s="5">
        <v>45447</v>
      </c>
      <c r="H971" s="5">
        <v>45857</v>
      </c>
      <c r="I971" t="s">
        <v>21</v>
      </c>
      <c r="J971" t="s">
        <v>13</v>
      </c>
      <c r="K971" cm="1">
        <f t="array" aca="1" ref="K971" ca="1">_xlfn.IFS(EmployeeData[[#This Row],[Status]]="Active",_xlfn.DAYS(TODAY(),EmployeeData[[#This Row],[Join Date]]),EmployeeData[[#This Row],[Status]]="Exited",_xlfn.DAYS(EmployeeData[[#This Row],[Exit Date]],EmployeeData[[#This Row],[Join Date]]))</f>
        <v>410</v>
      </c>
      <c r="L971" cm="1">
        <f t="array" aca="1" ref="L971" ca="1">_xlfn.IFS(EmployeeData[[#This Row],[Status]]="Exited",DATEDIF(EmployeeData[[#This Row],[Join Date]], EmployeeData[[#This Row],[Exit Date]], "Y"),EmployeeData[[#This Row],[Status]]="Active",DATEDIF(EmployeeData[[#This Row],[Join Date]], TODAY(), "Y"))</f>
        <v>1</v>
      </c>
      <c r="Q971" t="str" cm="1">
        <f t="array" aca="1" ref="Q9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972" spans="1:17" hidden="1" x14ac:dyDescent="0.3">
      <c r="A972">
        <v>1971</v>
      </c>
      <c r="B972" t="s">
        <v>475</v>
      </c>
      <c r="C972" t="s">
        <v>23</v>
      </c>
      <c r="D972" t="s">
        <v>16</v>
      </c>
      <c r="E972">
        <v>45</v>
      </c>
      <c r="F972" t="str" cm="1">
        <f t="array" ref="F972">_xlfn.IFS(EmployeeData[[#This Row],[Age]]&lt;30,"20s",EmployeeData[[#This Row],[Age]]&lt;40,"30s",EmployeeData[[#This Row],[Age]]&lt;50,"40s",EmployeeData[[#This Row],[Age]]&lt;60,"50s",EmployeeData[[#This Row],[Age]]&gt;=60,"60s")</f>
        <v>40s</v>
      </c>
      <c r="G972" s="5">
        <v>44836</v>
      </c>
      <c r="H972" s="5">
        <v>45673</v>
      </c>
      <c r="I972" t="s">
        <v>52</v>
      </c>
      <c r="J972" t="s">
        <v>13</v>
      </c>
      <c r="K972" cm="1">
        <f t="array" aca="1" ref="K972" ca="1">_xlfn.IFS(EmployeeData[[#This Row],[Status]]="Active",_xlfn.DAYS(TODAY(),EmployeeData[[#This Row],[Join Date]]),EmployeeData[[#This Row],[Status]]="Exited",_xlfn.DAYS(EmployeeData[[#This Row],[Exit Date]],EmployeeData[[#This Row],[Join Date]]))</f>
        <v>837</v>
      </c>
      <c r="L972" cm="1">
        <f t="array" aca="1" ref="L972" ca="1">_xlfn.IFS(EmployeeData[[#This Row],[Status]]="Exited",DATEDIF(EmployeeData[[#This Row],[Join Date]], EmployeeData[[#This Row],[Exit Date]], "Y"),EmployeeData[[#This Row],[Status]]="Active",DATEDIF(EmployeeData[[#This Row],[Join Date]], TODAY(), "Y"))</f>
        <v>2</v>
      </c>
      <c r="Q972" t="str" cm="1">
        <f t="array" aca="1" ref="Q9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14 days</v>
      </c>
    </row>
    <row r="973" spans="1:17" hidden="1" x14ac:dyDescent="0.3">
      <c r="A973">
        <v>1972</v>
      </c>
      <c r="B973" t="s">
        <v>451</v>
      </c>
      <c r="C973" t="s">
        <v>23</v>
      </c>
      <c r="D973" t="s">
        <v>16</v>
      </c>
      <c r="E973">
        <v>21</v>
      </c>
      <c r="F973" t="str" cm="1">
        <f t="array" ref="F973">_xlfn.IFS(EmployeeData[[#This Row],[Age]]&lt;30,"20s",EmployeeData[[#This Row],[Age]]&lt;40,"30s",EmployeeData[[#This Row],[Age]]&lt;50,"40s",EmployeeData[[#This Row],[Age]]&lt;60,"50s",EmployeeData[[#This Row],[Age]]&gt;=60,"60s")</f>
        <v>20s</v>
      </c>
      <c r="G973" s="5">
        <v>45305</v>
      </c>
      <c r="I973" t="s">
        <v>17</v>
      </c>
      <c r="J973" t="s">
        <v>18</v>
      </c>
      <c r="K973" cm="1">
        <f t="array" aca="1" ref="K973" ca="1">_xlfn.IFS(EmployeeData[[#This Row],[Status]]="Active",_xlfn.DAYS(TODAY(),EmployeeData[[#This Row],[Join Date]]),EmployeeData[[#This Row],[Status]]="Exited",_xlfn.DAYS(EmployeeData[[#This Row],[Exit Date]],EmployeeData[[#This Row],[Join Date]]))</f>
        <v>892</v>
      </c>
      <c r="L973" cm="1">
        <f t="array" aca="1" ref="L973" ca="1">_xlfn.IFS(EmployeeData[[#This Row],[Status]]="Exited",DATEDIF(EmployeeData[[#This Row],[Join Date]], EmployeeData[[#This Row],[Exit Date]], "Y"),EmployeeData[[#This Row],[Status]]="Active",DATEDIF(EmployeeData[[#This Row],[Join Date]], TODAY(), "Y"))</f>
        <v>2</v>
      </c>
      <c r="Q973" t="str" cm="1">
        <f t="array" aca="1" ref="Q9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10 days</v>
      </c>
    </row>
    <row r="974" spans="1:17" hidden="1" x14ac:dyDescent="0.3">
      <c r="A974">
        <v>1973</v>
      </c>
      <c r="B974" t="s">
        <v>441</v>
      </c>
      <c r="C974" t="s">
        <v>10</v>
      </c>
      <c r="D974" t="s">
        <v>16</v>
      </c>
      <c r="E974">
        <v>50</v>
      </c>
      <c r="F974" t="str" cm="1">
        <f t="array" ref="F974">_xlfn.IFS(EmployeeData[[#This Row],[Age]]&lt;30,"20s",EmployeeData[[#This Row],[Age]]&lt;40,"30s",EmployeeData[[#This Row],[Age]]&lt;50,"40s",EmployeeData[[#This Row],[Age]]&lt;60,"50s",EmployeeData[[#This Row],[Age]]&gt;=60,"60s")</f>
        <v>50s</v>
      </c>
      <c r="G974" s="5">
        <v>43704</v>
      </c>
      <c r="I974" t="s">
        <v>17</v>
      </c>
      <c r="J974" t="s">
        <v>18</v>
      </c>
      <c r="K974" cm="1">
        <f t="array" aca="1" ref="K974" ca="1">_xlfn.IFS(EmployeeData[[#This Row],[Status]]="Active",_xlfn.DAYS(TODAY(),EmployeeData[[#This Row],[Join Date]]),EmployeeData[[#This Row],[Status]]="Exited",_xlfn.DAYS(EmployeeData[[#This Row],[Exit Date]],EmployeeData[[#This Row],[Join Date]]))</f>
        <v>2493</v>
      </c>
      <c r="L974" cm="1">
        <f t="array" aca="1" ref="L974" ca="1">_xlfn.IFS(EmployeeData[[#This Row],[Status]]="Exited",DATEDIF(EmployeeData[[#This Row],[Join Date]], EmployeeData[[#This Row],[Exit Date]], "Y"),EmployeeData[[#This Row],[Status]]="Active",DATEDIF(EmployeeData[[#This Row],[Join Date]], TODAY(), "Y"))</f>
        <v>6</v>
      </c>
      <c r="Q974" t="str" cm="1">
        <f t="array" aca="1" ref="Q9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975" spans="1:17" hidden="1" x14ac:dyDescent="0.3">
      <c r="A975">
        <v>1974</v>
      </c>
      <c r="B975" t="s">
        <v>127</v>
      </c>
      <c r="C975" t="s">
        <v>33</v>
      </c>
      <c r="D975" t="s">
        <v>11</v>
      </c>
      <c r="E975">
        <v>41</v>
      </c>
      <c r="F975" t="str" cm="1">
        <f t="array" ref="F975">_xlfn.IFS(EmployeeData[[#This Row],[Age]]&lt;30,"20s",EmployeeData[[#This Row],[Age]]&lt;40,"30s",EmployeeData[[#This Row],[Age]]&lt;50,"40s",EmployeeData[[#This Row],[Age]]&lt;60,"50s",EmployeeData[[#This Row],[Age]]&gt;=60,"60s")</f>
        <v>40s</v>
      </c>
      <c r="G975" s="5">
        <v>44366</v>
      </c>
      <c r="I975" t="s">
        <v>17</v>
      </c>
      <c r="J975" t="s">
        <v>18</v>
      </c>
      <c r="K975" cm="1">
        <f t="array" aca="1" ref="K975" ca="1">_xlfn.IFS(EmployeeData[[#This Row],[Status]]="Active",_xlfn.DAYS(TODAY(),EmployeeData[[#This Row],[Join Date]]),EmployeeData[[#This Row],[Status]]="Exited",_xlfn.DAYS(EmployeeData[[#This Row],[Exit Date]],EmployeeData[[#This Row],[Join Date]]))</f>
        <v>1831</v>
      </c>
      <c r="L975" cm="1">
        <f t="array" aca="1" ref="L975" ca="1">_xlfn.IFS(EmployeeData[[#This Row],[Status]]="Exited",DATEDIF(EmployeeData[[#This Row],[Join Date]], EmployeeData[[#This Row],[Exit Date]], "Y"),EmployeeData[[#This Row],[Status]]="Active",DATEDIF(EmployeeData[[#This Row],[Join Date]], TODAY(), "Y"))</f>
        <v>5</v>
      </c>
      <c r="Q975" t="str" cm="1">
        <f t="array" aca="1" ref="Q9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5 days</v>
      </c>
    </row>
    <row r="976" spans="1:17" hidden="1" x14ac:dyDescent="0.3">
      <c r="A976">
        <v>1975</v>
      </c>
      <c r="B976" t="s">
        <v>959</v>
      </c>
      <c r="C976" t="s">
        <v>20</v>
      </c>
      <c r="D976" t="s">
        <v>24</v>
      </c>
      <c r="E976">
        <v>34</v>
      </c>
      <c r="F976" t="str" cm="1">
        <f t="array" ref="F976">_xlfn.IFS(EmployeeData[[#This Row],[Age]]&lt;30,"20s",EmployeeData[[#This Row],[Age]]&lt;40,"30s",EmployeeData[[#This Row],[Age]]&lt;50,"40s",EmployeeData[[#This Row],[Age]]&lt;60,"50s",EmployeeData[[#This Row],[Age]]&gt;=60,"60s")</f>
        <v>30s</v>
      </c>
      <c r="G976" s="5">
        <v>45128</v>
      </c>
      <c r="H976" s="5">
        <v>45603</v>
      </c>
      <c r="I976" t="s">
        <v>31</v>
      </c>
      <c r="J976" t="s">
        <v>13</v>
      </c>
      <c r="K976" cm="1">
        <f t="array" aca="1" ref="K976" ca="1">_xlfn.IFS(EmployeeData[[#This Row],[Status]]="Active",_xlfn.DAYS(TODAY(),EmployeeData[[#This Row],[Join Date]]),EmployeeData[[#This Row],[Status]]="Exited",_xlfn.DAYS(EmployeeData[[#This Row],[Exit Date]],EmployeeData[[#This Row],[Join Date]]))</f>
        <v>475</v>
      </c>
      <c r="L976" cm="1">
        <f t="array" aca="1" ref="L976" ca="1">_xlfn.IFS(EmployeeData[[#This Row],[Status]]="Exited",DATEDIF(EmployeeData[[#This Row],[Join Date]], EmployeeData[[#This Row],[Exit Date]], "Y"),EmployeeData[[#This Row],[Status]]="Active",DATEDIF(EmployeeData[[#This Row],[Join Date]], TODAY(), "Y"))</f>
        <v>1</v>
      </c>
      <c r="Q976" t="str" cm="1">
        <f t="array" aca="1" ref="Q9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977" spans="1:17" hidden="1" x14ac:dyDescent="0.3">
      <c r="A977">
        <v>1976</v>
      </c>
      <c r="B977" t="s">
        <v>270</v>
      </c>
      <c r="C977" t="s">
        <v>15</v>
      </c>
      <c r="D977" t="s">
        <v>11</v>
      </c>
      <c r="E977">
        <v>35</v>
      </c>
      <c r="F977" t="str" cm="1">
        <f t="array" ref="F977">_xlfn.IFS(EmployeeData[[#This Row],[Age]]&lt;30,"20s",EmployeeData[[#This Row],[Age]]&lt;40,"30s",EmployeeData[[#This Row],[Age]]&lt;50,"40s",EmployeeData[[#This Row],[Age]]&lt;60,"50s",EmployeeData[[#This Row],[Age]]&gt;=60,"60s")</f>
        <v>30s</v>
      </c>
      <c r="G977" s="5">
        <v>45969</v>
      </c>
      <c r="I977" t="s">
        <v>17</v>
      </c>
      <c r="J977" t="s">
        <v>18</v>
      </c>
      <c r="K977" cm="1">
        <f t="array" aca="1" ref="K977" ca="1">_xlfn.IFS(EmployeeData[[#This Row],[Status]]="Active",_xlfn.DAYS(TODAY(),EmployeeData[[#This Row],[Join Date]]),EmployeeData[[#This Row],[Status]]="Exited",_xlfn.DAYS(EmployeeData[[#This Row],[Exit Date]],EmployeeData[[#This Row],[Join Date]]))</f>
        <v>228</v>
      </c>
      <c r="L977" cm="1">
        <f t="array" aca="1" ref="L977" ca="1">_xlfn.IFS(EmployeeData[[#This Row],[Status]]="Exited",DATEDIF(EmployeeData[[#This Row],[Join Date]], EmployeeData[[#This Row],[Exit Date]], "Y"),EmployeeData[[#This Row],[Status]]="Active",DATEDIF(EmployeeData[[#This Row],[Join Date]], TODAY(), "Y"))</f>
        <v>0</v>
      </c>
      <c r="Q977" t="str" cm="1">
        <f t="array" aca="1" ref="Q9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978" spans="1:17" x14ac:dyDescent="0.3">
      <c r="A978">
        <v>1977</v>
      </c>
      <c r="B978" t="s">
        <v>658</v>
      </c>
      <c r="C978" t="s">
        <v>10</v>
      </c>
      <c r="D978" t="s">
        <v>11</v>
      </c>
      <c r="E978">
        <v>31</v>
      </c>
      <c r="F978" t="str" cm="1">
        <f t="array" ref="F978">_xlfn.IFS(EmployeeData[[#This Row],[Age]]&lt;30,"20s",EmployeeData[[#This Row],[Age]]&lt;40,"30s",EmployeeData[[#This Row],[Age]]&lt;50,"40s",EmployeeData[[#This Row],[Age]]&lt;60,"50s",EmployeeData[[#This Row],[Age]]&gt;=60,"60s")</f>
        <v>30s</v>
      </c>
      <c r="G978" s="5">
        <v>43189</v>
      </c>
      <c r="I978" t="s">
        <v>17</v>
      </c>
      <c r="J978" t="s">
        <v>18</v>
      </c>
      <c r="K978" cm="1">
        <f t="array" aca="1" ref="K978" ca="1">_xlfn.IFS(EmployeeData[[#This Row],[Status]]="Active",_xlfn.DAYS(TODAY(),EmployeeData[[#This Row],[Join Date]]),EmployeeData[[#This Row],[Status]]="Exited",_xlfn.DAYS(EmployeeData[[#This Row],[Exit Date]],EmployeeData[[#This Row],[Join Date]]))</f>
        <v>3008</v>
      </c>
      <c r="L978" cm="1">
        <f t="array" aca="1" ref="L978" ca="1">_xlfn.IFS(EmployeeData[[#This Row],[Status]]="Exited",DATEDIF(EmployeeData[[#This Row],[Join Date]], EmployeeData[[#This Row],[Exit Date]], "Y"),EmployeeData[[#This Row],[Status]]="Active",DATEDIF(EmployeeData[[#This Row],[Join Date]], TODAY(), "Y"))</f>
        <v>8</v>
      </c>
      <c r="Q978" t="str" cm="1">
        <f t="array" aca="1" ref="Q9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25 days</v>
      </c>
    </row>
    <row r="979" spans="1:17" x14ac:dyDescent="0.3">
      <c r="A979">
        <v>1978</v>
      </c>
      <c r="B979" t="s">
        <v>123</v>
      </c>
      <c r="C979" t="s">
        <v>46</v>
      </c>
      <c r="D979" t="s">
        <v>11</v>
      </c>
      <c r="E979">
        <v>46</v>
      </c>
      <c r="F979" t="str" cm="1">
        <f t="array" ref="F979">_xlfn.IFS(EmployeeData[[#This Row],[Age]]&lt;30,"20s",EmployeeData[[#This Row],[Age]]&lt;40,"30s",EmployeeData[[#This Row],[Age]]&lt;50,"40s",EmployeeData[[#This Row],[Age]]&lt;60,"50s",EmployeeData[[#This Row],[Age]]&gt;=60,"60s")</f>
        <v>40s</v>
      </c>
      <c r="G979" s="5">
        <v>43395</v>
      </c>
      <c r="I979" t="s">
        <v>17</v>
      </c>
      <c r="J979" t="s">
        <v>18</v>
      </c>
      <c r="K979" cm="1">
        <f t="array" aca="1" ref="K979" ca="1">_xlfn.IFS(EmployeeData[[#This Row],[Status]]="Active",_xlfn.DAYS(TODAY(),EmployeeData[[#This Row],[Join Date]]),EmployeeData[[#This Row],[Status]]="Exited",_xlfn.DAYS(EmployeeData[[#This Row],[Exit Date]],EmployeeData[[#This Row],[Join Date]]))</f>
        <v>2802</v>
      </c>
      <c r="L979" cm="1">
        <f t="array" aca="1" ref="L979" ca="1">_xlfn.IFS(EmployeeData[[#This Row],[Status]]="Exited",DATEDIF(EmployeeData[[#This Row],[Join Date]], EmployeeData[[#This Row],[Exit Date]], "Y"),EmployeeData[[#This Row],[Status]]="Active",DATEDIF(EmployeeData[[#This Row],[Join Date]], TODAY(), "Y"))</f>
        <v>7</v>
      </c>
      <c r="Q979" t="str" cm="1">
        <f t="array" aca="1" ref="Q9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 days</v>
      </c>
    </row>
    <row r="980" spans="1:17" hidden="1" x14ac:dyDescent="0.3">
      <c r="A980">
        <v>1979</v>
      </c>
      <c r="B980" t="s">
        <v>820</v>
      </c>
      <c r="C980" t="s">
        <v>15</v>
      </c>
      <c r="D980" t="s">
        <v>11</v>
      </c>
      <c r="E980">
        <v>46</v>
      </c>
      <c r="F980" t="str" cm="1">
        <f t="array" ref="F980">_xlfn.IFS(EmployeeData[[#This Row],[Age]]&lt;30,"20s",EmployeeData[[#This Row],[Age]]&lt;40,"30s",EmployeeData[[#This Row],[Age]]&lt;50,"40s",EmployeeData[[#This Row],[Age]]&lt;60,"50s",EmployeeData[[#This Row],[Age]]&gt;=60,"60s")</f>
        <v>40s</v>
      </c>
      <c r="G980" s="5">
        <v>43499</v>
      </c>
      <c r="H980" s="5">
        <v>43810</v>
      </c>
      <c r="I980" t="s">
        <v>52</v>
      </c>
      <c r="J980" t="s">
        <v>13</v>
      </c>
      <c r="K980" cm="1">
        <f t="array" aca="1" ref="K980" ca="1">_xlfn.IFS(EmployeeData[[#This Row],[Status]]="Active",_xlfn.DAYS(TODAY(),EmployeeData[[#This Row],[Join Date]]),EmployeeData[[#This Row],[Status]]="Exited",_xlfn.DAYS(EmployeeData[[#This Row],[Exit Date]],EmployeeData[[#This Row],[Join Date]]))</f>
        <v>311</v>
      </c>
      <c r="L980" cm="1">
        <f t="array" aca="1" ref="L980" ca="1">_xlfn.IFS(EmployeeData[[#This Row],[Status]]="Exited",DATEDIF(EmployeeData[[#This Row],[Join Date]], EmployeeData[[#This Row],[Exit Date]], "Y"),EmployeeData[[#This Row],[Status]]="Active",DATEDIF(EmployeeData[[#This Row],[Join Date]], TODAY(), "Y"))</f>
        <v>0</v>
      </c>
      <c r="Q980" t="str" cm="1">
        <f t="array" aca="1" ref="Q9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981" spans="1:17" hidden="1" x14ac:dyDescent="0.3">
      <c r="A981">
        <v>1980</v>
      </c>
      <c r="B981" t="s">
        <v>670</v>
      </c>
      <c r="C981" t="s">
        <v>23</v>
      </c>
      <c r="D981" t="s">
        <v>24</v>
      </c>
      <c r="E981">
        <v>51</v>
      </c>
      <c r="F981" t="str" cm="1">
        <f t="array" ref="F981">_xlfn.IFS(EmployeeData[[#This Row],[Age]]&lt;30,"20s",EmployeeData[[#This Row],[Age]]&lt;40,"30s",EmployeeData[[#This Row],[Age]]&lt;50,"40s",EmployeeData[[#This Row],[Age]]&lt;60,"50s",EmployeeData[[#This Row],[Age]]&gt;=60,"60s")</f>
        <v>50s</v>
      </c>
      <c r="G981" s="5">
        <v>44293</v>
      </c>
      <c r="I981" t="s">
        <v>17</v>
      </c>
      <c r="J981" t="s">
        <v>18</v>
      </c>
      <c r="K981" cm="1">
        <f t="array" aca="1" ref="K981" ca="1">_xlfn.IFS(EmployeeData[[#This Row],[Status]]="Active",_xlfn.DAYS(TODAY(),EmployeeData[[#This Row],[Join Date]]),EmployeeData[[#This Row],[Status]]="Exited",_xlfn.DAYS(EmployeeData[[#This Row],[Exit Date]],EmployeeData[[#This Row],[Join Date]]))</f>
        <v>1904</v>
      </c>
      <c r="L981" cm="1">
        <f t="array" aca="1" ref="L981" ca="1">_xlfn.IFS(EmployeeData[[#This Row],[Status]]="Exited",DATEDIF(EmployeeData[[#This Row],[Join Date]], EmployeeData[[#This Row],[Exit Date]], "Y"),EmployeeData[[#This Row],[Status]]="Active",DATEDIF(EmployeeData[[#This Row],[Join Date]], TODAY(), "Y"))</f>
        <v>5</v>
      </c>
      <c r="Q981" t="str" cm="1">
        <f t="array" aca="1" ref="Q9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17 days</v>
      </c>
    </row>
    <row r="982" spans="1:17" hidden="1" x14ac:dyDescent="0.3">
      <c r="A982">
        <v>1981</v>
      </c>
      <c r="B982" t="s">
        <v>531</v>
      </c>
      <c r="C982" t="s">
        <v>15</v>
      </c>
      <c r="D982" t="s">
        <v>24</v>
      </c>
      <c r="E982">
        <v>44</v>
      </c>
      <c r="F982" t="str" cm="1">
        <f t="array" ref="F982">_xlfn.IFS(EmployeeData[[#This Row],[Age]]&lt;30,"20s",EmployeeData[[#This Row],[Age]]&lt;40,"30s",EmployeeData[[#This Row],[Age]]&lt;50,"40s",EmployeeData[[#This Row],[Age]]&lt;60,"50s",EmployeeData[[#This Row],[Age]]&gt;=60,"60s")</f>
        <v>40s</v>
      </c>
      <c r="G982" s="5">
        <v>45458</v>
      </c>
      <c r="H982" s="5">
        <v>45699</v>
      </c>
      <c r="I982" t="s">
        <v>12</v>
      </c>
      <c r="J982" t="s">
        <v>13</v>
      </c>
      <c r="K982" cm="1">
        <f t="array" aca="1" ref="K982" ca="1">_xlfn.IFS(EmployeeData[[#This Row],[Status]]="Active",_xlfn.DAYS(TODAY(),EmployeeData[[#This Row],[Join Date]]),EmployeeData[[#This Row],[Status]]="Exited",_xlfn.DAYS(EmployeeData[[#This Row],[Exit Date]],EmployeeData[[#This Row],[Join Date]]))</f>
        <v>241</v>
      </c>
      <c r="L982" cm="1">
        <f t="array" aca="1" ref="L982" ca="1">_xlfn.IFS(EmployeeData[[#This Row],[Status]]="Exited",DATEDIF(EmployeeData[[#This Row],[Join Date]], EmployeeData[[#This Row],[Exit Date]], "Y"),EmployeeData[[#This Row],[Status]]="Active",DATEDIF(EmployeeData[[#This Row],[Join Date]], TODAY(), "Y"))</f>
        <v>0</v>
      </c>
      <c r="Q982" t="str" cm="1">
        <f t="array" aca="1" ref="Q9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983" spans="1:17" hidden="1" x14ac:dyDescent="0.3">
      <c r="A983">
        <v>1982</v>
      </c>
      <c r="B983" t="s">
        <v>556</v>
      </c>
      <c r="C983" t="s">
        <v>46</v>
      </c>
      <c r="D983" t="s">
        <v>16</v>
      </c>
      <c r="E983">
        <v>51</v>
      </c>
      <c r="F983" t="str" cm="1">
        <f t="array" ref="F983">_xlfn.IFS(EmployeeData[[#This Row],[Age]]&lt;30,"20s",EmployeeData[[#This Row],[Age]]&lt;40,"30s",EmployeeData[[#This Row],[Age]]&lt;50,"40s",EmployeeData[[#This Row],[Age]]&lt;60,"50s",EmployeeData[[#This Row],[Age]]&gt;=60,"60s")</f>
        <v>50s</v>
      </c>
      <c r="G983" s="5">
        <v>43836</v>
      </c>
      <c r="I983" t="s">
        <v>17</v>
      </c>
      <c r="J983" t="s">
        <v>18</v>
      </c>
      <c r="K983" cm="1">
        <f t="array" aca="1" ref="K983" ca="1">_xlfn.IFS(EmployeeData[[#This Row],[Status]]="Active",_xlfn.DAYS(TODAY(),EmployeeData[[#This Row],[Join Date]]),EmployeeData[[#This Row],[Status]]="Exited",_xlfn.DAYS(EmployeeData[[#This Row],[Exit Date]],EmployeeData[[#This Row],[Join Date]]))</f>
        <v>2361</v>
      </c>
      <c r="L983" cm="1">
        <f t="array" aca="1" ref="L983" ca="1">_xlfn.IFS(EmployeeData[[#This Row],[Status]]="Exited",DATEDIF(EmployeeData[[#This Row],[Join Date]], EmployeeData[[#This Row],[Exit Date]], "Y"),EmployeeData[[#This Row],[Status]]="Active",DATEDIF(EmployeeData[[#This Row],[Join Date]], TODAY(), "Y"))</f>
        <v>6</v>
      </c>
      <c r="Q983" t="str" cm="1">
        <f t="array" aca="1" ref="Q9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18 days</v>
      </c>
    </row>
    <row r="984" spans="1:17" hidden="1" x14ac:dyDescent="0.3">
      <c r="A984">
        <v>1983</v>
      </c>
      <c r="B984" t="s">
        <v>646</v>
      </c>
      <c r="C984" t="s">
        <v>23</v>
      </c>
      <c r="D984" t="s">
        <v>11</v>
      </c>
      <c r="E984">
        <v>46</v>
      </c>
      <c r="F984" t="str" cm="1">
        <f t="array" ref="F984">_xlfn.IFS(EmployeeData[[#This Row],[Age]]&lt;30,"20s",EmployeeData[[#This Row],[Age]]&lt;40,"30s",EmployeeData[[#This Row],[Age]]&lt;50,"40s",EmployeeData[[#This Row],[Age]]&lt;60,"50s",EmployeeData[[#This Row],[Age]]&gt;=60,"60s")</f>
        <v>40s</v>
      </c>
      <c r="G984" s="5">
        <v>44104</v>
      </c>
      <c r="H984" s="5">
        <v>44687</v>
      </c>
      <c r="I984" t="s">
        <v>12</v>
      </c>
      <c r="J984" t="s">
        <v>13</v>
      </c>
      <c r="K984" cm="1">
        <f t="array" aca="1" ref="K984" ca="1">_xlfn.IFS(EmployeeData[[#This Row],[Status]]="Active",_xlfn.DAYS(TODAY(),EmployeeData[[#This Row],[Join Date]]),EmployeeData[[#This Row],[Status]]="Exited",_xlfn.DAYS(EmployeeData[[#This Row],[Exit Date]],EmployeeData[[#This Row],[Join Date]]))</f>
        <v>583</v>
      </c>
      <c r="L984" cm="1">
        <f t="array" aca="1" ref="L984" ca="1">_xlfn.IFS(EmployeeData[[#This Row],[Status]]="Exited",DATEDIF(EmployeeData[[#This Row],[Join Date]], EmployeeData[[#This Row],[Exit Date]], "Y"),EmployeeData[[#This Row],[Status]]="Active",DATEDIF(EmployeeData[[#This Row],[Join Date]], TODAY(), "Y"))</f>
        <v>1</v>
      </c>
      <c r="Q984" t="str" cm="1">
        <f t="array" aca="1" ref="Q9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985" spans="1:17" hidden="1" x14ac:dyDescent="0.3">
      <c r="A985">
        <v>1984</v>
      </c>
      <c r="B985" t="s">
        <v>465</v>
      </c>
      <c r="C985" t="s">
        <v>20</v>
      </c>
      <c r="D985" t="s">
        <v>24</v>
      </c>
      <c r="E985">
        <v>26</v>
      </c>
      <c r="F985" t="str" cm="1">
        <f t="array" ref="F985">_xlfn.IFS(EmployeeData[[#This Row],[Age]]&lt;30,"20s",EmployeeData[[#This Row],[Age]]&lt;40,"30s",EmployeeData[[#This Row],[Age]]&lt;50,"40s",EmployeeData[[#This Row],[Age]]&lt;60,"50s",EmployeeData[[#This Row],[Age]]&gt;=60,"60s")</f>
        <v>20s</v>
      </c>
      <c r="G985" s="5">
        <v>45000</v>
      </c>
      <c r="I985" t="s">
        <v>17</v>
      </c>
      <c r="J985" t="s">
        <v>18</v>
      </c>
      <c r="K985" cm="1">
        <f t="array" aca="1" ref="K985" ca="1">_xlfn.IFS(EmployeeData[[#This Row],[Status]]="Active",_xlfn.DAYS(TODAY(),EmployeeData[[#This Row],[Join Date]]),EmployeeData[[#This Row],[Status]]="Exited",_xlfn.DAYS(EmployeeData[[#This Row],[Exit Date]],EmployeeData[[#This Row],[Join Date]]))</f>
        <v>1197</v>
      </c>
      <c r="L985" cm="1">
        <f t="array" aca="1" ref="L985" ca="1">_xlfn.IFS(EmployeeData[[#This Row],[Status]]="Exited",DATEDIF(EmployeeData[[#This Row],[Join Date]], EmployeeData[[#This Row],[Exit Date]], "Y"),EmployeeData[[#This Row],[Status]]="Active",DATEDIF(EmployeeData[[#This Row],[Join Date]], TODAY(), "Y"))</f>
        <v>3</v>
      </c>
      <c r="Q985" t="str" cm="1">
        <f t="array" aca="1" ref="Q9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986" spans="1:17" x14ac:dyDescent="0.3">
      <c r="A986">
        <v>1985</v>
      </c>
      <c r="B986" t="s">
        <v>823</v>
      </c>
      <c r="C986" t="s">
        <v>10</v>
      </c>
      <c r="D986" t="s">
        <v>16</v>
      </c>
      <c r="E986">
        <v>65</v>
      </c>
      <c r="F986" t="str" cm="1">
        <f t="array" ref="F986">_xlfn.IFS(EmployeeData[[#This Row],[Age]]&lt;30,"20s",EmployeeData[[#This Row],[Age]]&lt;40,"30s",EmployeeData[[#This Row],[Age]]&lt;50,"40s",EmployeeData[[#This Row],[Age]]&lt;60,"50s",EmployeeData[[#This Row],[Age]]&gt;=60,"60s")</f>
        <v>60s</v>
      </c>
      <c r="G986" s="5">
        <v>43439</v>
      </c>
      <c r="H986" s="5">
        <v>45616</v>
      </c>
      <c r="I986" t="s">
        <v>26</v>
      </c>
      <c r="J986" t="s">
        <v>13</v>
      </c>
      <c r="K986" cm="1">
        <f t="array" aca="1" ref="K986" ca="1">_xlfn.IFS(EmployeeData[[#This Row],[Status]]="Active",_xlfn.DAYS(TODAY(),EmployeeData[[#This Row],[Join Date]]),EmployeeData[[#This Row],[Status]]="Exited",_xlfn.DAYS(EmployeeData[[#This Row],[Exit Date]],EmployeeData[[#This Row],[Join Date]]))</f>
        <v>2177</v>
      </c>
      <c r="L986" cm="1">
        <f t="array" aca="1" ref="L986" ca="1">_xlfn.IFS(EmployeeData[[#This Row],[Status]]="Exited",DATEDIF(EmployeeData[[#This Row],[Join Date]], EmployeeData[[#This Row],[Exit Date]], "Y"),EmployeeData[[#This Row],[Status]]="Active",DATEDIF(EmployeeData[[#This Row],[Join Date]], TODAY(), "Y"))</f>
        <v>5</v>
      </c>
      <c r="Q986" t="str" cm="1">
        <f t="array" aca="1" ref="Q9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987" spans="1:17" hidden="1" x14ac:dyDescent="0.3">
      <c r="A987">
        <v>1986</v>
      </c>
      <c r="B987" t="s">
        <v>685</v>
      </c>
      <c r="C987" t="s">
        <v>33</v>
      </c>
      <c r="D987" t="s">
        <v>16</v>
      </c>
      <c r="E987">
        <v>51</v>
      </c>
      <c r="F987" t="str" cm="1">
        <f t="array" ref="F987">_xlfn.IFS(EmployeeData[[#This Row],[Age]]&lt;30,"20s",EmployeeData[[#This Row],[Age]]&lt;40,"30s",EmployeeData[[#This Row],[Age]]&lt;50,"40s",EmployeeData[[#This Row],[Age]]&lt;60,"50s",EmployeeData[[#This Row],[Age]]&gt;=60,"60s")</f>
        <v>50s</v>
      </c>
      <c r="G987" s="5">
        <v>45741</v>
      </c>
      <c r="I987" t="s">
        <v>17</v>
      </c>
      <c r="J987" t="s">
        <v>18</v>
      </c>
      <c r="K987" cm="1">
        <f t="array" aca="1" ref="K987" ca="1">_xlfn.IFS(EmployeeData[[#This Row],[Status]]="Active",_xlfn.DAYS(TODAY(),EmployeeData[[#This Row],[Join Date]]),EmployeeData[[#This Row],[Status]]="Exited",_xlfn.DAYS(EmployeeData[[#This Row],[Exit Date]],EmployeeData[[#This Row],[Join Date]]))</f>
        <v>456</v>
      </c>
      <c r="L987" cm="1">
        <f t="array" aca="1" ref="L987" ca="1">_xlfn.IFS(EmployeeData[[#This Row],[Status]]="Exited",DATEDIF(EmployeeData[[#This Row],[Join Date]], EmployeeData[[#This Row],[Exit Date]], "Y"),EmployeeData[[#This Row],[Status]]="Active",DATEDIF(EmployeeData[[#This Row],[Join Date]], TODAY(), "Y"))</f>
        <v>1</v>
      </c>
      <c r="Q987" t="str" cm="1">
        <f t="array" aca="1" ref="Q9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30 days</v>
      </c>
    </row>
    <row r="988" spans="1:17" hidden="1" x14ac:dyDescent="0.3">
      <c r="A988">
        <v>1987</v>
      </c>
      <c r="B988" t="s">
        <v>108</v>
      </c>
      <c r="C988" t="s">
        <v>15</v>
      </c>
      <c r="D988" t="s">
        <v>11</v>
      </c>
      <c r="E988">
        <v>55</v>
      </c>
      <c r="F988" t="str" cm="1">
        <f t="array" ref="F988">_xlfn.IFS(EmployeeData[[#This Row],[Age]]&lt;30,"20s",EmployeeData[[#This Row],[Age]]&lt;40,"30s",EmployeeData[[#This Row],[Age]]&lt;50,"40s",EmployeeData[[#This Row],[Age]]&lt;60,"50s",EmployeeData[[#This Row],[Age]]&gt;=60,"60s")</f>
        <v>50s</v>
      </c>
      <c r="G988" s="5">
        <v>43858</v>
      </c>
      <c r="I988" t="s">
        <v>17</v>
      </c>
      <c r="J988" t="s">
        <v>18</v>
      </c>
      <c r="K988" cm="1">
        <f t="array" aca="1" ref="K988" ca="1">_xlfn.IFS(EmployeeData[[#This Row],[Status]]="Active",_xlfn.DAYS(TODAY(),EmployeeData[[#This Row],[Join Date]]),EmployeeData[[#This Row],[Status]]="Exited",_xlfn.DAYS(EmployeeData[[#This Row],[Exit Date]],EmployeeData[[#This Row],[Join Date]]))</f>
        <v>2339</v>
      </c>
      <c r="L988" cm="1">
        <f t="array" aca="1" ref="L988" ca="1">_xlfn.IFS(EmployeeData[[#This Row],[Status]]="Exited",DATEDIF(EmployeeData[[#This Row],[Join Date]], EmployeeData[[#This Row],[Exit Date]], "Y"),EmployeeData[[#This Row],[Status]]="Active",DATEDIF(EmployeeData[[#This Row],[Join Date]], TODAY(), "Y"))</f>
        <v>6</v>
      </c>
      <c r="Q988" t="str" cm="1">
        <f t="array" aca="1" ref="Q9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27 days</v>
      </c>
    </row>
    <row r="989" spans="1:17" hidden="1" x14ac:dyDescent="0.3">
      <c r="A989">
        <v>1988</v>
      </c>
      <c r="B989" t="s">
        <v>189</v>
      </c>
      <c r="C989" t="s">
        <v>15</v>
      </c>
      <c r="D989" t="s">
        <v>11</v>
      </c>
      <c r="E989">
        <v>55</v>
      </c>
      <c r="F989" t="str" cm="1">
        <f t="array" ref="F989">_xlfn.IFS(EmployeeData[[#This Row],[Age]]&lt;30,"20s",EmployeeData[[#This Row],[Age]]&lt;40,"30s",EmployeeData[[#This Row],[Age]]&lt;50,"40s",EmployeeData[[#This Row],[Age]]&lt;60,"50s",EmployeeData[[#This Row],[Age]]&gt;=60,"60s")</f>
        <v>50s</v>
      </c>
      <c r="G989" s="5">
        <v>45770</v>
      </c>
      <c r="H989" s="5">
        <v>45966</v>
      </c>
      <c r="I989" t="s">
        <v>21</v>
      </c>
      <c r="J989" t="s">
        <v>13</v>
      </c>
      <c r="K989" cm="1">
        <f t="array" aca="1" ref="K989" ca="1">_xlfn.IFS(EmployeeData[[#This Row],[Status]]="Active",_xlfn.DAYS(TODAY(),EmployeeData[[#This Row],[Join Date]]),EmployeeData[[#This Row],[Status]]="Exited",_xlfn.DAYS(EmployeeData[[#This Row],[Exit Date]],EmployeeData[[#This Row],[Join Date]]))</f>
        <v>196</v>
      </c>
      <c r="L989" cm="1">
        <f t="array" aca="1" ref="L989" ca="1">_xlfn.IFS(EmployeeData[[#This Row],[Status]]="Exited",DATEDIF(EmployeeData[[#This Row],[Join Date]], EmployeeData[[#This Row],[Exit Date]], "Y"),EmployeeData[[#This Row],[Status]]="Active",DATEDIF(EmployeeData[[#This Row],[Join Date]], TODAY(), "Y"))</f>
        <v>0</v>
      </c>
      <c r="Q989" t="str" cm="1">
        <f t="array" aca="1" ref="Q9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990" spans="1:17" hidden="1" x14ac:dyDescent="0.3">
      <c r="A990">
        <v>1989</v>
      </c>
      <c r="B990" t="s">
        <v>630</v>
      </c>
      <c r="C990" t="s">
        <v>20</v>
      </c>
      <c r="D990" t="s">
        <v>16</v>
      </c>
      <c r="E990">
        <v>49</v>
      </c>
      <c r="F990" t="str" cm="1">
        <f t="array" ref="F990">_xlfn.IFS(EmployeeData[[#This Row],[Age]]&lt;30,"20s",EmployeeData[[#This Row],[Age]]&lt;40,"30s",EmployeeData[[#This Row],[Age]]&lt;50,"40s",EmployeeData[[#This Row],[Age]]&lt;60,"50s",EmployeeData[[#This Row],[Age]]&gt;=60,"60s")</f>
        <v>40s</v>
      </c>
      <c r="G990" s="5">
        <v>44388</v>
      </c>
      <c r="H990" s="5">
        <v>44741</v>
      </c>
      <c r="I990" t="s">
        <v>65</v>
      </c>
      <c r="J990" t="s">
        <v>13</v>
      </c>
      <c r="K990" cm="1">
        <f t="array" aca="1" ref="K990" ca="1">_xlfn.IFS(EmployeeData[[#This Row],[Status]]="Active",_xlfn.DAYS(TODAY(),EmployeeData[[#This Row],[Join Date]]),EmployeeData[[#This Row],[Status]]="Exited",_xlfn.DAYS(EmployeeData[[#This Row],[Exit Date]],EmployeeData[[#This Row],[Join Date]]))</f>
        <v>353</v>
      </c>
      <c r="L990" cm="1">
        <f t="array" aca="1" ref="L990" ca="1">_xlfn.IFS(EmployeeData[[#This Row],[Status]]="Exited",DATEDIF(EmployeeData[[#This Row],[Join Date]], EmployeeData[[#This Row],[Exit Date]], "Y"),EmployeeData[[#This Row],[Status]]="Active",DATEDIF(EmployeeData[[#This Row],[Join Date]], TODAY(), "Y"))</f>
        <v>0</v>
      </c>
      <c r="Q990" t="str" cm="1">
        <f t="array" aca="1" ref="Q9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991" spans="1:17" hidden="1" x14ac:dyDescent="0.3">
      <c r="A991">
        <v>1990</v>
      </c>
      <c r="B991" t="s">
        <v>336</v>
      </c>
      <c r="C991" t="s">
        <v>15</v>
      </c>
      <c r="D991" t="s">
        <v>16</v>
      </c>
      <c r="E991">
        <v>40</v>
      </c>
      <c r="F991" t="str" cm="1">
        <f t="array" ref="F991">_xlfn.IFS(EmployeeData[[#This Row],[Age]]&lt;30,"20s",EmployeeData[[#This Row],[Age]]&lt;40,"30s",EmployeeData[[#This Row],[Age]]&lt;50,"40s",EmployeeData[[#This Row],[Age]]&lt;60,"50s",EmployeeData[[#This Row],[Age]]&gt;=60,"60s")</f>
        <v>40s</v>
      </c>
      <c r="G991" s="5">
        <v>44590</v>
      </c>
      <c r="I991" t="s">
        <v>17</v>
      </c>
      <c r="J991" t="s">
        <v>18</v>
      </c>
      <c r="K991" cm="1">
        <f t="array" aca="1" ref="K991" ca="1">_xlfn.IFS(EmployeeData[[#This Row],[Status]]="Active",_xlfn.DAYS(TODAY(),EmployeeData[[#This Row],[Join Date]]),EmployeeData[[#This Row],[Status]]="Exited",_xlfn.DAYS(EmployeeData[[#This Row],[Exit Date]],EmployeeData[[#This Row],[Join Date]]))</f>
        <v>1607</v>
      </c>
      <c r="L991" cm="1">
        <f t="array" aca="1" ref="L991" ca="1">_xlfn.IFS(EmployeeData[[#This Row],[Status]]="Exited",DATEDIF(EmployeeData[[#This Row],[Join Date]], EmployeeData[[#This Row],[Exit Date]], "Y"),EmployeeData[[#This Row],[Status]]="Active",DATEDIF(EmployeeData[[#This Row],[Join Date]], TODAY(), "Y"))</f>
        <v>4</v>
      </c>
      <c r="Q991" t="str" cm="1">
        <f t="array" aca="1" ref="Q9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26 days</v>
      </c>
    </row>
    <row r="992" spans="1:17" hidden="1" x14ac:dyDescent="0.3">
      <c r="A992">
        <v>1991</v>
      </c>
      <c r="B992" t="s">
        <v>940</v>
      </c>
      <c r="C992" t="s">
        <v>20</v>
      </c>
      <c r="D992" t="s">
        <v>16</v>
      </c>
      <c r="E992">
        <v>23</v>
      </c>
      <c r="F992" t="str" cm="1">
        <f t="array" ref="F992">_xlfn.IFS(EmployeeData[[#This Row],[Age]]&lt;30,"20s",EmployeeData[[#This Row],[Age]]&lt;40,"30s",EmployeeData[[#This Row],[Age]]&lt;50,"40s",EmployeeData[[#This Row],[Age]]&lt;60,"50s",EmployeeData[[#This Row],[Age]]&gt;=60,"60s")</f>
        <v>20s</v>
      </c>
      <c r="G992" s="5">
        <v>45228</v>
      </c>
      <c r="I992" t="s">
        <v>17</v>
      </c>
      <c r="J992" t="s">
        <v>18</v>
      </c>
      <c r="K992" cm="1">
        <f t="array" aca="1" ref="K992" ca="1">_xlfn.IFS(EmployeeData[[#This Row],[Status]]="Active",_xlfn.DAYS(TODAY(),EmployeeData[[#This Row],[Join Date]]),EmployeeData[[#This Row],[Status]]="Exited",_xlfn.DAYS(EmployeeData[[#This Row],[Exit Date]],EmployeeData[[#This Row],[Join Date]]))</f>
        <v>969</v>
      </c>
      <c r="L992" cm="1">
        <f t="array" aca="1" ref="L992" ca="1">_xlfn.IFS(EmployeeData[[#This Row],[Status]]="Exited",DATEDIF(EmployeeData[[#This Row],[Join Date]], EmployeeData[[#This Row],[Exit Date]], "Y"),EmployeeData[[#This Row],[Status]]="Active",DATEDIF(EmployeeData[[#This Row],[Join Date]], TODAY(), "Y"))</f>
        <v>2</v>
      </c>
      <c r="Q992" t="str" cm="1">
        <f t="array" aca="1" ref="Q9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26 days</v>
      </c>
    </row>
    <row r="993" spans="1:17" hidden="1" x14ac:dyDescent="0.3">
      <c r="A993">
        <v>1992</v>
      </c>
      <c r="B993" t="s">
        <v>870</v>
      </c>
      <c r="C993" t="s">
        <v>23</v>
      </c>
      <c r="D993" t="s">
        <v>11</v>
      </c>
      <c r="E993">
        <v>54</v>
      </c>
      <c r="F993" t="str" cm="1">
        <f t="array" ref="F993">_xlfn.IFS(EmployeeData[[#This Row],[Age]]&lt;30,"20s",EmployeeData[[#This Row],[Age]]&lt;40,"30s",EmployeeData[[#This Row],[Age]]&lt;50,"40s",EmployeeData[[#This Row],[Age]]&lt;60,"50s",EmployeeData[[#This Row],[Age]]&gt;=60,"60s")</f>
        <v>50s</v>
      </c>
      <c r="G993" s="5">
        <v>44543</v>
      </c>
      <c r="I993" t="s">
        <v>17</v>
      </c>
      <c r="J993" t="s">
        <v>18</v>
      </c>
      <c r="K993" cm="1">
        <f t="array" aca="1" ref="K993" ca="1">_xlfn.IFS(EmployeeData[[#This Row],[Status]]="Active",_xlfn.DAYS(TODAY(),EmployeeData[[#This Row],[Join Date]]),EmployeeData[[#This Row],[Status]]="Exited",_xlfn.DAYS(EmployeeData[[#This Row],[Exit Date]],EmployeeData[[#This Row],[Join Date]]))</f>
        <v>1654</v>
      </c>
      <c r="L993" cm="1">
        <f t="array" aca="1" ref="L993" ca="1">_xlfn.IFS(EmployeeData[[#This Row],[Status]]="Exited",DATEDIF(EmployeeData[[#This Row],[Join Date]], EmployeeData[[#This Row],[Exit Date]], "Y"),EmployeeData[[#This Row],[Status]]="Active",DATEDIF(EmployeeData[[#This Row],[Join Date]], TODAY(), "Y"))</f>
        <v>4</v>
      </c>
      <c r="Q993" t="str" cm="1">
        <f t="array" aca="1" ref="Q9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11 days</v>
      </c>
    </row>
    <row r="994" spans="1:17" hidden="1" x14ac:dyDescent="0.3">
      <c r="A994">
        <v>1993</v>
      </c>
      <c r="B994" t="s">
        <v>722</v>
      </c>
      <c r="C994" t="s">
        <v>20</v>
      </c>
      <c r="D994" t="s">
        <v>16</v>
      </c>
      <c r="E994">
        <v>23</v>
      </c>
      <c r="F994" t="str" cm="1">
        <f t="array" ref="F994">_xlfn.IFS(EmployeeData[[#This Row],[Age]]&lt;30,"20s",EmployeeData[[#This Row],[Age]]&lt;40,"30s",EmployeeData[[#This Row],[Age]]&lt;50,"40s",EmployeeData[[#This Row],[Age]]&lt;60,"50s",EmployeeData[[#This Row],[Age]]&gt;=60,"60s")</f>
        <v>20s</v>
      </c>
      <c r="G994" s="5">
        <v>43871</v>
      </c>
      <c r="H994" s="5">
        <v>44842</v>
      </c>
      <c r="I994" t="s">
        <v>21</v>
      </c>
      <c r="J994" t="s">
        <v>13</v>
      </c>
      <c r="K994" cm="1">
        <f t="array" aca="1" ref="K994" ca="1">_xlfn.IFS(EmployeeData[[#This Row],[Status]]="Active",_xlfn.DAYS(TODAY(),EmployeeData[[#This Row],[Join Date]]),EmployeeData[[#This Row],[Status]]="Exited",_xlfn.DAYS(EmployeeData[[#This Row],[Exit Date]],EmployeeData[[#This Row],[Join Date]]))</f>
        <v>971</v>
      </c>
      <c r="L994" cm="1">
        <f t="array" aca="1" ref="L994" ca="1">_xlfn.IFS(EmployeeData[[#This Row],[Status]]="Exited",DATEDIF(EmployeeData[[#This Row],[Join Date]], EmployeeData[[#This Row],[Exit Date]], "Y"),EmployeeData[[#This Row],[Status]]="Active",DATEDIF(EmployeeData[[#This Row],[Join Date]], TODAY(), "Y"))</f>
        <v>2</v>
      </c>
      <c r="Q994" t="str" cm="1">
        <f t="array" aca="1" ref="Q9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995" spans="1:17" hidden="1" x14ac:dyDescent="0.3">
      <c r="A995">
        <v>1994</v>
      </c>
      <c r="B995" t="s">
        <v>27</v>
      </c>
      <c r="C995" t="s">
        <v>15</v>
      </c>
      <c r="D995" t="s">
        <v>24</v>
      </c>
      <c r="E995">
        <v>25</v>
      </c>
      <c r="F995" t="str" cm="1">
        <f t="array" ref="F995">_xlfn.IFS(EmployeeData[[#This Row],[Age]]&lt;30,"20s",EmployeeData[[#This Row],[Age]]&lt;40,"30s",EmployeeData[[#This Row],[Age]]&lt;50,"40s",EmployeeData[[#This Row],[Age]]&lt;60,"50s",EmployeeData[[#This Row],[Age]]&gt;=60,"60s")</f>
        <v>20s</v>
      </c>
      <c r="G995" s="5">
        <v>45353</v>
      </c>
      <c r="H995" s="5">
        <v>45833</v>
      </c>
      <c r="I995" t="s">
        <v>28</v>
      </c>
      <c r="J995" t="s">
        <v>13</v>
      </c>
      <c r="K995" cm="1">
        <f t="array" aca="1" ref="K995" ca="1">_xlfn.IFS(EmployeeData[[#This Row],[Status]]="Active",_xlfn.DAYS(TODAY(),EmployeeData[[#This Row],[Join Date]]),EmployeeData[[#This Row],[Status]]="Exited",_xlfn.DAYS(EmployeeData[[#This Row],[Exit Date]],EmployeeData[[#This Row],[Join Date]]))</f>
        <v>480</v>
      </c>
      <c r="L995" cm="1">
        <f t="array" aca="1" ref="L995" ca="1">_xlfn.IFS(EmployeeData[[#This Row],[Status]]="Exited",DATEDIF(EmployeeData[[#This Row],[Join Date]], EmployeeData[[#This Row],[Exit Date]], "Y"),EmployeeData[[#This Row],[Status]]="Active",DATEDIF(EmployeeData[[#This Row],[Join Date]], TODAY(), "Y"))</f>
        <v>1</v>
      </c>
      <c r="Q995" t="str" cm="1">
        <f t="array" aca="1" ref="Q9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23 days</v>
      </c>
    </row>
    <row r="996" spans="1:17" hidden="1" x14ac:dyDescent="0.3">
      <c r="A996">
        <v>1995</v>
      </c>
      <c r="B996" t="s">
        <v>715</v>
      </c>
      <c r="C996" t="s">
        <v>20</v>
      </c>
      <c r="D996" t="s">
        <v>11</v>
      </c>
      <c r="E996">
        <v>30</v>
      </c>
      <c r="F996" t="str" cm="1">
        <f t="array" ref="F996">_xlfn.IFS(EmployeeData[[#This Row],[Age]]&lt;30,"20s",EmployeeData[[#This Row],[Age]]&lt;40,"30s",EmployeeData[[#This Row],[Age]]&lt;50,"40s",EmployeeData[[#This Row],[Age]]&lt;60,"50s",EmployeeData[[#This Row],[Age]]&gt;=60,"60s")</f>
        <v>30s</v>
      </c>
      <c r="G996" s="5">
        <v>45296</v>
      </c>
      <c r="H996" s="5">
        <v>46030</v>
      </c>
      <c r="I996" t="s">
        <v>34</v>
      </c>
      <c r="J996" t="s">
        <v>13</v>
      </c>
      <c r="K996" cm="1">
        <f t="array" aca="1" ref="K996" ca="1">_xlfn.IFS(EmployeeData[[#This Row],[Status]]="Active",_xlfn.DAYS(TODAY(),EmployeeData[[#This Row],[Join Date]]),EmployeeData[[#This Row],[Status]]="Exited",_xlfn.DAYS(EmployeeData[[#This Row],[Exit Date]],EmployeeData[[#This Row],[Join Date]]))</f>
        <v>734</v>
      </c>
      <c r="L996" cm="1">
        <f t="array" aca="1" ref="L996" ca="1">_xlfn.IFS(EmployeeData[[#This Row],[Status]]="Exited",DATEDIF(EmployeeData[[#This Row],[Join Date]], EmployeeData[[#This Row],[Exit Date]], "Y"),EmployeeData[[#This Row],[Status]]="Active",DATEDIF(EmployeeData[[#This Row],[Join Date]], TODAY(), "Y"))</f>
        <v>2</v>
      </c>
      <c r="Q996" t="str" cm="1">
        <f t="array" aca="1" ref="Q9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3 days</v>
      </c>
    </row>
    <row r="997" spans="1:17" hidden="1" x14ac:dyDescent="0.3">
      <c r="A997">
        <v>1996</v>
      </c>
      <c r="B997" t="s">
        <v>399</v>
      </c>
      <c r="C997" t="s">
        <v>10</v>
      </c>
      <c r="D997" t="s">
        <v>16</v>
      </c>
      <c r="E997">
        <v>58</v>
      </c>
      <c r="F997" t="str" cm="1">
        <f t="array" ref="F997">_xlfn.IFS(EmployeeData[[#This Row],[Age]]&lt;30,"20s",EmployeeData[[#This Row],[Age]]&lt;40,"30s",EmployeeData[[#This Row],[Age]]&lt;50,"40s",EmployeeData[[#This Row],[Age]]&lt;60,"50s",EmployeeData[[#This Row],[Age]]&gt;=60,"60s")</f>
        <v>50s</v>
      </c>
      <c r="G997" s="5">
        <v>44653</v>
      </c>
      <c r="H997" s="5">
        <v>45979</v>
      </c>
      <c r="I997" t="s">
        <v>26</v>
      </c>
      <c r="J997" t="s">
        <v>13</v>
      </c>
      <c r="K997" cm="1">
        <f t="array" aca="1" ref="K997" ca="1">_xlfn.IFS(EmployeeData[[#This Row],[Status]]="Active",_xlfn.DAYS(TODAY(),EmployeeData[[#This Row],[Join Date]]),EmployeeData[[#This Row],[Status]]="Exited",_xlfn.DAYS(EmployeeData[[#This Row],[Exit Date]],EmployeeData[[#This Row],[Join Date]]))</f>
        <v>1326</v>
      </c>
      <c r="L997" cm="1">
        <f t="array" aca="1" ref="L997" ca="1">_xlfn.IFS(EmployeeData[[#This Row],[Status]]="Exited",DATEDIF(EmployeeData[[#This Row],[Join Date]], EmployeeData[[#This Row],[Exit Date]], "Y"),EmployeeData[[#This Row],[Status]]="Active",DATEDIF(EmployeeData[[#This Row],[Join Date]], TODAY(), "Y"))</f>
        <v>3</v>
      </c>
      <c r="Q997" t="str" cm="1">
        <f t="array" aca="1" ref="Q9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16 days</v>
      </c>
    </row>
    <row r="998" spans="1:17" hidden="1" x14ac:dyDescent="0.3">
      <c r="A998">
        <v>1997</v>
      </c>
      <c r="B998" t="s">
        <v>500</v>
      </c>
      <c r="C998" t="s">
        <v>15</v>
      </c>
      <c r="D998" t="s">
        <v>24</v>
      </c>
      <c r="E998">
        <v>44</v>
      </c>
      <c r="F998" t="str" cm="1">
        <f t="array" ref="F998">_xlfn.IFS(EmployeeData[[#This Row],[Age]]&lt;30,"20s",EmployeeData[[#This Row],[Age]]&lt;40,"30s",EmployeeData[[#This Row],[Age]]&lt;50,"40s",EmployeeData[[#This Row],[Age]]&lt;60,"50s",EmployeeData[[#This Row],[Age]]&gt;=60,"60s")</f>
        <v>40s</v>
      </c>
      <c r="G998" s="5">
        <v>44467</v>
      </c>
      <c r="I998" t="s">
        <v>17</v>
      </c>
      <c r="J998" t="s">
        <v>18</v>
      </c>
      <c r="K998" cm="1">
        <f t="array" aca="1" ref="K998" ca="1">_xlfn.IFS(EmployeeData[[#This Row],[Status]]="Active",_xlfn.DAYS(TODAY(),EmployeeData[[#This Row],[Join Date]]),EmployeeData[[#This Row],[Status]]="Exited",_xlfn.DAYS(EmployeeData[[#This Row],[Exit Date]],EmployeeData[[#This Row],[Join Date]]))</f>
        <v>1730</v>
      </c>
      <c r="L998" cm="1">
        <f t="array" aca="1" ref="L998" ca="1">_xlfn.IFS(EmployeeData[[#This Row],[Status]]="Exited",DATEDIF(EmployeeData[[#This Row],[Join Date]], EmployeeData[[#This Row],[Exit Date]], "Y"),EmployeeData[[#This Row],[Status]]="Active",DATEDIF(EmployeeData[[#This Row],[Join Date]], TODAY(), "Y"))</f>
        <v>4</v>
      </c>
      <c r="Q998" t="str" cm="1">
        <f t="array" aca="1" ref="Q9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27 days</v>
      </c>
    </row>
    <row r="999" spans="1:17" hidden="1" x14ac:dyDescent="0.3">
      <c r="A999">
        <v>1998</v>
      </c>
      <c r="B999" t="s">
        <v>432</v>
      </c>
      <c r="C999" t="s">
        <v>10</v>
      </c>
      <c r="D999" t="s">
        <v>11</v>
      </c>
      <c r="E999">
        <v>45</v>
      </c>
      <c r="F999" t="str" cm="1">
        <f t="array" ref="F999">_xlfn.IFS(EmployeeData[[#This Row],[Age]]&lt;30,"20s",EmployeeData[[#This Row],[Age]]&lt;40,"30s",EmployeeData[[#This Row],[Age]]&lt;50,"40s",EmployeeData[[#This Row],[Age]]&lt;60,"50s",EmployeeData[[#This Row],[Age]]&gt;=60,"60s")</f>
        <v>40s</v>
      </c>
      <c r="G999" s="5">
        <v>43531</v>
      </c>
      <c r="I999" t="s">
        <v>17</v>
      </c>
      <c r="J999" t="s">
        <v>18</v>
      </c>
      <c r="K999" cm="1">
        <f t="array" aca="1" ref="K999" ca="1">_xlfn.IFS(EmployeeData[[#This Row],[Status]]="Active",_xlfn.DAYS(TODAY(),EmployeeData[[#This Row],[Join Date]]),EmployeeData[[#This Row],[Status]]="Exited",_xlfn.DAYS(EmployeeData[[#This Row],[Exit Date]],EmployeeData[[#This Row],[Join Date]]))</f>
        <v>2666</v>
      </c>
      <c r="L999" cm="1">
        <f t="array" aca="1" ref="L999" ca="1">_xlfn.IFS(EmployeeData[[#This Row],[Status]]="Exited",DATEDIF(EmployeeData[[#This Row],[Join Date]], EmployeeData[[#This Row],[Exit Date]], "Y"),EmployeeData[[#This Row],[Status]]="Active",DATEDIF(EmployeeData[[#This Row],[Join Date]], TODAY(), "Y"))</f>
        <v>7</v>
      </c>
      <c r="Q999" t="str" cm="1">
        <f t="array" aca="1" ref="Q9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17 days</v>
      </c>
    </row>
    <row r="1000" spans="1:17" hidden="1" x14ac:dyDescent="0.3">
      <c r="A1000">
        <v>1999</v>
      </c>
      <c r="B1000" t="s">
        <v>808</v>
      </c>
      <c r="C1000" t="s">
        <v>23</v>
      </c>
      <c r="D1000" t="s">
        <v>11</v>
      </c>
      <c r="E1000">
        <v>27</v>
      </c>
      <c r="F1000" t="str" cm="1">
        <f t="array" ref="F1000">_xlfn.IFS(EmployeeData[[#This Row],[Age]]&lt;30,"20s",EmployeeData[[#This Row],[Age]]&lt;40,"30s",EmployeeData[[#This Row],[Age]]&lt;50,"40s",EmployeeData[[#This Row],[Age]]&lt;60,"50s",EmployeeData[[#This Row],[Age]]&gt;=60,"60s")</f>
        <v>20s</v>
      </c>
      <c r="G1000" s="5">
        <v>45267</v>
      </c>
      <c r="H1000" s="5">
        <v>45942</v>
      </c>
      <c r="I1000" t="s">
        <v>52</v>
      </c>
      <c r="J1000" t="s">
        <v>13</v>
      </c>
      <c r="K1000" cm="1">
        <f t="array" aca="1" ref="K1000" ca="1">_xlfn.IFS(EmployeeData[[#This Row],[Status]]="Active",_xlfn.DAYS(TODAY(),EmployeeData[[#This Row],[Join Date]]),EmployeeData[[#This Row],[Status]]="Exited",_xlfn.DAYS(EmployeeData[[#This Row],[Exit Date]],EmployeeData[[#This Row],[Join Date]]))</f>
        <v>675</v>
      </c>
      <c r="L1000" cm="1">
        <f t="array" aca="1" ref="L1000" ca="1">_xlfn.IFS(EmployeeData[[#This Row],[Status]]="Exited",DATEDIF(EmployeeData[[#This Row],[Join Date]], EmployeeData[[#This Row],[Exit Date]], "Y"),EmployeeData[[#This Row],[Status]]="Active",DATEDIF(EmployeeData[[#This Row],[Join Date]], TODAY(), "Y"))</f>
        <v>1</v>
      </c>
      <c r="Q1000" t="str" cm="1">
        <f t="array" aca="1" ref="Q10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5 days</v>
      </c>
    </row>
    <row r="1001" spans="1:17" hidden="1" x14ac:dyDescent="0.3">
      <c r="A1001">
        <v>2000</v>
      </c>
      <c r="B1001" t="s">
        <v>822</v>
      </c>
      <c r="C1001" t="s">
        <v>33</v>
      </c>
      <c r="D1001" t="s">
        <v>16</v>
      </c>
      <c r="E1001">
        <v>45</v>
      </c>
      <c r="F1001" t="str" cm="1">
        <f t="array" ref="F1001">_xlfn.IFS(EmployeeData[[#This Row],[Age]]&lt;30,"20s",EmployeeData[[#This Row],[Age]]&lt;40,"30s",EmployeeData[[#This Row],[Age]]&lt;50,"40s",EmployeeData[[#This Row],[Age]]&lt;60,"50s",EmployeeData[[#This Row],[Age]]&gt;=60,"60s")</f>
        <v>40s</v>
      </c>
      <c r="G1001" s="5">
        <v>43841</v>
      </c>
      <c r="H1001" s="5">
        <v>45580</v>
      </c>
      <c r="I1001" t="s">
        <v>12</v>
      </c>
      <c r="J1001" t="s">
        <v>13</v>
      </c>
      <c r="K1001" cm="1">
        <f t="array" aca="1" ref="K1001" ca="1">_xlfn.IFS(EmployeeData[[#This Row],[Status]]="Active",_xlfn.DAYS(TODAY(),EmployeeData[[#This Row],[Join Date]]),EmployeeData[[#This Row],[Status]]="Exited",_xlfn.DAYS(EmployeeData[[#This Row],[Exit Date]],EmployeeData[[#This Row],[Join Date]]))</f>
        <v>1739</v>
      </c>
      <c r="L1001" cm="1">
        <f t="array" aca="1" ref="L1001" ca="1">_xlfn.IFS(EmployeeData[[#This Row],[Status]]="Exited",DATEDIF(EmployeeData[[#This Row],[Join Date]], EmployeeData[[#This Row],[Exit Date]], "Y"),EmployeeData[[#This Row],[Status]]="Active",DATEDIF(EmployeeData[[#This Row],[Join Date]], TODAY(), "Y"))</f>
        <v>4</v>
      </c>
      <c r="Q1001" t="str" cm="1">
        <f t="array" aca="1" ref="Q10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1002" spans="1:17" hidden="1" x14ac:dyDescent="0.3">
      <c r="A1002">
        <v>2001</v>
      </c>
      <c r="B1002" t="s">
        <v>466</v>
      </c>
      <c r="C1002" t="s">
        <v>20</v>
      </c>
      <c r="D1002" t="s">
        <v>16</v>
      </c>
      <c r="E1002">
        <v>57</v>
      </c>
      <c r="F1002" t="str" cm="1">
        <f t="array" ref="F1002">_xlfn.IFS(EmployeeData[[#This Row],[Age]]&lt;30,"20s",EmployeeData[[#This Row],[Age]]&lt;40,"30s",EmployeeData[[#This Row],[Age]]&lt;50,"40s",EmployeeData[[#This Row],[Age]]&lt;60,"50s",EmployeeData[[#This Row],[Age]]&gt;=60,"60s")</f>
        <v>50s</v>
      </c>
      <c r="G1002" s="5">
        <v>44196</v>
      </c>
      <c r="H1002" s="5">
        <v>45771</v>
      </c>
      <c r="I1002" t="s">
        <v>28</v>
      </c>
      <c r="J1002" t="s">
        <v>13</v>
      </c>
      <c r="K1002" cm="1">
        <f t="array" aca="1" ref="K1002" ca="1">_xlfn.IFS(EmployeeData[[#This Row],[Status]]="Active",_xlfn.DAYS(TODAY(),EmployeeData[[#This Row],[Join Date]]),EmployeeData[[#This Row],[Status]]="Exited",_xlfn.DAYS(EmployeeData[[#This Row],[Exit Date]],EmployeeData[[#This Row],[Join Date]]))</f>
        <v>1575</v>
      </c>
      <c r="L1002" cm="1">
        <f t="array" aca="1" ref="L1002" ca="1">_xlfn.IFS(EmployeeData[[#This Row],[Status]]="Exited",DATEDIF(EmployeeData[[#This Row],[Join Date]], EmployeeData[[#This Row],[Exit Date]], "Y"),EmployeeData[[#This Row],[Status]]="Active",DATEDIF(EmployeeData[[#This Row],[Join Date]], TODAY(), "Y"))</f>
        <v>4</v>
      </c>
      <c r="Q1002" t="str" cm="1">
        <f t="array" aca="1" ref="Q10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24 days</v>
      </c>
    </row>
    <row r="1003" spans="1:17" hidden="1" x14ac:dyDescent="0.3">
      <c r="A1003">
        <v>2002</v>
      </c>
      <c r="B1003" t="s">
        <v>1035</v>
      </c>
      <c r="C1003" t="s">
        <v>20</v>
      </c>
      <c r="D1003" t="s">
        <v>24</v>
      </c>
      <c r="E1003">
        <v>50</v>
      </c>
      <c r="F1003" t="str" cm="1">
        <f t="array" ref="F1003">_xlfn.IFS(EmployeeData[[#This Row],[Age]]&lt;30,"20s",EmployeeData[[#This Row],[Age]]&lt;40,"30s",EmployeeData[[#This Row],[Age]]&lt;50,"40s",EmployeeData[[#This Row],[Age]]&lt;60,"50s",EmployeeData[[#This Row],[Age]]&gt;=60,"60s")</f>
        <v>50s</v>
      </c>
      <c r="G1003" s="5">
        <v>43850</v>
      </c>
      <c r="I1003" t="s">
        <v>17</v>
      </c>
      <c r="J1003" t="s">
        <v>18</v>
      </c>
      <c r="K1003" cm="1">
        <f t="array" aca="1" ref="K1003" ca="1">_xlfn.IFS(EmployeeData[[#This Row],[Status]]="Active",_xlfn.DAYS(TODAY(),EmployeeData[[#This Row],[Join Date]]),EmployeeData[[#This Row],[Status]]="Exited",_xlfn.DAYS(EmployeeData[[#This Row],[Exit Date]],EmployeeData[[#This Row],[Join Date]]))</f>
        <v>2347</v>
      </c>
      <c r="L1003" cm="1">
        <f t="array" aca="1" ref="L1003" ca="1">_xlfn.IFS(EmployeeData[[#This Row],[Status]]="Exited",DATEDIF(EmployeeData[[#This Row],[Join Date]], EmployeeData[[#This Row],[Exit Date]], "Y"),EmployeeData[[#This Row],[Status]]="Active",DATEDIF(EmployeeData[[#This Row],[Join Date]], TODAY(), "Y"))</f>
        <v>6</v>
      </c>
      <c r="Q1003" t="str" cm="1">
        <f t="array" aca="1" ref="Q10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4 days</v>
      </c>
    </row>
    <row r="1004" spans="1:17" hidden="1" x14ac:dyDescent="0.3">
      <c r="A1004">
        <v>2003</v>
      </c>
      <c r="B1004" t="s">
        <v>311</v>
      </c>
      <c r="C1004" t="s">
        <v>46</v>
      </c>
      <c r="D1004" t="s">
        <v>24</v>
      </c>
      <c r="E1004">
        <v>35</v>
      </c>
      <c r="F1004" t="str" cm="1">
        <f t="array" ref="F1004">_xlfn.IFS(EmployeeData[[#This Row],[Age]]&lt;30,"20s",EmployeeData[[#This Row],[Age]]&lt;40,"30s",EmployeeData[[#This Row],[Age]]&lt;50,"40s",EmployeeData[[#This Row],[Age]]&lt;60,"50s",EmployeeData[[#This Row],[Age]]&gt;=60,"60s")</f>
        <v>30s</v>
      </c>
      <c r="G1004" s="5">
        <v>44351</v>
      </c>
      <c r="I1004" t="s">
        <v>17</v>
      </c>
      <c r="J1004" t="s">
        <v>18</v>
      </c>
      <c r="K1004" cm="1">
        <f t="array" aca="1" ref="K1004" ca="1">_xlfn.IFS(EmployeeData[[#This Row],[Status]]="Active",_xlfn.DAYS(TODAY(),EmployeeData[[#This Row],[Join Date]]),EmployeeData[[#This Row],[Status]]="Exited",_xlfn.DAYS(EmployeeData[[#This Row],[Exit Date]],EmployeeData[[#This Row],[Join Date]]))</f>
        <v>1846</v>
      </c>
      <c r="L1004" cm="1">
        <f t="array" aca="1" ref="L1004" ca="1">_xlfn.IFS(EmployeeData[[#This Row],[Status]]="Exited",DATEDIF(EmployeeData[[#This Row],[Join Date]], EmployeeData[[#This Row],[Exit Date]], "Y"),EmployeeData[[#This Row],[Status]]="Active",DATEDIF(EmployeeData[[#This Row],[Join Date]], TODAY(), "Y"))</f>
        <v>5</v>
      </c>
      <c r="Q1004" t="str" cm="1">
        <f t="array" aca="1" ref="Q10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20 days</v>
      </c>
    </row>
    <row r="1005" spans="1:17" hidden="1" x14ac:dyDescent="0.3">
      <c r="A1005">
        <v>2004</v>
      </c>
      <c r="B1005" t="s">
        <v>66</v>
      </c>
      <c r="C1005" t="s">
        <v>33</v>
      </c>
      <c r="D1005" t="s">
        <v>24</v>
      </c>
      <c r="E1005">
        <v>25</v>
      </c>
      <c r="F1005" t="str" cm="1">
        <f t="array" ref="F1005">_xlfn.IFS(EmployeeData[[#This Row],[Age]]&lt;30,"20s",EmployeeData[[#This Row],[Age]]&lt;40,"30s",EmployeeData[[#This Row],[Age]]&lt;50,"40s",EmployeeData[[#This Row],[Age]]&lt;60,"50s",EmployeeData[[#This Row],[Age]]&gt;=60,"60s")</f>
        <v>20s</v>
      </c>
      <c r="G1005" s="5">
        <v>44084</v>
      </c>
      <c r="I1005" t="s">
        <v>17</v>
      </c>
      <c r="J1005" t="s">
        <v>18</v>
      </c>
      <c r="K1005" cm="1">
        <f t="array" aca="1" ref="K1005" ca="1">_xlfn.IFS(EmployeeData[[#This Row],[Status]]="Active",_xlfn.DAYS(TODAY(),EmployeeData[[#This Row],[Join Date]]),EmployeeData[[#This Row],[Status]]="Exited",_xlfn.DAYS(EmployeeData[[#This Row],[Exit Date]],EmployeeData[[#This Row],[Join Date]]))</f>
        <v>2113</v>
      </c>
      <c r="L1005" cm="1">
        <f t="array" aca="1" ref="L1005" ca="1">_xlfn.IFS(EmployeeData[[#This Row],[Status]]="Exited",DATEDIF(EmployeeData[[#This Row],[Join Date]], EmployeeData[[#This Row],[Exit Date]], "Y"),EmployeeData[[#This Row],[Status]]="Active",DATEDIF(EmployeeData[[#This Row],[Join Date]], TODAY(), "Y"))</f>
        <v>5</v>
      </c>
      <c r="Q1005" t="str" cm="1">
        <f t="array" aca="1" ref="Q10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14 days</v>
      </c>
    </row>
    <row r="1006" spans="1:17" hidden="1" x14ac:dyDescent="0.3">
      <c r="A1006">
        <v>2005</v>
      </c>
      <c r="B1006" t="s">
        <v>505</v>
      </c>
      <c r="C1006" t="s">
        <v>23</v>
      </c>
      <c r="D1006" t="s">
        <v>24</v>
      </c>
      <c r="E1006">
        <v>21</v>
      </c>
      <c r="F1006" t="str" cm="1">
        <f t="array" ref="F1006">_xlfn.IFS(EmployeeData[[#This Row],[Age]]&lt;30,"20s",EmployeeData[[#This Row],[Age]]&lt;40,"30s",EmployeeData[[#This Row],[Age]]&lt;50,"40s",EmployeeData[[#This Row],[Age]]&lt;60,"50s",EmployeeData[[#This Row],[Age]]&gt;=60,"60s")</f>
        <v>20s</v>
      </c>
      <c r="G1006" s="5">
        <v>44837</v>
      </c>
      <c r="I1006" t="s">
        <v>17</v>
      </c>
      <c r="J1006" t="s">
        <v>18</v>
      </c>
      <c r="K1006" cm="1">
        <f t="array" aca="1" ref="K1006" ca="1">_xlfn.IFS(EmployeeData[[#This Row],[Status]]="Active",_xlfn.DAYS(TODAY(),EmployeeData[[#This Row],[Join Date]]),EmployeeData[[#This Row],[Status]]="Exited",_xlfn.DAYS(EmployeeData[[#This Row],[Exit Date]],EmployeeData[[#This Row],[Join Date]]))</f>
        <v>1360</v>
      </c>
      <c r="L1006" cm="1">
        <f t="array" aca="1" ref="L1006" ca="1">_xlfn.IFS(EmployeeData[[#This Row],[Status]]="Exited",DATEDIF(EmployeeData[[#This Row],[Join Date]], EmployeeData[[#This Row],[Exit Date]], "Y"),EmployeeData[[#This Row],[Status]]="Active",DATEDIF(EmployeeData[[#This Row],[Join Date]], TODAY(), "Y"))</f>
        <v>3</v>
      </c>
      <c r="Q1006" t="str" cm="1">
        <f t="array" aca="1" ref="Q10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21 days</v>
      </c>
    </row>
    <row r="1007" spans="1:17" hidden="1" x14ac:dyDescent="0.3">
      <c r="A1007">
        <v>2006</v>
      </c>
      <c r="B1007" t="s">
        <v>968</v>
      </c>
      <c r="C1007" t="s">
        <v>10</v>
      </c>
      <c r="D1007" t="s">
        <v>24</v>
      </c>
      <c r="E1007">
        <v>21</v>
      </c>
      <c r="F1007" t="str" cm="1">
        <f t="array" ref="F1007">_xlfn.IFS(EmployeeData[[#This Row],[Age]]&lt;30,"20s",EmployeeData[[#This Row],[Age]]&lt;40,"30s",EmployeeData[[#This Row],[Age]]&lt;50,"40s",EmployeeData[[#This Row],[Age]]&lt;60,"50s",EmployeeData[[#This Row],[Age]]&gt;=60,"60s")</f>
        <v>20s</v>
      </c>
      <c r="G1007" s="5">
        <v>44841</v>
      </c>
      <c r="I1007" t="s">
        <v>17</v>
      </c>
      <c r="J1007" t="s">
        <v>18</v>
      </c>
      <c r="K1007" cm="1">
        <f t="array" aca="1" ref="K1007" ca="1">_xlfn.IFS(EmployeeData[[#This Row],[Status]]="Active",_xlfn.DAYS(TODAY(),EmployeeData[[#This Row],[Join Date]]),EmployeeData[[#This Row],[Status]]="Exited",_xlfn.DAYS(EmployeeData[[#This Row],[Exit Date]],EmployeeData[[#This Row],[Join Date]]))</f>
        <v>1356</v>
      </c>
      <c r="L1007" cm="1">
        <f t="array" aca="1" ref="L1007" ca="1">_xlfn.IFS(EmployeeData[[#This Row],[Status]]="Exited",DATEDIF(EmployeeData[[#This Row],[Join Date]], EmployeeData[[#This Row],[Exit Date]], "Y"),EmployeeData[[#This Row],[Status]]="Active",DATEDIF(EmployeeData[[#This Row],[Join Date]], TODAY(), "Y"))</f>
        <v>3</v>
      </c>
      <c r="Q1007" t="str" cm="1">
        <f t="array" aca="1" ref="Q10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17 days</v>
      </c>
    </row>
    <row r="1008" spans="1:17" hidden="1" x14ac:dyDescent="0.3">
      <c r="A1008">
        <v>2007</v>
      </c>
      <c r="B1008" t="s">
        <v>904</v>
      </c>
      <c r="C1008" t="s">
        <v>20</v>
      </c>
      <c r="D1008" t="s">
        <v>11</v>
      </c>
      <c r="E1008">
        <v>54</v>
      </c>
      <c r="F1008" t="str" cm="1">
        <f t="array" ref="F1008">_xlfn.IFS(EmployeeData[[#This Row],[Age]]&lt;30,"20s",EmployeeData[[#This Row],[Age]]&lt;40,"30s",EmployeeData[[#This Row],[Age]]&lt;50,"40s",EmployeeData[[#This Row],[Age]]&lt;60,"50s",EmployeeData[[#This Row],[Age]]&gt;=60,"60s")</f>
        <v>50s</v>
      </c>
      <c r="G1008" s="5">
        <v>45902</v>
      </c>
      <c r="I1008" t="s">
        <v>17</v>
      </c>
      <c r="J1008" t="s">
        <v>18</v>
      </c>
      <c r="K1008" cm="1">
        <f t="array" aca="1" ref="K1008" ca="1">_xlfn.IFS(EmployeeData[[#This Row],[Status]]="Active",_xlfn.DAYS(TODAY(),EmployeeData[[#This Row],[Join Date]]),EmployeeData[[#This Row],[Status]]="Exited",_xlfn.DAYS(EmployeeData[[#This Row],[Exit Date]],EmployeeData[[#This Row],[Join Date]]))</f>
        <v>295</v>
      </c>
      <c r="L1008" cm="1">
        <f t="array" aca="1" ref="L1008" ca="1">_xlfn.IFS(EmployeeData[[#This Row],[Status]]="Exited",DATEDIF(EmployeeData[[#This Row],[Join Date]], EmployeeData[[#This Row],[Exit Date]], "Y"),EmployeeData[[#This Row],[Status]]="Active",DATEDIF(EmployeeData[[#This Row],[Join Date]], TODAY(), "Y"))</f>
        <v>0</v>
      </c>
      <c r="Q1008" t="str" cm="1">
        <f t="array" aca="1" ref="Q10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22 days</v>
      </c>
    </row>
    <row r="1009" spans="1:17" hidden="1" x14ac:dyDescent="0.3">
      <c r="A1009">
        <v>2008</v>
      </c>
      <c r="B1009" t="s">
        <v>271</v>
      </c>
      <c r="C1009" t="s">
        <v>20</v>
      </c>
      <c r="D1009" t="s">
        <v>11</v>
      </c>
      <c r="E1009">
        <v>54</v>
      </c>
      <c r="F1009" t="str" cm="1">
        <f t="array" ref="F1009">_xlfn.IFS(EmployeeData[[#This Row],[Age]]&lt;30,"20s",EmployeeData[[#This Row],[Age]]&lt;40,"30s",EmployeeData[[#This Row],[Age]]&lt;50,"40s",EmployeeData[[#This Row],[Age]]&lt;60,"50s",EmployeeData[[#This Row],[Age]]&gt;=60,"60s")</f>
        <v>50s</v>
      </c>
      <c r="G1009" s="5">
        <v>44022</v>
      </c>
      <c r="H1009" s="5">
        <v>45615</v>
      </c>
      <c r="I1009" t="s">
        <v>52</v>
      </c>
      <c r="J1009" t="s">
        <v>13</v>
      </c>
      <c r="K1009" cm="1">
        <f t="array" aca="1" ref="K1009" ca="1">_xlfn.IFS(EmployeeData[[#This Row],[Status]]="Active",_xlfn.DAYS(TODAY(),EmployeeData[[#This Row],[Join Date]]),EmployeeData[[#This Row],[Status]]="Exited",_xlfn.DAYS(EmployeeData[[#This Row],[Exit Date]],EmployeeData[[#This Row],[Join Date]]))</f>
        <v>1593</v>
      </c>
      <c r="L1009" cm="1">
        <f t="array" aca="1" ref="L1009" ca="1">_xlfn.IFS(EmployeeData[[#This Row],[Status]]="Exited",DATEDIF(EmployeeData[[#This Row],[Join Date]], EmployeeData[[#This Row],[Exit Date]], "Y"),EmployeeData[[#This Row],[Status]]="Active",DATEDIF(EmployeeData[[#This Row],[Join Date]], TODAY(), "Y"))</f>
        <v>4</v>
      </c>
      <c r="Q1009" t="str" cm="1">
        <f t="array" aca="1" ref="Q10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010" spans="1:17" hidden="1" x14ac:dyDescent="0.3">
      <c r="A1010">
        <v>2009</v>
      </c>
      <c r="B1010" t="s">
        <v>166</v>
      </c>
      <c r="C1010" t="s">
        <v>10</v>
      </c>
      <c r="D1010" t="s">
        <v>24</v>
      </c>
      <c r="E1010">
        <v>44</v>
      </c>
      <c r="F1010" t="str" cm="1">
        <f t="array" ref="F1010">_xlfn.IFS(EmployeeData[[#This Row],[Age]]&lt;30,"20s",EmployeeData[[#This Row],[Age]]&lt;40,"30s",EmployeeData[[#This Row],[Age]]&lt;50,"40s",EmployeeData[[#This Row],[Age]]&lt;60,"50s",EmployeeData[[#This Row],[Age]]&gt;=60,"60s")</f>
        <v>40s</v>
      </c>
      <c r="G1010" s="5">
        <v>43564</v>
      </c>
      <c r="H1010" s="5">
        <v>44677</v>
      </c>
      <c r="I1010" t="s">
        <v>52</v>
      </c>
      <c r="J1010" t="s">
        <v>13</v>
      </c>
      <c r="K1010" cm="1">
        <f t="array" aca="1" ref="K1010" ca="1">_xlfn.IFS(EmployeeData[[#This Row],[Status]]="Active",_xlfn.DAYS(TODAY(),EmployeeData[[#This Row],[Join Date]]),EmployeeData[[#This Row],[Status]]="Exited",_xlfn.DAYS(EmployeeData[[#This Row],[Exit Date]],EmployeeData[[#This Row],[Join Date]]))</f>
        <v>1113</v>
      </c>
      <c r="L1010" cm="1">
        <f t="array" aca="1" ref="L1010" ca="1">_xlfn.IFS(EmployeeData[[#This Row],[Status]]="Exited",DATEDIF(EmployeeData[[#This Row],[Join Date]], EmployeeData[[#This Row],[Exit Date]], "Y"),EmployeeData[[#This Row],[Status]]="Active",DATEDIF(EmployeeData[[#This Row],[Join Date]], TODAY(), "Y"))</f>
        <v>3</v>
      </c>
      <c r="Q1010" t="str" cm="1">
        <f t="array" aca="1" ref="Q10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1011" spans="1:17" hidden="1" x14ac:dyDescent="0.3">
      <c r="A1011">
        <v>2010</v>
      </c>
      <c r="B1011" t="s">
        <v>529</v>
      </c>
      <c r="C1011" t="s">
        <v>10</v>
      </c>
      <c r="D1011" t="s">
        <v>16</v>
      </c>
      <c r="E1011">
        <v>57</v>
      </c>
      <c r="F1011" t="str" cm="1">
        <f t="array" ref="F1011">_xlfn.IFS(EmployeeData[[#This Row],[Age]]&lt;30,"20s",EmployeeData[[#This Row],[Age]]&lt;40,"30s",EmployeeData[[#This Row],[Age]]&lt;50,"40s",EmployeeData[[#This Row],[Age]]&lt;60,"50s",EmployeeData[[#This Row],[Age]]&gt;=60,"60s")</f>
        <v>50s</v>
      </c>
      <c r="G1011" s="5">
        <v>44713</v>
      </c>
      <c r="H1011" s="5">
        <v>45427</v>
      </c>
      <c r="I1011" t="s">
        <v>21</v>
      </c>
      <c r="J1011" t="s">
        <v>13</v>
      </c>
      <c r="K1011" cm="1">
        <f t="array" aca="1" ref="K1011" ca="1">_xlfn.IFS(EmployeeData[[#This Row],[Status]]="Active",_xlfn.DAYS(TODAY(),EmployeeData[[#This Row],[Join Date]]),EmployeeData[[#This Row],[Status]]="Exited",_xlfn.DAYS(EmployeeData[[#This Row],[Exit Date]],EmployeeData[[#This Row],[Join Date]]))</f>
        <v>714</v>
      </c>
      <c r="L1011" cm="1">
        <f t="array" aca="1" ref="L1011" ca="1">_xlfn.IFS(EmployeeData[[#This Row],[Status]]="Exited",DATEDIF(EmployeeData[[#This Row],[Join Date]], EmployeeData[[#This Row],[Exit Date]], "Y"),EmployeeData[[#This Row],[Status]]="Active",DATEDIF(EmployeeData[[#This Row],[Join Date]], TODAY(), "Y"))</f>
        <v>1</v>
      </c>
      <c r="Q1011" t="str" cm="1">
        <f t="array" aca="1" ref="Q10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1012" spans="1:17" hidden="1" x14ac:dyDescent="0.3">
      <c r="A1012">
        <v>2011</v>
      </c>
      <c r="B1012" t="s">
        <v>707</v>
      </c>
      <c r="C1012" t="s">
        <v>33</v>
      </c>
      <c r="D1012" t="s">
        <v>11</v>
      </c>
      <c r="E1012">
        <v>61</v>
      </c>
      <c r="F1012" t="str" cm="1">
        <f t="array" ref="F1012">_xlfn.IFS(EmployeeData[[#This Row],[Age]]&lt;30,"20s",EmployeeData[[#This Row],[Age]]&lt;40,"30s",EmployeeData[[#This Row],[Age]]&lt;50,"40s",EmployeeData[[#This Row],[Age]]&lt;60,"50s",EmployeeData[[#This Row],[Age]]&gt;=60,"60s")</f>
        <v>60s</v>
      </c>
      <c r="G1012" s="5">
        <v>44558</v>
      </c>
      <c r="H1012" s="5">
        <v>45590</v>
      </c>
      <c r="I1012" t="s">
        <v>26</v>
      </c>
      <c r="J1012" t="s">
        <v>13</v>
      </c>
      <c r="K1012" cm="1">
        <f t="array" aca="1" ref="K1012" ca="1">_xlfn.IFS(EmployeeData[[#This Row],[Status]]="Active",_xlfn.DAYS(TODAY(),EmployeeData[[#This Row],[Join Date]]),EmployeeData[[#This Row],[Status]]="Exited",_xlfn.DAYS(EmployeeData[[#This Row],[Exit Date]],EmployeeData[[#This Row],[Join Date]]))</f>
        <v>1032</v>
      </c>
      <c r="L1012" cm="1">
        <f t="array" aca="1" ref="L1012" ca="1">_xlfn.IFS(EmployeeData[[#This Row],[Status]]="Exited",DATEDIF(EmployeeData[[#This Row],[Join Date]], EmployeeData[[#This Row],[Exit Date]], "Y"),EmployeeData[[#This Row],[Status]]="Active",DATEDIF(EmployeeData[[#This Row],[Join Date]], TODAY(), "Y"))</f>
        <v>2</v>
      </c>
      <c r="Q1012" t="str" cm="1">
        <f t="array" aca="1" ref="Q10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1013" spans="1:17" hidden="1" x14ac:dyDescent="0.3">
      <c r="A1013">
        <v>2012</v>
      </c>
      <c r="B1013" t="s">
        <v>416</v>
      </c>
      <c r="C1013" t="s">
        <v>10</v>
      </c>
      <c r="D1013" t="s">
        <v>16</v>
      </c>
      <c r="E1013">
        <v>48</v>
      </c>
      <c r="F1013" t="str" cm="1">
        <f t="array" ref="F1013">_xlfn.IFS(EmployeeData[[#This Row],[Age]]&lt;30,"20s",EmployeeData[[#This Row],[Age]]&lt;40,"30s",EmployeeData[[#This Row],[Age]]&lt;50,"40s",EmployeeData[[#This Row],[Age]]&lt;60,"50s",EmployeeData[[#This Row],[Age]]&gt;=60,"60s")</f>
        <v>40s</v>
      </c>
      <c r="G1013" s="5">
        <v>45116</v>
      </c>
      <c r="H1013" s="5">
        <v>45747</v>
      </c>
      <c r="I1013" t="s">
        <v>65</v>
      </c>
      <c r="J1013" t="s">
        <v>13</v>
      </c>
      <c r="K1013" cm="1">
        <f t="array" aca="1" ref="K1013" ca="1">_xlfn.IFS(EmployeeData[[#This Row],[Status]]="Active",_xlfn.DAYS(TODAY(),EmployeeData[[#This Row],[Join Date]]),EmployeeData[[#This Row],[Status]]="Exited",_xlfn.DAYS(EmployeeData[[#This Row],[Exit Date]],EmployeeData[[#This Row],[Join Date]]))</f>
        <v>631</v>
      </c>
      <c r="L1013" cm="1">
        <f t="array" aca="1" ref="L1013" ca="1">_xlfn.IFS(EmployeeData[[#This Row],[Status]]="Exited",DATEDIF(EmployeeData[[#This Row],[Join Date]], EmployeeData[[#This Row],[Exit Date]], "Y"),EmployeeData[[#This Row],[Status]]="Active",DATEDIF(EmployeeData[[#This Row],[Join Date]], TODAY(), "Y"))</f>
        <v>1</v>
      </c>
      <c r="Q1013" t="str" cm="1">
        <f t="array" aca="1" ref="Q10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22 days</v>
      </c>
    </row>
    <row r="1014" spans="1:17" hidden="1" x14ac:dyDescent="0.3">
      <c r="A1014">
        <v>2013</v>
      </c>
      <c r="B1014" t="s">
        <v>341</v>
      </c>
      <c r="C1014" t="s">
        <v>15</v>
      </c>
      <c r="D1014" t="s">
        <v>11</v>
      </c>
      <c r="E1014">
        <v>37</v>
      </c>
      <c r="F1014" t="str" cm="1">
        <f t="array" ref="F1014">_xlfn.IFS(EmployeeData[[#This Row],[Age]]&lt;30,"20s",EmployeeData[[#This Row],[Age]]&lt;40,"30s",EmployeeData[[#This Row],[Age]]&lt;50,"40s",EmployeeData[[#This Row],[Age]]&lt;60,"50s",EmployeeData[[#This Row],[Age]]&gt;=60,"60s")</f>
        <v>30s</v>
      </c>
      <c r="G1014" s="5">
        <v>44027</v>
      </c>
      <c r="I1014" t="s">
        <v>17</v>
      </c>
      <c r="J1014" t="s">
        <v>18</v>
      </c>
      <c r="K1014" cm="1">
        <f t="array" aca="1" ref="K1014" ca="1">_xlfn.IFS(EmployeeData[[#This Row],[Status]]="Active",_xlfn.DAYS(TODAY(),EmployeeData[[#This Row],[Join Date]]),EmployeeData[[#This Row],[Status]]="Exited",_xlfn.DAYS(EmployeeData[[#This Row],[Exit Date]],EmployeeData[[#This Row],[Join Date]]))</f>
        <v>2170</v>
      </c>
      <c r="L1014" cm="1">
        <f t="array" aca="1" ref="L1014" ca="1">_xlfn.IFS(EmployeeData[[#This Row],[Status]]="Exited",DATEDIF(EmployeeData[[#This Row],[Join Date]], EmployeeData[[#This Row],[Exit Date]], "Y"),EmployeeData[[#This Row],[Status]]="Active",DATEDIF(EmployeeData[[#This Row],[Join Date]], TODAY(), "Y"))</f>
        <v>5</v>
      </c>
      <c r="Q1014" t="str" cm="1">
        <f t="array" aca="1" ref="Q10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9 days</v>
      </c>
    </row>
    <row r="1015" spans="1:17" hidden="1" x14ac:dyDescent="0.3">
      <c r="A1015">
        <v>2014</v>
      </c>
      <c r="B1015" t="s">
        <v>118</v>
      </c>
      <c r="C1015" t="s">
        <v>23</v>
      </c>
      <c r="D1015" t="s">
        <v>16</v>
      </c>
      <c r="E1015">
        <v>49</v>
      </c>
      <c r="F1015" t="str" cm="1">
        <f t="array" ref="F1015">_xlfn.IFS(EmployeeData[[#This Row],[Age]]&lt;30,"20s",EmployeeData[[#This Row],[Age]]&lt;40,"30s",EmployeeData[[#This Row],[Age]]&lt;50,"40s",EmployeeData[[#This Row],[Age]]&lt;60,"50s",EmployeeData[[#This Row],[Age]]&gt;=60,"60s")</f>
        <v>40s</v>
      </c>
      <c r="G1015" s="5">
        <v>45789</v>
      </c>
      <c r="I1015" t="s">
        <v>17</v>
      </c>
      <c r="J1015" t="s">
        <v>18</v>
      </c>
      <c r="K1015" cm="1">
        <f t="array" aca="1" ref="K1015" ca="1">_xlfn.IFS(EmployeeData[[#This Row],[Status]]="Active",_xlfn.DAYS(TODAY(),EmployeeData[[#This Row],[Join Date]]),EmployeeData[[#This Row],[Status]]="Exited",_xlfn.DAYS(EmployeeData[[#This Row],[Exit Date]],EmployeeData[[#This Row],[Join Date]]))</f>
        <v>408</v>
      </c>
      <c r="L1015" cm="1">
        <f t="array" aca="1" ref="L1015" ca="1">_xlfn.IFS(EmployeeData[[#This Row],[Status]]="Exited",DATEDIF(EmployeeData[[#This Row],[Join Date]], EmployeeData[[#This Row],[Exit Date]], "Y"),EmployeeData[[#This Row],[Status]]="Active",DATEDIF(EmployeeData[[#This Row],[Join Date]], TODAY(), "Y"))</f>
        <v>1</v>
      </c>
      <c r="Q1015" t="str" cm="1">
        <f t="array" aca="1" ref="Q10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12 days</v>
      </c>
    </row>
    <row r="1016" spans="1:17" hidden="1" x14ac:dyDescent="0.3">
      <c r="A1016">
        <v>2015</v>
      </c>
      <c r="B1016" t="s">
        <v>515</v>
      </c>
      <c r="C1016" t="s">
        <v>15</v>
      </c>
      <c r="D1016" t="s">
        <v>11</v>
      </c>
      <c r="E1016">
        <v>33</v>
      </c>
      <c r="F1016" t="str" cm="1">
        <f t="array" ref="F1016">_xlfn.IFS(EmployeeData[[#This Row],[Age]]&lt;30,"20s",EmployeeData[[#This Row],[Age]]&lt;40,"30s",EmployeeData[[#This Row],[Age]]&lt;50,"40s",EmployeeData[[#This Row],[Age]]&lt;60,"50s",EmployeeData[[#This Row],[Age]]&gt;=60,"60s")</f>
        <v>30s</v>
      </c>
      <c r="G1016" s="5">
        <v>43554</v>
      </c>
      <c r="H1016" s="5">
        <v>43808</v>
      </c>
      <c r="I1016" t="s">
        <v>31</v>
      </c>
      <c r="J1016" t="s">
        <v>13</v>
      </c>
      <c r="K1016" cm="1">
        <f t="array" aca="1" ref="K1016" ca="1">_xlfn.IFS(EmployeeData[[#This Row],[Status]]="Active",_xlfn.DAYS(TODAY(),EmployeeData[[#This Row],[Join Date]]),EmployeeData[[#This Row],[Status]]="Exited",_xlfn.DAYS(EmployeeData[[#This Row],[Exit Date]],EmployeeData[[#This Row],[Join Date]]))</f>
        <v>254</v>
      </c>
      <c r="L1016" cm="1">
        <f t="array" aca="1" ref="L1016" ca="1">_xlfn.IFS(EmployeeData[[#This Row],[Status]]="Exited",DATEDIF(EmployeeData[[#This Row],[Join Date]], EmployeeData[[#This Row],[Exit Date]], "Y"),EmployeeData[[#This Row],[Status]]="Active",DATEDIF(EmployeeData[[#This Row],[Join Date]], TODAY(), "Y"))</f>
        <v>0</v>
      </c>
      <c r="Q1016" t="str" cm="1">
        <f t="array" aca="1" ref="Q10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1017" spans="1:17" hidden="1" x14ac:dyDescent="0.3">
      <c r="A1017">
        <v>2016</v>
      </c>
      <c r="B1017" t="s">
        <v>90</v>
      </c>
      <c r="C1017" t="s">
        <v>15</v>
      </c>
      <c r="D1017" t="s">
        <v>16</v>
      </c>
      <c r="E1017">
        <v>51</v>
      </c>
      <c r="F1017" t="str" cm="1">
        <f t="array" ref="F1017">_xlfn.IFS(EmployeeData[[#This Row],[Age]]&lt;30,"20s",EmployeeData[[#This Row],[Age]]&lt;40,"30s",EmployeeData[[#This Row],[Age]]&lt;50,"40s",EmployeeData[[#This Row],[Age]]&lt;60,"50s",EmployeeData[[#This Row],[Age]]&gt;=60,"60s")</f>
        <v>50s</v>
      </c>
      <c r="G1017" s="5">
        <v>45825</v>
      </c>
      <c r="I1017" t="s">
        <v>17</v>
      </c>
      <c r="J1017" t="s">
        <v>18</v>
      </c>
      <c r="K1017" cm="1">
        <f t="array" aca="1" ref="K1017" ca="1">_xlfn.IFS(EmployeeData[[#This Row],[Status]]="Active",_xlfn.DAYS(TODAY(),EmployeeData[[#This Row],[Join Date]]),EmployeeData[[#This Row],[Status]]="Exited",_xlfn.DAYS(EmployeeData[[#This Row],[Exit Date]],EmployeeData[[#This Row],[Join Date]]))</f>
        <v>372</v>
      </c>
      <c r="L1017" cm="1">
        <f t="array" aca="1" ref="L1017" ca="1">_xlfn.IFS(EmployeeData[[#This Row],[Status]]="Exited",DATEDIF(EmployeeData[[#This Row],[Join Date]], EmployeeData[[#This Row],[Exit Date]], "Y"),EmployeeData[[#This Row],[Status]]="Active",DATEDIF(EmployeeData[[#This Row],[Join Date]], TODAY(), "Y"))</f>
        <v>1</v>
      </c>
      <c r="Q1017" t="str" cm="1">
        <f t="array" aca="1" ref="Q10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7 days</v>
      </c>
    </row>
    <row r="1018" spans="1:17" hidden="1" x14ac:dyDescent="0.3">
      <c r="A1018">
        <v>2017</v>
      </c>
      <c r="B1018" t="s">
        <v>477</v>
      </c>
      <c r="C1018" t="s">
        <v>33</v>
      </c>
      <c r="D1018" t="s">
        <v>11</v>
      </c>
      <c r="E1018">
        <v>41</v>
      </c>
      <c r="F1018" t="str" cm="1">
        <f t="array" ref="F1018">_xlfn.IFS(EmployeeData[[#This Row],[Age]]&lt;30,"20s",EmployeeData[[#This Row],[Age]]&lt;40,"30s",EmployeeData[[#This Row],[Age]]&lt;50,"40s",EmployeeData[[#This Row],[Age]]&lt;60,"50s",EmployeeData[[#This Row],[Age]]&gt;=60,"60s")</f>
        <v>40s</v>
      </c>
      <c r="G1018" s="5">
        <v>44738</v>
      </c>
      <c r="I1018" t="s">
        <v>17</v>
      </c>
      <c r="J1018" t="s">
        <v>18</v>
      </c>
      <c r="K1018" cm="1">
        <f t="array" aca="1" ref="K1018" ca="1">_xlfn.IFS(EmployeeData[[#This Row],[Status]]="Active",_xlfn.DAYS(TODAY(),EmployeeData[[#This Row],[Join Date]]),EmployeeData[[#This Row],[Status]]="Exited",_xlfn.DAYS(EmployeeData[[#This Row],[Exit Date]],EmployeeData[[#This Row],[Join Date]]))</f>
        <v>1459</v>
      </c>
      <c r="L1018" cm="1">
        <f t="array" aca="1" ref="L1018" ca="1">_xlfn.IFS(EmployeeData[[#This Row],[Status]]="Exited",DATEDIF(EmployeeData[[#This Row],[Join Date]], EmployeeData[[#This Row],[Exit Date]], "Y"),EmployeeData[[#This Row],[Status]]="Active",DATEDIF(EmployeeData[[#This Row],[Join Date]], TODAY(), "Y"))</f>
        <v>3</v>
      </c>
      <c r="Q1018" t="str" cm="1">
        <f t="array" aca="1" ref="Q10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29 days</v>
      </c>
    </row>
    <row r="1019" spans="1:17" hidden="1" x14ac:dyDescent="0.3">
      <c r="A1019">
        <v>2018</v>
      </c>
      <c r="B1019" t="s">
        <v>349</v>
      </c>
      <c r="C1019" t="s">
        <v>33</v>
      </c>
      <c r="D1019" t="s">
        <v>16</v>
      </c>
      <c r="E1019">
        <v>60</v>
      </c>
      <c r="F1019" t="str" cm="1">
        <f t="array" ref="F1019">_xlfn.IFS(EmployeeData[[#This Row],[Age]]&lt;30,"20s",EmployeeData[[#This Row],[Age]]&lt;40,"30s",EmployeeData[[#This Row],[Age]]&lt;50,"40s",EmployeeData[[#This Row],[Age]]&lt;60,"50s",EmployeeData[[#This Row],[Age]]&gt;=60,"60s")</f>
        <v>60s</v>
      </c>
      <c r="G1019" s="5">
        <v>45149</v>
      </c>
      <c r="H1019" s="5">
        <v>45939</v>
      </c>
      <c r="I1019" t="s">
        <v>26</v>
      </c>
      <c r="J1019" t="s">
        <v>13</v>
      </c>
      <c r="K1019" cm="1">
        <f t="array" aca="1" ref="K1019" ca="1">_xlfn.IFS(EmployeeData[[#This Row],[Status]]="Active",_xlfn.DAYS(TODAY(),EmployeeData[[#This Row],[Join Date]]),EmployeeData[[#This Row],[Status]]="Exited",_xlfn.DAYS(EmployeeData[[#This Row],[Exit Date]],EmployeeData[[#This Row],[Join Date]]))</f>
        <v>790</v>
      </c>
      <c r="L1019" cm="1">
        <f t="array" aca="1" ref="L1019" ca="1">_xlfn.IFS(EmployeeData[[#This Row],[Status]]="Exited",DATEDIF(EmployeeData[[#This Row],[Join Date]], EmployeeData[[#This Row],[Exit Date]], "Y"),EmployeeData[[#This Row],[Status]]="Active",DATEDIF(EmployeeData[[#This Row],[Join Date]], TODAY(), "Y"))</f>
        <v>2</v>
      </c>
      <c r="Q1019" t="str" cm="1">
        <f t="array" aca="1" ref="Q10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1020" spans="1:17" x14ac:dyDescent="0.3">
      <c r="A1020">
        <v>2019</v>
      </c>
      <c r="B1020" t="s">
        <v>516</v>
      </c>
      <c r="C1020" t="s">
        <v>10</v>
      </c>
      <c r="D1020" t="s">
        <v>16</v>
      </c>
      <c r="E1020">
        <v>52</v>
      </c>
      <c r="F1020" t="str" cm="1">
        <f t="array" ref="F1020">_xlfn.IFS(EmployeeData[[#This Row],[Age]]&lt;30,"20s",EmployeeData[[#This Row],[Age]]&lt;40,"30s",EmployeeData[[#This Row],[Age]]&lt;50,"40s",EmployeeData[[#This Row],[Age]]&lt;60,"50s",EmployeeData[[#This Row],[Age]]&gt;=60,"60s")</f>
        <v>50s</v>
      </c>
      <c r="G1020" s="5">
        <v>43439</v>
      </c>
      <c r="I1020" t="s">
        <v>17</v>
      </c>
      <c r="J1020" t="s">
        <v>18</v>
      </c>
      <c r="K1020" cm="1">
        <f t="array" aca="1" ref="K1020" ca="1">_xlfn.IFS(EmployeeData[[#This Row],[Status]]="Active",_xlfn.DAYS(TODAY(),EmployeeData[[#This Row],[Join Date]]),EmployeeData[[#This Row],[Status]]="Exited",_xlfn.DAYS(EmployeeData[[#This Row],[Exit Date]],EmployeeData[[#This Row],[Join Date]]))</f>
        <v>2758</v>
      </c>
      <c r="L1020" cm="1">
        <f t="array" aca="1" ref="L1020" ca="1">_xlfn.IFS(EmployeeData[[#This Row],[Status]]="Exited",DATEDIF(EmployeeData[[#This Row],[Join Date]], EmployeeData[[#This Row],[Exit Date]], "Y"),EmployeeData[[#This Row],[Status]]="Active",DATEDIF(EmployeeData[[#This Row],[Join Date]], TODAY(), "Y"))</f>
        <v>7</v>
      </c>
      <c r="Q1020" t="str" cm="1">
        <f t="array" aca="1" ref="Q10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19 days</v>
      </c>
    </row>
    <row r="1021" spans="1:17" hidden="1" x14ac:dyDescent="0.3">
      <c r="A1021">
        <v>2020</v>
      </c>
      <c r="B1021" t="s">
        <v>902</v>
      </c>
      <c r="C1021" t="s">
        <v>10</v>
      </c>
      <c r="D1021" t="s">
        <v>11</v>
      </c>
      <c r="E1021">
        <v>37</v>
      </c>
      <c r="F1021" t="str" cm="1">
        <f t="array" ref="F1021">_xlfn.IFS(EmployeeData[[#This Row],[Age]]&lt;30,"20s",EmployeeData[[#This Row],[Age]]&lt;40,"30s",EmployeeData[[#This Row],[Age]]&lt;50,"40s",EmployeeData[[#This Row],[Age]]&lt;60,"50s",EmployeeData[[#This Row],[Age]]&gt;=60,"60s")</f>
        <v>30s</v>
      </c>
      <c r="G1021" s="5">
        <v>45972</v>
      </c>
      <c r="H1021" s="5">
        <v>46167</v>
      </c>
      <c r="I1021" t="s">
        <v>12</v>
      </c>
      <c r="J1021" t="s">
        <v>13</v>
      </c>
      <c r="K1021" cm="1">
        <f t="array" aca="1" ref="K1021" ca="1">_xlfn.IFS(EmployeeData[[#This Row],[Status]]="Active",_xlfn.DAYS(TODAY(),EmployeeData[[#This Row],[Join Date]]),EmployeeData[[#This Row],[Status]]="Exited",_xlfn.DAYS(EmployeeData[[#This Row],[Exit Date]],EmployeeData[[#This Row],[Join Date]]))</f>
        <v>195</v>
      </c>
      <c r="L1021" cm="1">
        <f t="array" aca="1" ref="L1021" ca="1">_xlfn.IFS(EmployeeData[[#This Row],[Status]]="Exited",DATEDIF(EmployeeData[[#This Row],[Join Date]], EmployeeData[[#This Row],[Exit Date]], "Y"),EmployeeData[[#This Row],[Status]]="Active",DATEDIF(EmployeeData[[#This Row],[Join Date]], TODAY(), "Y"))</f>
        <v>0</v>
      </c>
      <c r="Q1021" t="str" cm="1">
        <f t="array" aca="1" ref="Q10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1022" spans="1:17" hidden="1" x14ac:dyDescent="0.3">
      <c r="A1022">
        <v>2021</v>
      </c>
      <c r="B1022" t="s">
        <v>290</v>
      </c>
      <c r="C1022" t="s">
        <v>15</v>
      </c>
      <c r="D1022" t="s">
        <v>11</v>
      </c>
      <c r="E1022">
        <v>32</v>
      </c>
      <c r="F1022" t="str" cm="1">
        <f t="array" ref="F1022">_xlfn.IFS(EmployeeData[[#This Row],[Age]]&lt;30,"20s",EmployeeData[[#This Row],[Age]]&lt;40,"30s",EmployeeData[[#This Row],[Age]]&lt;50,"40s",EmployeeData[[#This Row],[Age]]&lt;60,"50s",EmployeeData[[#This Row],[Age]]&gt;=60,"60s")</f>
        <v>30s</v>
      </c>
      <c r="G1022" s="5">
        <v>43873</v>
      </c>
      <c r="I1022" t="s">
        <v>17</v>
      </c>
      <c r="J1022" t="s">
        <v>18</v>
      </c>
      <c r="K1022" cm="1">
        <f t="array" aca="1" ref="K1022" ca="1">_xlfn.IFS(EmployeeData[[#This Row],[Status]]="Active",_xlfn.DAYS(TODAY(),EmployeeData[[#This Row],[Join Date]]),EmployeeData[[#This Row],[Status]]="Exited",_xlfn.DAYS(EmployeeData[[#This Row],[Exit Date]],EmployeeData[[#This Row],[Join Date]]))</f>
        <v>2324</v>
      </c>
      <c r="L1022" cm="1">
        <f t="array" aca="1" ref="L1022" ca="1">_xlfn.IFS(EmployeeData[[#This Row],[Status]]="Exited",DATEDIF(EmployeeData[[#This Row],[Join Date]], EmployeeData[[#This Row],[Exit Date]], "Y"),EmployeeData[[#This Row],[Status]]="Active",DATEDIF(EmployeeData[[#This Row],[Join Date]], TODAY(), "Y"))</f>
        <v>6</v>
      </c>
      <c r="Q1022" t="str" cm="1">
        <f t="array" aca="1" ref="Q10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12 days</v>
      </c>
    </row>
    <row r="1023" spans="1:17" hidden="1" x14ac:dyDescent="0.3">
      <c r="A1023">
        <v>2022</v>
      </c>
      <c r="B1023" t="s">
        <v>858</v>
      </c>
      <c r="C1023" t="s">
        <v>15</v>
      </c>
      <c r="D1023" t="s">
        <v>16</v>
      </c>
      <c r="E1023">
        <v>23</v>
      </c>
      <c r="F1023" t="str" cm="1">
        <f t="array" ref="F1023">_xlfn.IFS(EmployeeData[[#This Row],[Age]]&lt;30,"20s",EmployeeData[[#This Row],[Age]]&lt;40,"30s",EmployeeData[[#This Row],[Age]]&lt;50,"40s",EmployeeData[[#This Row],[Age]]&lt;60,"50s",EmployeeData[[#This Row],[Age]]&gt;=60,"60s")</f>
        <v>20s</v>
      </c>
      <c r="G1023" s="5">
        <v>44222</v>
      </c>
      <c r="I1023" t="s">
        <v>17</v>
      </c>
      <c r="J1023" t="s">
        <v>18</v>
      </c>
      <c r="K1023" cm="1">
        <f t="array" aca="1" ref="K1023" ca="1">_xlfn.IFS(EmployeeData[[#This Row],[Status]]="Active",_xlfn.DAYS(TODAY(),EmployeeData[[#This Row],[Join Date]]),EmployeeData[[#This Row],[Status]]="Exited",_xlfn.DAYS(EmployeeData[[#This Row],[Exit Date]],EmployeeData[[#This Row],[Join Date]]))</f>
        <v>1975</v>
      </c>
      <c r="L1023" cm="1">
        <f t="array" aca="1" ref="L1023" ca="1">_xlfn.IFS(EmployeeData[[#This Row],[Status]]="Exited",DATEDIF(EmployeeData[[#This Row],[Join Date]], EmployeeData[[#This Row],[Exit Date]], "Y"),EmployeeData[[#This Row],[Status]]="Active",DATEDIF(EmployeeData[[#This Row],[Join Date]], TODAY(), "Y"))</f>
        <v>5</v>
      </c>
      <c r="Q1023" t="str" cm="1">
        <f t="array" aca="1" ref="Q10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29 days</v>
      </c>
    </row>
    <row r="1024" spans="1:17" hidden="1" x14ac:dyDescent="0.3">
      <c r="A1024">
        <v>2023</v>
      </c>
      <c r="B1024" t="s">
        <v>907</v>
      </c>
      <c r="C1024" t="s">
        <v>15</v>
      </c>
      <c r="D1024" t="s">
        <v>16</v>
      </c>
      <c r="E1024">
        <v>47</v>
      </c>
      <c r="F1024" t="str" cm="1">
        <f t="array" ref="F1024">_xlfn.IFS(EmployeeData[[#This Row],[Age]]&lt;30,"20s",EmployeeData[[#This Row],[Age]]&lt;40,"30s",EmployeeData[[#This Row],[Age]]&lt;50,"40s",EmployeeData[[#This Row],[Age]]&lt;60,"50s",EmployeeData[[#This Row],[Age]]&gt;=60,"60s")</f>
        <v>40s</v>
      </c>
      <c r="G1024" s="5">
        <v>45251</v>
      </c>
      <c r="H1024" s="5">
        <v>45989</v>
      </c>
      <c r="I1024" t="s">
        <v>21</v>
      </c>
      <c r="J1024" t="s">
        <v>13</v>
      </c>
      <c r="K1024" cm="1">
        <f t="array" aca="1" ref="K1024" ca="1">_xlfn.IFS(EmployeeData[[#This Row],[Status]]="Active",_xlfn.DAYS(TODAY(),EmployeeData[[#This Row],[Join Date]]),EmployeeData[[#This Row],[Status]]="Exited",_xlfn.DAYS(EmployeeData[[#This Row],[Exit Date]],EmployeeData[[#This Row],[Join Date]]))</f>
        <v>738</v>
      </c>
      <c r="L1024" cm="1">
        <f t="array" aca="1" ref="L1024" ca="1">_xlfn.IFS(EmployeeData[[#This Row],[Status]]="Exited",DATEDIF(EmployeeData[[#This Row],[Join Date]], EmployeeData[[#This Row],[Exit Date]], "Y"),EmployeeData[[#This Row],[Status]]="Active",DATEDIF(EmployeeData[[#This Row],[Join Date]], TODAY(), "Y"))</f>
        <v>2</v>
      </c>
      <c r="Q1024" t="str" cm="1">
        <f t="array" aca="1" ref="Q10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1025" spans="1:17" hidden="1" x14ac:dyDescent="0.3">
      <c r="A1025">
        <v>2024</v>
      </c>
      <c r="B1025" t="s">
        <v>704</v>
      </c>
      <c r="C1025" t="s">
        <v>23</v>
      </c>
      <c r="D1025" t="s">
        <v>24</v>
      </c>
      <c r="E1025">
        <v>40</v>
      </c>
      <c r="F1025" t="str" cm="1">
        <f t="array" ref="F1025">_xlfn.IFS(EmployeeData[[#This Row],[Age]]&lt;30,"20s",EmployeeData[[#This Row],[Age]]&lt;40,"30s",EmployeeData[[#This Row],[Age]]&lt;50,"40s",EmployeeData[[#This Row],[Age]]&lt;60,"50s",EmployeeData[[#This Row],[Age]]&gt;=60,"60s")</f>
        <v>40s</v>
      </c>
      <c r="G1025" s="5">
        <v>43551</v>
      </c>
      <c r="H1025" s="5">
        <v>44790</v>
      </c>
      <c r="I1025" t="s">
        <v>21</v>
      </c>
      <c r="J1025" t="s">
        <v>13</v>
      </c>
      <c r="K1025" cm="1">
        <f t="array" aca="1" ref="K1025" ca="1">_xlfn.IFS(EmployeeData[[#This Row],[Status]]="Active",_xlfn.DAYS(TODAY(),EmployeeData[[#This Row],[Join Date]]),EmployeeData[[#This Row],[Status]]="Exited",_xlfn.DAYS(EmployeeData[[#This Row],[Exit Date]],EmployeeData[[#This Row],[Join Date]]))</f>
        <v>1239</v>
      </c>
      <c r="L1025" cm="1">
        <f t="array" aca="1" ref="L1025" ca="1">_xlfn.IFS(EmployeeData[[#This Row],[Status]]="Exited",DATEDIF(EmployeeData[[#This Row],[Join Date]], EmployeeData[[#This Row],[Exit Date]], "Y"),EmployeeData[[#This Row],[Status]]="Active",DATEDIF(EmployeeData[[#This Row],[Join Date]], TODAY(), "Y"))</f>
        <v>3</v>
      </c>
      <c r="Q1025" t="str" cm="1">
        <f t="array" aca="1" ref="Q10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1026" spans="1:17" hidden="1" x14ac:dyDescent="0.3">
      <c r="A1026">
        <v>2025</v>
      </c>
      <c r="B1026" t="s">
        <v>1063</v>
      </c>
      <c r="C1026" t="s">
        <v>15</v>
      </c>
      <c r="D1026" t="s">
        <v>16</v>
      </c>
      <c r="E1026">
        <v>41</v>
      </c>
      <c r="F1026" t="str" cm="1">
        <f t="array" ref="F1026">_xlfn.IFS(EmployeeData[[#This Row],[Age]]&lt;30,"20s",EmployeeData[[#This Row],[Age]]&lt;40,"30s",EmployeeData[[#This Row],[Age]]&lt;50,"40s",EmployeeData[[#This Row],[Age]]&lt;60,"50s",EmployeeData[[#This Row],[Age]]&gt;=60,"60s")</f>
        <v>40s</v>
      </c>
      <c r="G1026" s="5">
        <v>43969</v>
      </c>
      <c r="H1026" s="5">
        <v>45206</v>
      </c>
      <c r="I1026" t="s">
        <v>52</v>
      </c>
      <c r="J1026" t="s">
        <v>13</v>
      </c>
      <c r="K1026" cm="1">
        <f t="array" aca="1" ref="K1026" ca="1">_xlfn.IFS(EmployeeData[[#This Row],[Status]]="Active",_xlfn.DAYS(TODAY(),EmployeeData[[#This Row],[Join Date]]),EmployeeData[[#This Row],[Status]]="Exited",_xlfn.DAYS(EmployeeData[[#This Row],[Exit Date]],EmployeeData[[#This Row],[Join Date]]))</f>
        <v>1237</v>
      </c>
      <c r="L1026" cm="1">
        <f t="array" aca="1" ref="L1026" ca="1">_xlfn.IFS(EmployeeData[[#This Row],[Status]]="Exited",DATEDIF(EmployeeData[[#This Row],[Join Date]], EmployeeData[[#This Row],[Exit Date]], "Y"),EmployeeData[[#This Row],[Status]]="Active",DATEDIF(EmployeeData[[#This Row],[Join Date]], TODAY(), "Y"))</f>
        <v>3</v>
      </c>
      <c r="Q1026" t="str" cm="1">
        <f t="array" aca="1" ref="Q10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1027" spans="1:17" hidden="1" x14ac:dyDescent="0.3">
      <c r="A1027">
        <v>2026</v>
      </c>
      <c r="B1027" t="s">
        <v>41</v>
      </c>
      <c r="C1027" t="s">
        <v>10</v>
      </c>
      <c r="D1027" t="s">
        <v>16</v>
      </c>
      <c r="E1027">
        <v>27</v>
      </c>
      <c r="F1027" t="str" cm="1">
        <f t="array" ref="F1027">_xlfn.IFS(EmployeeData[[#This Row],[Age]]&lt;30,"20s",EmployeeData[[#This Row],[Age]]&lt;40,"30s",EmployeeData[[#This Row],[Age]]&lt;50,"40s",EmployeeData[[#This Row],[Age]]&lt;60,"50s",EmployeeData[[#This Row],[Age]]&gt;=60,"60s")</f>
        <v>20s</v>
      </c>
      <c r="G1027" s="5">
        <v>45841</v>
      </c>
      <c r="H1027" s="5">
        <v>46072</v>
      </c>
      <c r="I1027" t="s">
        <v>34</v>
      </c>
      <c r="J1027" t="s">
        <v>13</v>
      </c>
      <c r="K1027" cm="1">
        <f t="array" aca="1" ref="K1027" ca="1">_xlfn.IFS(EmployeeData[[#This Row],[Status]]="Active",_xlfn.DAYS(TODAY(),EmployeeData[[#This Row],[Join Date]]),EmployeeData[[#This Row],[Status]]="Exited",_xlfn.DAYS(EmployeeData[[#This Row],[Exit Date]],EmployeeData[[#This Row],[Join Date]]))</f>
        <v>231</v>
      </c>
      <c r="L1027" cm="1">
        <f t="array" aca="1" ref="L1027" ca="1">_xlfn.IFS(EmployeeData[[#This Row],[Status]]="Exited",DATEDIF(EmployeeData[[#This Row],[Join Date]], EmployeeData[[#This Row],[Exit Date]], "Y"),EmployeeData[[#This Row],[Status]]="Active",DATEDIF(EmployeeData[[#This Row],[Join Date]], TODAY(), "Y"))</f>
        <v>0</v>
      </c>
      <c r="Q1027" t="str" cm="1">
        <f t="array" aca="1" ref="Q10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028" spans="1:17" hidden="1" x14ac:dyDescent="0.3">
      <c r="A1028">
        <v>2027</v>
      </c>
      <c r="B1028" t="s">
        <v>494</v>
      </c>
      <c r="C1028" t="s">
        <v>20</v>
      </c>
      <c r="D1028" t="s">
        <v>24</v>
      </c>
      <c r="E1028">
        <v>44</v>
      </c>
      <c r="F1028" t="str" cm="1">
        <f t="array" ref="F1028">_xlfn.IFS(EmployeeData[[#This Row],[Age]]&lt;30,"20s",EmployeeData[[#This Row],[Age]]&lt;40,"30s",EmployeeData[[#This Row],[Age]]&lt;50,"40s",EmployeeData[[#This Row],[Age]]&lt;60,"50s",EmployeeData[[#This Row],[Age]]&gt;=60,"60s")</f>
        <v>40s</v>
      </c>
      <c r="G1028" s="5">
        <v>44076</v>
      </c>
      <c r="I1028" t="s">
        <v>17</v>
      </c>
      <c r="J1028" t="s">
        <v>18</v>
      </c>
      <c r="K1028" cm="1">
        <f t="array" aca="1" ref="K1028" ca="1">_xlfn.IFS(EmployeeData[[#This Row],[Status]]="Active",_xlfn.DAYS(TODAY(),EmployeeData[[#This Row],[Join Date]]),EmployeeData[[#This Row],[Status]]="Exited",_xlfn.DAYS(EmployeeData[[#This Row],[Exit Date]],EmployeeData[[#This Row],[Join Date]]))</f>
        <v>2121</v>
      </c>
      <c r="L1028" cm="1">
        <f t="array" aca="1" ref="L1028" ca="1">_xlfn.IFS(EmployeeData[[#This Row],[Status]]="Exited",DATEDIF(EmployeeData[[#This Row],[Join Date]], EmployeeData[[#This Row],[Exit Date]], "Y"),EmployeeData[[#This Row],[Status]]="Active",DATEDIF(EmployeeData[[#This Row],[Join Date]], TODAY(), "Y"))</f>
        <v>5</v>
      </c>
      <c r="Q1028" t="str" cm="1">
        <f t="array" aca="1" ref="Q10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22 days</v>
      </c>
    </row>
    <row r="1029" spans="1:17" x14ac:dyDescent="0.3">
      <c r="A1029">
        <v>2028</v>
      </c>
      <c r="B1029" t="s">
        <v>544</v>
      </c>
      <c r="C1029" t="s">
        <v>15</v>
      </c>
      <c r="D1029" t="s">
        <v>11</v>
      </c>
      <c r="E1029">
        <v>28</v>
      </c>
      <c r="F1029" t="str" cm="1">
        <f t="array" ref="F1029">_xlfn.IFS(EmployeeData[[#This Row],[Age]]&lt;30,"20s",EmployeeData[[#This Row],[Age]]&lt;40,"30s",EmployeeData[[#This Row],[Age]]&lt;50,"40s",EmployeeData[[#This Row],[Age]]&lt;60,"50s",EmployeeData[[#This Row],[Age]]&gt;=60,"60s")</f>
        <v>20s</v>
      </c>
      <c r="G1029" s="5">
        <v>43269</v>
      </c>
      <c r="I1029" t="s">
        <v>17</v>
      </c>
      <c r="J1029" t="s">
        <v>18</v>
      </c>
      <c r="K1029" cm="1">
        <f t="array" aca="1" ref="K1029" ca="1">_xlfn.IFS(EmployeeData[[#This Row],[Status]]="Active",_xlfn.DAYS(TODAY(),EmployeeData[[#This Row],[Join Date]]),EmployeeData[[#This Row],[Status]]="Exited",_xlfn.DAYS(EmployeeData[[#This Row],[Exit Date]],EmployeeData[[#This Row],[Join Date]]))</f>
        <v>2928</v>
      </c>
      <c r="L1029" cm="1">
        <f t="array" aca="1" ref="L1029" ca="1">_xlfn.IFS(EmployeeData[[#This Row],[Status]]="Exited",DATEDIF(EmployeeData[[#This Row],[Join Date]], EmployeeData[[#This Row],[Exit Date]], "Y"),EmployeeData[[#This Row],[Status]]="Active",DATEDIF(EmployeeData[[#This Row],[Join Date]], TODAY(), "Y"))</f>
        <v>8</v>
      </c>
      <c r="Q1029" t="str" cm="1">
        <f t="array" aca="1" ref="Q10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6 days</v>
      </c>
    </row>
    <row r="1030" spans="1:17" hidden="1" x14ac:dyDescent="0.3">
      <c r="A1030">
        <v>2029</v>
      </c>
      <c r="B1030" t="s">
        <v>540</v>
      </c>
      <c r="C1030" t="s">
        <v>46</v>
      </c>
      <c r="D1030" t="s">
        <v>16</v>
      </c>
      <c r="E1030">
        <v>55</v>
      </c>
      <c r="F1030" t="str" cm="1">
        <f t="array" ref="F1030">_xlfn.IFS(EmployeeData[[#This Row],[Age]]&lt;30,"20s",EmployeeData[[#This Row],[Age]]&lt;40,"30s",EmployeeData[[#This Row],[Age]]&lt;50,"40s",EmployeeData[[#This Row],[Age]]&lt;60,"50s",EmployeeData[[#This Row],[Age]]&gt;=60,"60s")</f>
        <v>50s</v>
      </c>
      <c r="G1030" s="5">
        <v>45636</v>
      </c>
      <c r="H1030" s="5">
        <v>46097</v>
      </c>
      <c r="I1030" t="s">
        <v>12</v>
      </c>
      <c r="J1030" t="s">
        <v>13</v>
      </c>
      <c r="K1030" cm="1">
        <f t="array" aca="1" ref="K1030" ca="1">_xlfn.IFS(EmployeeData[[#This Row],[Status]]="Active",_xlfn.DAYS(TODAY(),EmployeeData[[#This Row],[Join Date]]),EmployeeData[[#This Row],[Status]]="Exited",_xlfn.DAYS(EmployeeData[[#This Row],[Exit Date]],EmployeeData[[#This Row],[Join Date]]))</f>
        <v>461</v>
      </c>
      <c r="L1030" cm="1">
        <f t="array" aca="1" ref="L1030" ca="1">_xlfn.IFS(EmployeeData[[#This Row],[Status]]="Exited",DATEDIF(EmployeeData[[#This Row],[Join Date]], EmployeeData[[#This Row],[Exit Date]], "Y"),EmployeeData[[#This Row],[Status]]="Active",DATEDIF(EmployeeData[[#This Row],[Join Date]], TODAY(), "Y"))</f>
        <v>1</v>
      </c>
      <c r="Q1030" t="str" cm="1">
        <f t="array" aca="1" ref="Q10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031" spans="1:17" hidden="1" x14ac:dyDescent="0.3">
      <c r="A1031">
        <v>2030</v>
      </c>
      <c r="B1031" t="s">
        <v>645</v>
      </c>
      <c r="C1031" t="s">
        <v>15</v>
      </c>
      <c r="D1031" t="s">
        <v>16</v>
      </c>
      <c r="E1031">
        <v>56</v>
      </c>
      <c r="F1031" t="str" cm="1">
        <f t="array" ref="F1031">_xlfn.IFS(EmployeeData[[#This Row],[Age]]&lt;30,"20s",EmployeeData[[#This Row],[Age]]&lt;40,"30s",EmployeeData[[#This Row],[Age]]&lt;50,"40s",EmployeeData[[#This Row],[Age]]&lt;60,"50s",EmployeeData[[#This Row],[Age]]&gt;=60,"60s")</f>
        <v>50s</v>
      </c>
      <c r="G1031" s="5">
        <v>44135</v>
      </c>
      <c r="I1031" t="s">
        <v>17</v>
      </c>
      <c r="J1031" t="s">
        <v>18</v>
      </c>
      <c r="K1031" cm="1">
        <f t="array" aca="1" ref="K1031" ca="1">_xlfn.IFS(EmployeeData[[#This Row],[Status]]="Active",_xlfn.DAYS(TODAY(),EmployeeData[[#This Row],[Join Date]]),EmployeeData[[#This Row],[Status]]="Exited",_xlfn.DAYS(EmployeeData[[#This Row],[Exit Date]],EmployeeData[[#This Row],[Join Date]]))</f>
        <v>2062</v>
      </c>
      <c r="L1031" cm="1">
        <f t="array" aca="1" ref="L1031" ca="1">_xlfn.IFS(EmployeeData[[#This Row],[Status]]="Exited",DATEDIF(EmployeeData[[#This Row],[Join Date]], EmployeeData[[#This Row],[Exit Date]], "Y"),EmployeeData[[#This Row],[Status]]="Active",DATEDIF(EmployeeData[[#This Row],[Join Date]], TODAY(), "Y"))</f>
        <v>5</v>
      </c>
      <c r="Q1031" t="str" cm="1">
        <f t="array" aca="1" ref="Q10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24 days</v>
      </c>
    </row>
    <row r="1032" spans="1:17" x14ac:dyDescent="0.3">
      <c r="A1032">
        <v>2031</v>
      </c>
      <c r="B1032" t="s">
        <v>194</v>
      </c>
      <c r="C1032" t="s">
        <v>10</v>
      </c>
      <c r="D1032" t="s">
        <v>11</v>
      </c>
      <c r="E1032">
        <v>48</v>
      </c>
      <c r="F1032" t="str" cm="1">
        <f t="array" ref="F1032">_xlfn.IFS(EmployeeData[[#This Row],[Age]]&lt;30,"20s",EmployeeData[[#This Row],[Age]]&lt;40,"30s",EmployeeData[[#This Row],[Age]]&lt;50,"40s",EmployeeData[[#This Row],[Age]]&lt;60,"50s",EmployeeData[[#This Row],[Age]]&gt;=60,"60s")</f>
        <v>40s</v>
      </c>
      <c r="G1032" s="5">
        <v>43378</v>
      </c>
      <c r="I1032" t="s">
        <v>17</v>
      </c>
      <c r="J1032" t="s">
        <v>18</v>
      </c>
      <c r="K1032" cm="1">
        <f t="array" aca="1" ref="K1032" ca="1">_xlfn.IFS(EmployeeData[[#This Row],[Status]]="Active",_xlfn.DAYS(TODAY(),EmployeeData[[#This Row],[Join Date]]),EmployeeData[[#This Row],[Status]]="Exited",_xlfn.DAYS(EmployeeData[[#This Row],[Exit Date]],EmployeeData[[#This Row],[Join Date]]))</f>
        <v>2819</v>
      </c>
      <c r="L1032" cm="1">
        <f t="array" aca="1" ref="L1032" ca="1">_xlfn.IFS(EmployeeData[[#This Row],[Status]]="Exited",DATEDIF(EmployeeData[[#This Row],[Join Date]], EmployeeData[[#This Row],[Exit Date]], "Y"),EmployeeData[[#This Row],[Status]]="Active",DATEDIF(EmployeeData[[#This Row],[Join Date]], TODAY(), "Y"))</f>
        <v>7</v>
      </c>
      <c r="Q1032" t="str" cm="1">
        <f t="array" aca="1" ref="Q10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19 days</v>
      </c>
    </row>
    <row r="1033" spans="1:17" hidden="1" x14ac:dyDescent="0.3">
      <c r="A1033">
        <v>2032</v>
      </c>
      <c r="B1033" t="s">
        <v>68</v>
      </c>
      <c r="C1033" t="s">
        <v>15</v>
      </c>
      <c r="D1033" t="s">
        <v>16</v>
      </c>
      <c r="E1033">
        <v>29</v>
      </c>
      <c r="F1033" t="str" cm="1">
        <f t="array" ref="F1033">_xlfn.IFS(EmployeeData[[#This Row],[Age]]&lt;30,"20s",EmployeeData[[#This Row],[Age]]&lt;40,"30s",EmployeeData[[#This Row],[Age]]&lt;50,"40s",EmployeeData[[#This Row],[Age]]&lt;60,"50s",EmployeeData[[#This Row],[Age]]&gt;=60,"60s")</f>
        <v>20s</v>
      </c>
      <c r="G1033" s="5">
        <v>44287</v>
      </c>
      <c r="H1033" s="5">
        <v>45536</v>
      </c>
      <c r="I1033" t="s">
        <v>31</v>
      </c>
      <c r="J1033" t="s">
        <v>13</v>
      </c>
      <c r="K1033" cm="1">
        <f t="array" aca="1" ref="K1033" ca="1">_xlfn.IFS(EmployeeData[[#This Row],[Status]]="Active",_xlfn.DAYS(TODAY(),EmployeeData[[#This Row],[Join Date]]),EmployeeData[[#This Row],[Status]]="Exited",_xlfn.DAYS(EmployeeData[[#This Row],[Exit Date]],EmployeeData[[#This Row],[Join Date]]))</f>
        <v>1249</v>
      </c>
      <c r="L1033" cm="1">
        <f t="array" aca="1" ref="L1033" ca="1">_xlfn.IFS(EmployeeData[[#This Row],[Status]]="Exited",DATEDIF(EmployeeData[[#This Row],[Join Date]], EmployeeData[[#This Row],[Exit Date]], "Y"),EmployeeData[[#This Row],[Status]]="Active",DATEDIF(EmployeeData[[#This Row],[Join Date]], TODAY(), "Y"))</f>
        <v>3</v>
      </c>
      <c r="Q1033" t="str" cm="1">
        <f t="array" aca="1" ref="Q10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0 days</v>
      </c>
    </row>
    <row r="1034" spans="1:17" x14ac:dyDescent="0.3">
      <c r="A1034">
        <v>2033</v>
      </c>
      <c r="B1034" t="s">
        <v>201</v>
      </c>
      <c r="C1034" t="s">
        <v>23</v>
      </c>
      <c r="D1034" t="s">
        <v>24</v>
      </c>
      <c r="E1034">
        <v>53</v>
      </c>
      <c r="F1034" t="str" cm="1">
        <f t="array" ref="F1034">_xlfn.IFS(EmployeeData[[#This Row],[Age]]&lt;30,"20s",EmployeeData[[#This Row],[Age]]&lt;40,"30s",EmployeeData[[#This Row],[Age]]&lt;50,"40s",EmployeeData[[#This Row],[Age]]&lt;60,"50s",EmployeeData[[#This Row],[Age]]&gt;=60,"60s")</f>
        <v>50s</v>
      </c>
      <c r="G1034" s="5">
        <v>43408</v>
      </c>
      <c r="H1034" s="5">
        <v>45584</v>
      </c>
      <c r="I1034" t="s">
        <v>12</v>
      </c>
      <c r="J1034" t="s">
        <v>13</v>
      </c>
      <c r="K1034" cm="1">
        <f t="array" aca="1" ref="K1034" ca="1">_xlfn.IFS(EmployeeData[[#This Row],[Status]]="Active",_xlfn.DAYS(TODAY(),EmployeeData[[#This Row],[Join Date]]),EmployeeData[[#This Row],[Status]]="Exited",_xlfn.DAYS(EmployeeData[[#This Row],[Exit Date]],EmployeeData[[#This Row],[Join Date]]))</f>
        <v>2176</v>
      </c>
      <c r="L1034" cm="1">
        <f t="array" aca="1" ref="L1034" ca="1">_xlfn.IFS(EmployeeData[[#This Row],[Status]]="Exited",DATEDIF(EmployeeData[[#This Row],[Join Date]], EmployeeData[[#This Row],[Exit Date]], "Y"),EmployeeData[[#This Row],[Status]]="Active",DATEDIF(EmployeeData[[#This Row],[Join Date]], TODAY(), "Y"))</f>
        <v>5</v>
      </c>
      <c r="Q1034" t="str" cm="1">
        <f t="array" aca="1" ref="Q10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1035" spans="1:17" hidden="1" x14ac:dyDescent="0.3">
      <c r="A1035">
        <v>2034</v>
      </c>
      <c r="B1035" t="s">
        <v>310</v>
      </c>
      <c r="C1035" t="s">
        <v>15</v>
      </c>
      <c r="D1035" t="s">
        <v>16</v>
      </c>
      <c r="E1035">
        <v>57</v>
      </c>
      <c r="F1035" t="str" cm="1">
        <f t="array" ref="F1035">_xlfn.IFS(EmployeeData[[#This Row],[Age]]&lt;30,"20s",EmployeeData[[#This Row],[Age]]&lt;40,"30s",EmployeeData[[#This Row],[Age]]&lt;50,"40s",EmployeeData[[#This Row],[Age]]&lt;60,"50s",EmployeeData[[#This Row],[Age]]&gt;=60,"60s")</f>
        <v>50s</v>
      </c>
      <c r="G1035" s="5">
        <v>43993</v>
      </c>
      <c r="I1035" t="s">
        <v>17</v>
      </c>
      <c r="J1035" t="s">
        <v>18</v>
      </c>
      <c r="K1035" cm="1">
        <f t="array" aca="1" ref="K1035" ca="1">_xlfn.IFS(EmployeeData[[#This Row],[Status]]="Active",_xlfn.DAYS(TODAY(),EmployeeData[[#This Row],[Join Date]]),EmployeeData[[#This Row],[Status]]="Exited",_xlfn.DAYS(EmployeeData[[#This Row],[Exit Date]],EmployeeData[[#This Row],[Join Date]]))</f>
        <v>2204</v>
      </c>
      <c r="L1035" cm="1">
        <f t="array" aca="1" ref="L1035" ca="1">_xlfn.IFS(EmployeeData[[#This Row],[Status]]="Exited",DATEDIF(EmployeeData[[#This Row],[Join Date]], EmployeeData[[#This Row],[Exit Date]], "Y"),EmployeeData[[#This Row],[Status]]="Active",DATEDIF(EmployeeData[[#This Row],[Join Date]], TODAY(), "Y"))</f>
        <v>6</v>
      </c>
      <c r="Q1035" t="str" cm="1">
        <f t="array" aca="1" ref="Q10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13 days</v>
      </c>
    </row>
    <row r="1036" spans="1:17" hidden="1" x14ac:dyDescent="0.3">
      <c r="A1036">
        <v>2035</v>
      </c>
      <c r="B1036" t="s">
        <v>774</v>
      </c>
      <c r="C1036" t="s">
        <v>10</v>
      </c>
      <c r="D1036" t="s">
        <v>16</v>
      </c>
      <c r="E1036">
        <v>38</v>
      </c>
      <c r="F1036" t="str" cm="1">
        <f t="array" ref="F1036">_xlfn.IFS(EmployeeData[[#This Row],[Age]]&lt;30,"20s",EmployeeData[[#This Row],[Age]]&lt;40,"30s",EmployeeData[[#This Row],[Age]]&lt;50,"40s",EmployeeData[[#This Row],[Age]]&lt;60,"50s",EmployeeData[[#This Row],[Age]]&gt;=60,"60s")</f>
        <v>30s</v>
      </c>
      <c r="G1036" s="5">
        <v>45362</v>
      </c>
      <c r="H1036" s="5">
        <v>45681</v>
      </c>
      <c r="I1036" t="s">
        <v>31</v>
      </c>
      <c r="J1036" t="s">
        <v>13</v>
      </c>
      <c r="K1036" cm="1">
        <f t="array" aca="1" ref="K1036" ca="1">_xlfn.IFS(EmployeeData[[#This Row],[Status]]="Active",_xlfn.DAYS(TODAY(),EmployeeData[[#This Row],[Join Date]]),EmployeeData[[#This Row],[Status]]="Exited",_xlfn.DAYS(EmployeeData[[#This Row],[Exit Date]],EmployeeData[[#This Row],[Join Date]]))</f>
        <v>319</v>
      </c>
      <c r="L1036" cm="1">
        <f t="array" aca="1" ref="L1036" ca="1">_xlfn.IFS(EmployeeData[[#This Row],[Status]]="Exited",DATEDIF(EmployeeData[[#This Row],[Join Date]], EmployeeData[[#This Row],[Exit Date]], "Y"),EmployeeData[[#This Row],[Status]]="Active",DATEDIF(EmployeeData[[#This Row],[Join Date]], TODAY(), "Y"))</f>
        <v>0</v>
      </c>
      <c r="Q1036" t="str" cm="1">
        <f t="array" aca="1" ref="Q10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1037" spans="1:17" hidden="1" x14ac:dyDescent="0.3">
      <c r="A1037">
        <v>2036</v>
      </c>
      <c r="B1037" t="s">
        <v>297</v>
      </c>
      <c r="C1037" t="s">
        <v>46</v>
      </c>
      <c r="D1037" t="s">
        <v>16</v>
      </c>
      <c r="E1037">
        <v>29</v>
      </c>
      <c r="F1037" t="str" cm="1">
        <f t="array" ref="F1037">_xlfn.IFS(EmployeeData[[#This Row],[Age]]&lt;30,"20s",EmployeeData[[#This Row],[Age]]&lt;40,"30s",EmployeeData[[#This Row],[Age]]&lt;50,"40s",EmployeeData[[#This Row],[Age]]&lt;60,"50s",EmployeeData[[#This Row],[Age]]&gt;=60,"60s")</f>
        <v>20s</v>
      </c>
      <c r="G1037" s="5">
        <v>44208</v>
      </c>
      <c r="I1037" t="s">
        <v>17</v>
      </c>
      <c r="J1037" t="s">
        <v>18</v>
      </c>
      <c r="K1037" cm="1">
        <f t="array" aca="1" ref="K1037" ca="1">_xlfn.IFS(EmployeeData[[#This Row],[Status]]="Active",_xlfn.DAYS(TODAY(),EmployeeData[[#This Row],[Join Date]]),EmployeeData[[#This Row],[Status]]="Exited",_xlfn.DAYS(EmployeeData[[#This Row],[Exit Date]],EmployeeData[[#This Row],[Join Date]]))</f>
        <v>1989</v>
      </c>
      <c r="L1037" cm="1">
        <f t="array" aca="1" ref="L1037" ca="1">_xlfn.IFS(EmployeeData[[#This Row],[Status]]="Exited",DATEDIF(EmployeeData[[#This Row],[Join Date]], EmployeeData[[#This Row],[Exit Date]], "Y"),EmployeeData[[#This Row],[Status]]="Active",DATEDIF(EmployeeData[[#This Row],[Join Date]], TODAY(), "Y"))</f>
        <v>5</v>
      </c>
      <c r="Q1037" t="str" cm="1">
        <f t="array" aca="1" ref="Q10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12 days</v>
      </c>
    </row>
    <row r="1038" spans="1:17" x14ac:dyDescent="0.3">
      <c r="A1038">
        <v>2037</v>
      </c>
      <c r="B1038" t="s">
        <v>876</v>
      </c>
      <c r="C1038" t="s">
        <v>46</v>
      </c>
      <c r="D1038" t="s">
        <v>16</v>
      </c>
      <c r="E1038">
        <v>28</v>
      </c>
      <c r="F1038" t="str" cm="1">
        <f t="array" ref="F1038">_xlfn.IFS(EmployeeData[[#This Row],[Age]]&lt;30,"20s",EmployeeData[[#This Row],[Age]]&lt;40,"30s",EmployeeData[[#This Row],[Age]]&lt;50,"40s",EmployeeData[[#This Row],[Age]]&lt;60,"50s",EmployeeData[[#This Row],[Age]]&gt;=60,"60s")</f>
        <v>20s</v>
      </c>
      <c r="G1038" s="5">
        <v>43106</v>
      </c>
      <c r="I1038" t="s">
        <v>17</v>
      </c>
      <c r="J1038" t="s">
        <v>18</v>
      </c>
      <c r="K1038" cm="1">
        <f t="array" aca="1" ref="K1038" ca="1">_xlfn.IFS(EmployeeData[[#This Row],[Status]]="Active",_xlfn.DAYS(TODAY(),EmployeeData[[#This Row],[Join Date]]),EmployeeData[[#This Row],[Status]]="Exited",_xlfn.DAYS(EmployeeData[[#This Row],[Exit Date]],EmployeeData[[#This Row],[Join Date]]))</f>
        <v>3091</v>
      </c>
      <c r="L1038" cm="1">
        <f t="array" aca="1" ref="L1038" ca="1">_xlfn.IFS(EmployeeData[[#This Row],[Status]]="Exited",DATEDIF(EmployeeData[[#This Row],[Join Date]], EmployeeData[[#This Row],[Exit Date]], "Y"),EmployeeData[[#This Row],[Status]]="Active",DATEDIF(EmployeeData[[#This Row],[Join Date]], TODAY(), "Y"))</f>
        <v>8</v>
      </c>
      <c r="Q1038" t="str" cm="1">
        <f t="array" aca="1" ref="Q10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18 days</v>
      </c>
    </row>
    <row r="1039" spans="1:17" hidden="1" x14ac:dyDescent="0.3">
      <c r="A1039">
        <v>2038</v>
      </c>
      <c r="B1039" t="s">
        <v>92</v>
      </c>
      <c r="C1039" t="s">
        <v>20</v>
      </c>
      <c r="D1039" t="s">
        <v>24</v>
      </c>
      <c r="E1039">
        <v>39</v>
      </c>
      <c r="F1039" t="str" cm="1">
        <f t="array" ref="F1039">_xlfn.IFS(EmployeeData[[#This Row],[Age]]&lt;30,"20s",EmployeeData[[#This Row],[Age]]&lt;40,"30s",EmployeeData[[#This Row],[Age]]&lt;50,"40s",EmployeeData[[#This Row],[Age]]&lt;60,"50s",EmployeeData[[#This Row],[Age]]&gt;=60,"60s")</f>
        <v>30s</v>
      </c>
      <c r="G1039" s="5">
        <v>44430</v>
      </c>
      <c r="I1039" t="s">
        <v>17</v>
      </c>
      <c r="J1039" t="s">
        <v>18</v>
      </c>
      <c r="K1039" cm="1">
        <f t="array" aca="1" ref="K1039" ca="1">_xlfn.IFS(EmployeeData[[#This Row],[Status]]="Active",_xlfn.DAYS(TODAY(),EmployeeData[[#This Row],[Join Date]]),EmployeeData[[#This Row],[Status]]="Exited",_xlfn.DAYS(EmployeeData[[#This Row],[Exit Date]],EmployeeData[[#This Row],[Join Date]]))</f>
        <v>1767</v>
      </c>
      <c r="L1039" cm="1">
        <f t="array" aca="1" ref="L1039" ca="1">_xlfn.IFS(EmployeeData[[#This Row],[Status]]="Exited",DATEDIF(EmployeeData[[#This Row],[Join Date]], EmployeeData[[#This Row],[Exit Date]], "Y"),EmployeeData[[#This Row],[Status]]="Active",DATEDIF(EmployeeData[[#This Row],[Join Date]], TODAY(), "Y"))</f>
        <v>4</v>
      </c>
      <c r="Q1039" t="str" cm="1">
        <f t="array" aca="1" ref="Q10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 days</v>
      </c>
    </row>
    <row r="1040" spans="1:17" hidden="1" x14ac:dyDescent="0.3">
      <c r="A1040">
        <v>2039</v>
      </c>
      <c r="B1040" t="s">
        <v>29</v>
      </c>
      <c r="C1040" t="s">
        <v>15</v>
      </c>
      <c r="D1040" t="s">
        <v>11</v>
      </c>
      <c r="E1040">
        <v>55</v>
      </c>
      <c r="F1040" t="str" cm="1">
        <f t="array" ref="F1040">_xlfn.IFS(EmployeeData[[#This Row],[Age]]&lt;30,"20s",EmployeeData[[#This Row],[Age]]&lt;40,"30s",EmployeeData[[#This Row],[Age]]&lt;50,"40s",EmployeeData[[#This Row],[Age]]&lt;60,"50s",EmployeeData[[#This Row],[Age]]&gt;=60,"60s")</f>
        <v>50s</v>
      </c>
      <c r="G1040" s="5">
        <v>45793</v>
      </c>
      <c r="I1040" t="s">
        <v>17</v>
      </c>
      <c r="J1040" t="s">
        <v>18</v>
      </c>
      <c r="K1040" cm="1">
        <f t="array" aca="1" ref="K1040" ca="1">_xlfn.IFS(EmployeeData[[#This Row],[Status]]="Active",_xlfn.DAYS(TODAY(),EmployeeData[[#This Row],[Join Date]]),EmployeeData[[#This Row],[Status]]="Exited",_xlfn.DAYS(EmployeeData[[#This Row],[Exit Date]],EmployeeData[[#This Row],[Join Date]]))</f>
        <v>404</v>
      </c>
      <c r="L1040" cm="1">
        <f t="array" aca="1" ref="L1040" ca="1">_xlfn.IFS(EmployeeData[[#This Row],[Status]]="Exited",DATEDIF(EmployeeData[[#This Row],[Join Date]], EmployeeData[[#This Row],[Exit Date]], "Y"),EmployeeData[[#This Row],[Status]]="Active",DATEDIF(EmployeeData[[#This Row],[Join Date]], TODAY(), "Y"))</f>
        <v>1</v>
      </c>
      <c r="Q1040" t="str" cm="1">
        <f t="array" aca="1" ref="Q10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1041" spans="1:17" hidden="1" x14ac:dyDescent="0.3">
      <c r="A1041">
        <v>2040</v>
      </c>
      <c r="B1041" t="s">
        <v>686</v>
      </c>
      <c r="C1041" t="s">
        <v>20</v>
      </c>
      <c r="D1041" t="s">
        <v>11</v>
      </c>
      <c r="E1041">
        <v>37</v>
      </c>
      <c r="F1041" t="str" cm="1">
        <f t="array" ref="F1041">_xlfn.IFS(EmployeeData[[#This Row],[Age]]&lt;30,"20s",EmployeeData[[#This Row],[Age]]&lt;40,"30s",EmployeeData[[#This Row],[Age]]&lt;50,"40s",EmployeeData[[#This Row],[Age]]&lt;60,"50s",EmployeeData[[#This Row],[Age]]&gt;=60,"60s")</f>
        <v>30s</v>
      </c>
      <c r="G1041" s="5">
        <v>45666</v>
      </c>
      <c r="I1041" t="s">
        <v>17</v>
      </c>
      <c r="J1041" t="s">
        <v>18</v>
      </c>
      <c r="K1041" cm="1">
        <f t="array" aca="1" ref="K1041" ca="1">_xlfn.IFS(EmployeeData[[#This Row],[Status]]="Active",_xlfn.DAYS(TODAY(),EmployeeData[[#This Row],[Join Date]]),EmployeeData[[#This Row],[Status]]="Exited",_xlfn.DAYS(EmployeeData[[#This Row],[Exit Date]],EmployeeData[[#This Row],[Join Date]]))</f>
        <v>531</v>
      </c>
      <c r="L1041" cm="1">
        <f t="array" aca="1" ref="L1041" ca="1">_xlfn.IFS(EmployeeData[[#This Row],[Status]]="Exited",DATEDIF(EmployeeData[[#This Row],[Join Date]], EmployeeData[[#This Row],[Exit Date]], "Y"),EmployeeData[[#This Row],[Status]]="Active",DATEDIF(EmployeeData[[#This Row],[Join Date]], TODAY(), "Y"))</f>
        <v>1</v>
      </c>
      <c r="Q1041" t="str" cm="1">
        <f t="array" aca="1" ref="Q10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15 days</v>
      </c>
    </row>
    <row r="1042" spans="1:17" hidden="1" x14ac:dyDescent="0.3">
      <c r="A1042">
        <v>2041</v>
      </c>
      <c r="B1042" t="s">
        <v>708</v>
      </c>
      <c r="C1042" t="s">
        <v>15</v>
      </c>
      <c r="D1042" t="s">
        <v>16</v>
      </c>
      <c r="E1042">
        <v>58</v>
      </c>
      <c r="F1042" t="str" cm="1">
        <f t="array" ref="F1042">_xlfn.IFS(EmployeeData[[#This Row],[Age]]&lt;30,"20s",EmployeeData[[#This Row],[Age]]&lt;40,"30s",EmployeeData[[#This Row],[Age]]&lt;50,"40s",EmployeeData[[#This Row],[Age]]&lt;60,"50s",EmployeeData[[#This Row],[Age]]&gt;=60,"60s")</f>
        <v>50s</v>
      </c>
      <c r="G1042" s="5">
        <v>45680</v>
      </c>
      <c r="I1042" t="s">
        <v>17</v>
      </c>
      <c r="J1042" t="s">
        <v>18</v>
      </c>
      <c r="K1042" cm="1">
        <f t="array" aca="1" ref="K1042" ca="1">_xlfn.IFS(EmployeeData[[#This Row],[Status]]="Active",_xlfn.DAYS(TODAY(),EmployeeData[[#This Row],[Join Date]]),EmployeeData[[#This Row],[Status]]="Exited",_xlfn.DAYS(EmployeeData[[#This Row],[Exit Date]],EmployeeData[[#This Row],[Join Date]]))</f>
        <v>517</v>
      </c>
      <c r="L1042" cm="1">
        <f t="array" aca="1" ref="L1042" ca="1">_xlfn.IFS(EmployeeData[[#This Row],[Status]]="Exited",DATEDIF(EmployeeData[[#This Row],[Join Date]], EmployeeData[[#This Row],[Exit Date]], "Y"),EmployeeData[[#This Row],[Status]]="Active",DATEDIF(EmployeeData[[#This Row],[Join Date]], TODAY(), "Y"))</f>
        <v>1</v>
      </c>
      <c r="Q1042" t="str" cm="1">
        <f t="array" aca="1" ref="Q10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 days</v>
      </c>
    </row>
    <row r="1043" spans="1:17" hidden="1" x14ac:dyDescent="0.3">
      <c r="A1043">
        <v>2042</v>
      </c>
      <c r="B1043" t="s">
        <v>508</v>
      </c>
      <c r="C1043" t="s">
        <v>10</v>
      </c>
      <c r="D1043" t="s">
        <v>11</v>
      </c>
      <c r="E1043">
        <v>26</v>
      </c>
      <c r="F1043" t="str" cm="1">
        <f t="array" ref="F1043">_xlfn.IFS(EmployeeData[[#This Row],[Age]]&lt;30,"20s",EmployeeData[[#This Row],[Age]]&lt;40,"30s",EmployeeData[[#This Row],[Age]]&lt;50,"40s",EmployeeData[[#This Row],[Age]]&lt;60,"50s",EmployeeData[[#This Row],[Age]]&gt;=60,"60s")</f>
        <v>20s</v>
      </c>
      <c r="G1043" s="5">
        <v>45132</v>
      </c>
      <c r="H1043" s="5">
        <v>45411</v>
      </c>
      <c r="I1043" t="s">
        <v>52</v>
      </c>
      <c r="J1043" t="s">
        <v>13</v>
      </c>
      <c r="K1043" cm="1">
        <f t="array" aca="1" ref="K1043" ca="1">_xlfn.IFS(EmployeeData[[#This Row],[Status]]="Active",_xlfn.DAYS(TODAY(),EmployeeData[[#This Row],[Join Date]]),EmployeeData[[#This Row],[Status]]="Exited",_xlfn.DAYS(EmployeeData[[#This Row],[Exit Date]],EmployeeData[[#This Row],[Join Date]]))</f>
        <v>279</v>
      </c>
      <c r="L1043" cm="1">
        <f t="array" aca="1" ref="L1043" ca="1">_xlfn.IFS(EmployeeData[[#This Row],[Status]]="Exited",DATEDIF(EmployeeData[[#This Row],[Join Date]], EmployeeData[[#This Row],[Exit Date]], "Y"),EmployeeData[[#This Row],[Status]]="Active",DATEDIF(EmployeeData[[#This Row],[Join Date]], TODAY(), "Y"))</f>
        <v>0</v>
      </c>
      <c r="Q1043" t="str" cm="1">
        <f t="array" aca="1" ref="Q10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1044" spans="1:17" hidden="1" x14ac:dyDescent="0.3">
      <c r="A1044">
        <v>2043</v>
      </c>
      <c r="B1044" t="s">
        <v>284</v>
      </c>
      <c r="C1044" t="s">
        <v>20</v>
      </c>
      <c r="D1044" t="s">
        <v>16</v>
      </c>
      <c r="E1044">
        <v>31</v>
      </c>
      <c r="F1044" t="str" cm="1">
        <f t="array" ref="F1044">_xlfn.IFS(EmployeeData[[#This Row],[Age]]&lt;30,"20s",EmployeeData[[#This Row],[Age]]&lt;40,"30s",EmployeeData[[#This Row],[Age]]&lt;50,"40s",EmployeeData[[#This Row],[Age]]&lt;60,"50s",EmployeeData[[#This Row],[Age]]&gt;=60,"60s")</f>
        <v>30s</v>
      </c>
      <c r="G1044" s="5">
        <v>43828</v>
      </c>
      <c r="I1044" t="s">
        <v>17</v>
      </c>
      <c r="J1044" t="s">
        <v>18</v>
      </c>
      <c r="K1044" cm="1">
        <f t="array" aca="1" ref="K1044" ca="1">_xlfn.IFS(EmployeeData[[#This Row],[Status]]="Active",_xlfn.DAYS(TODAY(),EmployeeData[[#This Row],[Join Date]]),EmployeeData[[#This Row],[Status]]="Exited",_xlfn.DAYS(EmployeeData[[#This Row],[Exit Date]],EmployeeData[[#This Row],[Join Date]]))</f>
        <v>2369</v>
      </c>
      <c r="L1044" cm="1">
        <f t="array" aca="1" ref="L1044" ca="1">_xlfn.IFS(EmployeeData[[#This Row],[Status]]="Exited",DATEDIF(EmployeeData[[#This Row],[Join Date]], EmployeeData[[#This Row],[Exit Date]], "Y"),EmployeeData[[#This Row],[Status]]="Active",DATEDIF(EmployeeData[[#This Row],[Join Date]], TODAY(), "Y"))</f>
        <v>6</v>
      </c>
      <c r="Q1044" t="str" cm="1">
        <f t="array" aca="1" ref="Q10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26 days</v>
      </c>
    </row>
    <row r="1045" spans="1:17" hidden="1" x14ac:dyDescent="0.3">
      <c r="A1045">
        <v>2044</v>
      </c>
      <c r="B1045" t="s">
        <v>412</v>
      </c>
      <c r="C1045" t="s">
        <v>10</v>
      </c>
      <c r="D1045" t="s">
        <v>11</v>
      </c>
      <c r="E1045">
        <v>46</v>
      </c>
      <c r="F1045" t="str" cm="1">
        <f t="array" ref="F1045">_xlfn.IFS(EmployeeData[[#This Row],[Age]]&lt;30,"20s",EmployeeData[[#This Row],[Age]]&lt;40,"30s",EmployeeData[[#This Row],[Age]]&lt;50,"40s",EmployeeData[[#This Row],[Age]]&lt;60,"50s",EmployeeData[[#This Row],[Age]]&gt;=60,"60s")</f>
        <v>40s</v>
      </c>
      <c r="G1045" s="5">
        <v>43511</v>
      </c>
      <c r="I1045" t="s">
        <v>17</v>
      </c>
      <c r="J1045" t="s">
        <v>18</v>
      </c>
      <c r="K1045" cm="1">
        <f t="array" aca="1" ref="K1045" ca="1">_xlfn.IFS(EmployeeData[[#This Row],[Status]]="Active",_xlfn.DAYS(TODAY(),EmployeeData[[#This Row],[Join Date]]),EmployeeData[[#This Row],[Status]]="Exited",_xlfn.DAYS(EmployeeData[[#This Row],[Exit Date]],EmployeeData[[#This Row],[Join Date]]))</f>
        <v>2686</v>
      </c>
      <c r="L1045" cm="1">
        <f t="array" aca="1" ref="L1045" ca="1">_xlfn.IFS(EmployeeData[[#This Row],[Status]]="Exited",DATEDIF(EmployeeData[[#This Row],[Join Date]], EmployeeData[[#This Row],[Exit Date]], "Y"),EmployeeData[[#This Row],[Status]]="Active",DATEDIF(EmployeeData[[#This Row],[Join Date]], TODAY(), "Y"))</f>
        <v>7</v>
      </c>
      <c r="Q1045" t="str" cm="1">
        <f t="array" aca="1" ref="Q10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9 days</v>
      </c>
    </row>
    <row r="1046" spans="1:17" x14ac:dyDescent="0.3">
      <c r="A1046">
        <v>2045</v>
      </c>
      <c r="B1046" t="s">
        <v>1088</v>
      </c>
      <c r="C1046" t="s">
        <v>15</v>
      </c>
      <c r="D1046" t="s">
        <v>16</v>
      </c>
      <c r="E1046">
        <v>45</v>
      </c>
      <c r="F1046" t="str" cm="1">
        <f t="array" ref="F1046">_xlfn.IFS(EmployeeData[[#This Row],[Age]]&lt;30,"20s",EmployeeData[[#This Row],[Age]]&lt;40,"30s",EmployeeData[[#This Row],[Age]]&lt;50,"40s",EmployeeData[[#This Row],[Age]]&lt;60,"50s",EmployeeData[[#This Row],[Age]]&gt;=60,"60s")</f>
        <v>40s</v>
      </c>
      <c r="G1046" s="5">
        <v>43185</v>
      </c>
      <c r="H1046" s="5">
        <v>43330</v>
      </c>
      <c r="I1046" t="s">
        <v>34</v>
      </c>
      <c r="J1046" t="s">
        <v>13</v>
      </c>
      <c r="K1046" cm="1">
        <f t="array" aca="1" ref="K1046" ca="1">_xlfn.IFS(EmployeeData[[#This Row],[Status]]="Active",_xlfn.DAYS(TODAY(),EmployeeData[[#This Row],[Join Date]]),EmployeeData[[#This Row],[Status]]="Exited",_xlfn.DAYS(EmployeeData[[#This Row],[Exit Date]],EmployeeData[[#This Row],[Join Date]]))</f>
        <v>145</v>
      </c>
      <c r="L1046" cm="1">
        <f t="array" aca="1" ref="L1046" ca="1">_xlfn.IFS(EmployeeData[[#This Row],[Status]]="Exited",DATEDIF(EmployeeData[[#This Row],[Join Date]], EmployeeData[[#This Row],[Exit Date]], "Y"),EmployeeData[[#This Row],[Status]]="Active",DATEDIF(EmployeeData[[#This Row],[Join Date]], TODAY(), "Y"))</f>
        <v>0</v>
      </c>
      <c r="Q1046" t="str" cm="1">
        <f t="array" aca="1" ref="Q10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1047" spans="1:17" x14ac:dyDescent="0.3">
      <c r="A1047">
        <v>2046</v>
      </c>
      <c r="B1047" t="s">
        <v>179</v>
      </c>
      <c r="C1047" t="s">
        <v>10</v>
      </c>
      <c r="D1047" t="s">
        <v>11</v>
      </c>
      <c r="E1047">
        <v>21</v>
      </c>
      <c r="F1047" t="str" cm="1">
        <f t="array" ref="F1047">_xlfn.IFS(EmployeeData[[#This Row],[Age]]&lt;30,"20s",EmployeeData[[#This Row],[Age]]&lt;40,"30s",EmployeeData[[#This Row],[Age]]&lt;50,"40s",EmployeeData[[#This Row],[Age]]&lt;60,"50s",EmployeeData[[#This Row],[Age]]&gt;=60,"60s")</f>
        <v>20s</v>
      </c>
      <c r="G1047" s="5">
        <v>43139</v>
      </c>
      <c r="I1047" t="s">
        <v>17</v>
      </c>
      <c r="J1047" t="s">
        <v>18</v>
      </c>
      <c r="K1047" cm="1">
        <f t="array" aca="1" ref="K1047" ca="1">_xlfn.IFS(EmployeeData[[#This Row],[Status]]="Active",_xlfn.DAYS(TODAY(),EmployeeData[[#This Row],[Join Date]]),EmployeeData[[#This Row],[Status]]="Exited",_xlfn.DAYS(EmployeeData[[#This Row],[Exit Date]],EmployeeData[[#This Row],[Join Date]]))</f>
        <v>3058</v>
      </c>
      <c r="L1047" cm="1">
        <f t="array" aca="1" ref="L1047" ca="1">_xlfn.IFS(EmployeeData[[#This Row],[Status]]="Exited",DATEDIF(EmployeeData[[#This Row],[Join Date]], EmployeeData[[#This Row],[Exit Date]], "Y"),EmployeeData[[#This Row],[Status]]="Active",DATEDIF(EmployeeData[[#This Row],[Join Date]], TODAY(), "Y"))</f>
        <v>8</v>
      </c>
      <c r="Q1047" t="str" cm="1">
        <f t="array" aca="1" ref="Q10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16 days</v>
      </c>
    </row>
    <row r="1048" spans="1:17" hidden="1" x14ac:dyDescent="0.3">
      <c r="A1048">
        <v>2047</v>
      </c>
      <c r="B1048" t="s">
        <v>487</v>
      </c>
      <c r="C1048" t="s">
        <v>10</v>
      </c>
      <c r="D1048" t="s">
        <v>11</v>
      </c>
      <c r="E1048">
        <v>33</v>
      </c>
      <c r="F1048" t="str" cm="1">
        <f t="array" ref="F1048">_xlfn.IFS(EmployeeData[[#This Row],[Age]]&lt;30,"20s",EmployeeData[[#This Row],[Age]]&lt;40,"30s",EmployeeData[[#This Row],[Age]]&lt;50,"40s",EmployeeData[[#This Row],[Age]]&lt;60,"50s",EmployeeData[[#This Row],[Age]]&gt;=60,"60s")</f>
        <v>30s</v>
      </c>
      <c r="G1048" s="5">
        <v>43671</v>
      </c>
      <c r="I1048" t="s">
        <v>17</v>
      </c>
      <c r="J1048" t="s">
        <v>18</v>
      </c>
      <c r="K1048" cm="1">
        <f t="array" aca="1" ref="K1048" ca="1">_xlfn.IFS(EmployeeData[[#This Row],[Status]]="Active",_xlfn.DAYS(TODAY(),EmployeeData[[#This Row],[Join Date]]),EmployeeData[[#This Row],[Status]]="Exited",_xlfn.DAYS(EmployeeData[[#This Row],[Exit Date]],EmployeeData[[#This Row],[Join Date]]))</f>
        <v>2526</v>
      </c>
      <c r="L1048" cm="1">
        <f t="array" aca="1" ref="L1048" ca="1">_xlfn.IFS(EmployeeData[[#This Row],[Status]]="Exited",DATEDIF(EmployeeData[[#This Row],[Join Date]], EmployeeData[[#This Row],[Exit Date]], "Y"),EmployeeData[[#This Row],[Status]]="Active",DATEDIF(EmployeeData[[#This Row],[Join Date]], TODAY(), "Y"))</f>
        <v>6</v>
      </c>
      <c r="Q1048" t="str" cm="1">
        <f t="array" aca="1" ref="Q10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30 days</v>
      </c>
    </row>
    <row r="1049" spans="1:17" x14ac:dyDescent="0.3">
      <c r="A1049">
        <v>2048</v>
      </c>
      <c r="B1049" t="s">
        <v>1001</v>
      </c>
      <c r="C1049" t="s">
        <v>10</v>
      </c>
      <c r="D1049" t="s">
        <v>24</v>
      </c>
      <c r="E1049">
        <v>36</v>
      </c>
      <c r="F1049" t="str" cm="1">
        <f t="array" ref="F1049">_xlfn.IFS(EmployeeData[[#This Row],[Age]]&lt;30,"20s",EmployeeData[[#This Row],[Age]]&lt;40,"30s",EmployeeData[[#This Row],[Age]]&lt;50,"40s",EmployeeData[[#This Row],[Age]]&lt;60,"50s",EmployeeData[[#This Row],[Age]]&gt;=60,"60s")</f>
        <v>30s</v>
      </c>
      <c r="G1049" s="5">
        <v>43329</v>
      </c>
      <c r="I1049" t="s">
        <v>17</v>
      </c>
      <c r="J1049" t="s">
        <v>18</v>
      </c>
      <c r="K1049" cm="1">
        <f t="array" aca="1" ref="K1049" ca="1">_xlfn.IFS(EmployeeData[[#This Row],[Status]]="Active",_xlfn.DAYS(TODAY(),EmployeeData[[#This Row],[Join Date]]),EmployeeData[[#This Row],[Status]]="Exited",_xlfn.DAYS(EmployeeData[[#This Row],[Exit Date]],EmployeeData[[#This Row],[Join Date]]))</f>
        <v>2868</v>
      </c>
      <c r="L1049" cm="1">
        <f t="array" aca="1" ref="L1049" ca="1">_xlfn.IFS(EmployeeData[[#This Row],[Status]]="Exited",DATEDIF(EmployeeData[[#This Row],[Join Date]], EmployeeData[[#This Row],[Exit Date]], "Y"),EmployeeData[[#This Row],[Status]]="Active",DATEDIF(EmployeeData[[#This Row],[Join Date]], TODAY(), "Y"))</f>
        <v>7</v>
      </c>
      <c r="Q1049" t="str" cm="1">
        <f t="array" aca="1" ref="Q10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7 days</v>
      </c>
    </row>
    <row r="1050" spans="1:17" hidden="1" x14ac:dyDescent="0.3">
      <c r="A1050">
        <v>2049</v>
      </c>
      <c r="B1050" t="s">
        <v>478</v>
      </c>
      <c r="C1050" t="s">
        <v>33</v>
      </c>
      <c r="D1050" t="s">
        <v>16</v>
      </c>
      <c r="E1050">
        <v>39</v>
      </c>
      <c r="F1050" t="str" cm="1">
        <f t="array" ref="F1050">_xlfn.IFS(EmployeeData[[#This Row],[Age]]&lt;30,"20s",EmployeeData[[#This Row],[Age]]&lt;40,"30s",EmployeeData[[#This Row],[Age]]&lt;50,"40s",EmployeeData[[#This Row],[Age]]&lt;60,"50s",EmployeeData[[#This Row],[Age]]&gt;=60,"60s")</f>
        <v>30s</v>
      </c>
      <c r="G1050" s="5">
        <v>43521</v>
      </c>
      <c r="I1050" t="s">
        <v>17</v>
      </c>
      <c r="J1050" t="s">
        <v>18</v>
      </c>
      <c r="K1050" cm="1">
        <f t="array" aca="1" ref="K1050" ca="1">_xlfn.IFS(EmployeeData[[#This Row],[Status]]="Active",_xlfn.DAYS(TODAY(),EmployeeData[[#This Row],[Join Date]]),EmployeeData[[#This Row],[Status]]="Exited",_xlfn.DAYS(EmployeeData[[#This Row],[Exit Date]],EmployeeData[[#This Row],[Join Date]]))</f>
        <v>2676</v>
      </c>
      <c r="L1050" cm="1">
        <f t="array" aca="1" ref="L1050" ca="1">_xlfn.IFS(EmployeeData[[#This Row],[Status]]="Exited",DATEDIF(EmployeeData[[#This Row],[Join Date]], EmployeeData[[#This Row],[Exit Date]], "Y"),EmployeeData[[#This Row],[Status]]="Active",DATEDIF(EmployeeData[[#This Row],[Join Date]], TODAY(), "Y"))</f>
        <v>7</v>
      </c>
      <c r="Q1050" t="str" cm="1">
        <f t="array" aca="1" ref="Q10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30 days</v>
      </c>
    </row>
    <row r="1051" spans="1:17" hidden="1" x14ac:dyDescent="0.3">
      <c r="A1051">
        <v>2050</v>
      </c>
      <c r="B1051" t="s">
        <v>816</v>
      </c>
      <c r="C1051" t="s">
        <v>15</v>
      </c>
      <c r="D1051" t="s">
        <v>24</v>
      </c>
      <c r="E1051">
        <v>30</v>
      </c>
      <c r="F1051" t="str" cm="1">
        <f t="array" ref="F1051">_xlfn.IFS(EmployeeData[[#This Row],[Age]]&lt;30,"20s",EmployeeData[[#This Row],[Age]]&lt;40,"30s",EmployeeData[[#This Row],[Age]]&lt;50,"40s",EmployeeData[[#This Row],[Age]]&lt;60,"50s",EmployeeData[[#This Row],[Age]]&gt;=60,"60s")</f>
        <v>30s</v>
      </c>
      <c r="G1051" s="5">
        <v>44548</v>
      </c>
      <c r="I1051" t="s">
        <v>17</v>
      </c>
      <c r="J1051" t="s">
        <v>18</v>
      </c>
      <c r="K1051" cm="1">
        <f t="array" aca="1" ref="K1051" ca="1">_xlfn.IFS(EmployeeData[[#This Row],[Status]]="Active",_xlfn.DAYS(TODAY(),EmployeeData[[#This Row],[Join Date]]),EmployeeData[[#This Row],[Status]]="Exited",_xlfn.DAYS(EmployeeData[[#This Row],[Exit Date]],EmployeeData[[#This Row],[Join Date]]))</f>
        <v>1649</v>
      </c>
      <c r="L1051" cm="1">
        <f t="array" aca="1" ref="L1051" ca="1">_xlfn.IFS(EmployeeData[[#This Row],[Status]]="Exited",DATEDIF(EmployeeData[[#This Row],[Join Date]], EmployeeData[[#This Row],[Exit Date]], "Y"),EmployeeData[[#This Row],[Status]]="Active",DATEDIF(EmployeeData[[#This Row],[Join Date]], TODAY(), "Y"))</f>
        <v>4</v>
      </c>
      <c r="Q1051" t="str" cm="1">
        <f t="array" aca="1" ref="Q10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6 days</v>
      </c>
    </row>
    <row r="1052" spans="1:17" hidden="1" x14ac:dyDescent="0.3">
      <c r="A1052">
        <v>2051</v>
      </c>
      <c r="B1052" t="s">
        <v>402</v>
      </c>
      <c r="C1052" t="s">
        <v>23</v>
      </c>
      <c r="D1052" t="s">
        <v>11</v>
      </c>
      <c r="E1052">
        <v>35</v>
      </c>
      <c r="F1052" t="str" cm="1">
        <f t="array" ref="F1052">_xlfn.IFS(EmployeeData[[#This Row],[Age]]&lt;30,"20s",EmployeeData[[#This Row],[Age]]&lt;40,"30s",EmployeeData[[#This Row],[Age]]&lt;50,"40s",EmployeeData[[#This Row],[Age]]&lt;60,"50s",EmployeeData[[#This Row],[Age]]&gt;=60,"60s")</f>
        <v>30s</v>
      </c>
      <c r="G1052" s="5">
        <v>43517</v>
      </c>
      <c r="I1052" t="s">
        <v>17</v>
      </c>
      <c r="J1052" t="s">
        <v>18</v>
      </c>
      <c r="K1052" cm="1">
        <f t="array" aca="1" ref="K1052" ca="1">_xlfn.IFS(EmployeeData[[#This Row],[Status]]="Active",_xlfn.DAYS(TODAY(),EmployeeData[[#This Row],[Join Date]]),EmployeeData[[#This Row],[Status]]="Exited",_xlfn.DAYS(EmployeeData[[#This Row],[Exit Date]],EmployeeData[[#This Row],[Join Date]]))</f>
        <v>2680</v>
      </c>
      <c r="L1052" cm="1">
        <f t="array" aca="1" ref="L1052" ca="1">_xlfn.IFS(EmployeeData[[#This Row],[Status]]="Exited",DATEDIF(EmployeeData[[#This Row],[Join Date]], EmployeeData[[#This Row],[Exit Date]], "Y"),EmployeeData[[#This Row],[Status]]="Active",DATEDIF(EmployeeData[[#This Row],[Join Date]], TODAY(), "Y"))</f>
        <v>7</v>
      </c>
      <c r="Q1052" t="str" cm="1">
        <f t="array" aca="1" ref="Q10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3 days</v>
      </c>
    </row>
    <row r="1053" spans="1:17" x14ac:dyDescent="0.3">
      <c r="A1053">
        <v>2052</v>
      </c>
      <c r="B1053" t="s">
        <v>449</v>
      </c>
      <c r="C1053" t="s">
        <v>15</v>
      </c>
      <c r="D1053" t="s">
        <v>11</v>
      </c>
      <c r="E1053">
        <v>26</v>
      </c>
      <c r="F1053" t="str" cm="1">
        <f t="array" ref="F1053">_xlfn.IFS(EmployeeData[[#This Row],[Age]]&lt;30,"20s",EmployeeData[[#This Row],[Age]]&lt;40,"30s",EmployeeData[[#This Row],[Age]]&lt;50,"40s",EmployeeData[[#This Row],[Age]]&lt;60,"50s",EmployeeData[[#This Row],[Age]]&gt;=60,"60s")</f>
        <v>20s</v>
      </c>
      <c r="G1053" s="5">
        <v>43278</v>
      </c>
      <c r="I1053" t="s">
        <v>17</v>
      </c>
      <c r="J1053" t="s">
        <v>18</v>
      </c>
      <c r="K1053" cm="1">
        <f t="array" aca="1" ref="K1053" ca="1">_xlfn.IFS(EmployeeData[[#This Row],[Status]]="Active",_xlfn.DAYS(TODAY(),EmployeeData[[#This Row],[Join Date]]),EmployeeData[[#This Row],[Status]]="Exited",_xlfn.DAYS(EmployeeData[[#This Row],[Exit Date]],EmployeeData[[#This Row],[Join Date]]))</f>
        <v>2919</v>
      </c>
      <c r="L1053" cm="1">
        <f t="array" aca="1" ref="L1053" ca="1">_xlfn.IFS(EmployeeData[[#This Row],[Status]]="Exited",DATEDIF(EmployeeData[[#This Row],[Join Date]], EmployeeData[[#This Row],[Exit Date]], "Y"),EmployeeData[[#This Row],[Status]]="Active",DATEDIF(EmployeeData[[#This Row],[Join Date]], TODAY(), "Y"))</f>
        <v>7</v>
      </c>
      <c r="Q1053" t="str" cm="1">
        <f t="array" aca="1" ref="Q10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28 days</v>
      </c>
    </row>
    <row r="1054" spans="1:17" hidden="1" x14ac:dyDescent="0.3">
      <c r="A1054">
        <v>2053</v>
      </c>
      <c r="B1054" t="s">
        <v>874</v>
      </c>
      <c r="C1054" t="s">
        <v>20</v>
      </c>
      <c r="D1054" t="s">
        <v>16</v>
      </c>
      <c r="E1054">
        <v>40</v>
      </c>
      <c r="F1054" t="str" cm="1">
        <f t="array" ref="F1054">_xlfn.IFS(EmployeeData[[#This Row],[Age]]&lt;30,"20s",EmployeeData[[#This Row],[Age]]&lt;40,"30s",EmployeeData[[#This Row],[Age]]&lt;50,"40s",EmployeeData[[#This Row],[Age]]&lt;60,"50s",EmployeeData[[#This Row],[Age]]&gt;=60,"60s")</f>
        <v>40s</v>
      </c>
      <c r="G1054" s="5">
        <v>45660</v>
      </c>
      <c r="I1054" t="s">
        <v>17</v>
      </c>
      <c r="J1054" t="s">
        <v>18</v>
      </c>
      <c r="K1054" cm="1">
        <f t="array" aca="1" ref="K1054" ca="1">_xlfn.IFS(EmployeeData[[#This Row],[Status]]="Active",_xlfn.DAYS(TODAY(),EmployeeData[[#This Row],[Join Date]]),EmployeeData[[#This Row],[Status]]="Exited",_xlfn.DAYS(EmployeeData[[#This Row],[Exit Date]],EmployeeData[[#This Row],[Join Date]]))</f>
        <v>537</v>
      </c>
      <c r="L1054" cm="1">
        <f t="array" aca="1" ref="L1054" ca="1">_xlfn.IFS(EmployeeData[[#This Row],[Status]]="Exited",DATEDIF(EmployeeData[[#This Row],[Join Date]], EmployeeData[[#This Row],[Exit Date]], "Y"),EmployeeData[[#This Row],[Status]]="Active",DATEDIF(EmployeeData[[#This Row],[Join Date]], TODAY(), "Y"))</f>
        <v>1</v>
      </c>
      <c r="Q1054" t="str" cm="1">
        <f t="array" aca="1" ref="Q10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21 days</v>
      </c>
    </row>
    <row r="1055" spans="1:17" x14ac:dyDescent="0.3">
      <c r="A1055">
        <v>2054</v>
      </c>
      <c r="B1055" t="s">
        <v>408</v>
      </c>
      <c r="C1055" t="s">
        <v>20</v>
      </c>
      <c r="D1055" t="s">
        <v>11</v>
      </c>
      <c r="E1055">
        <v>25</v>
      </c>
      <c r="F1055" t="str" cm="1">
        <f t="array" ref="F1055">_xlfn.IFS(EmployeeData[[#This Row],[Age]]&lt;30,"20s",EmployeeData[[#This Row],[Age]]&lt;40,"30s",EmployeeData[[#This Row],[Age]]&lt;50,"40s",EmployeeData[[#This Row],[Age]]&lt;60,"50s",EmployeeData[[#This Row],[Age]]&gt;=60,"60s")</f>
        <v>20s</v>
      </c>
      <c r="G1055" s="5">
        <v>43109</v>
      </c>
      <c r="I1055" t="s">
        <v>17</v>
      </c>
      <c r="J1055" t="s">
        <v>18</v>
      </c>
      <c r="K1055" cm="1">
        <f t="array" aca="1" ref="K1055" ca="1">_xlfn.IFS(EmployeeData[[#This Row],[Status]]="Active",_xlfn.DAYS(TODAY(),EmployeeData[[#This Row],[Join Date]]),EmployeeData[[#This Row],[Status]]="Exited",_xlfn.DAYS(EmployeeData[[#This Row],[Exit Date]],EmployeeData[[#This Row],[Join Date]]))</f>
        <v>3088</v>
      </c>
      <c r="L1055" cm="1">
        <f t="array" aca="1" ref="L1055" ca="1">_xlfn.IFS(EmployeeData[[#This Row],[Status]]="Exited",DATEDIF(EmployeeData[[#This Row],[Join Date]], EmployeeData[[#This Row],[Exit Date]], "Y"),EmployeeData[[#This Row],[Status]]="Active",DATEDIF(EmployeeData[[#This Row],[Join Date]], TODAY(), "Y"))</f>
        <v>8</v>
      </c>
      <c r="Q1055" t="str" cm="1">
        <f t="array" aca="1" ref="Q10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15 days</v>
      </c>
    </row>
    <row r="1056" spans="1:17" x14ac:dyDescent="0.3">
      <c r="A1056">
        <v>2055</v>
      </c>
      <c r="B1056" t="s">
        <v>210</v>
      </c>
      <c r="C1056" t="s">
        <v>10</v>
      </c>
      <c r="D1056" t="s">
        <v>11</v>
      </c>
      <c r="E1056">
        <v>51</v>
      </c>
      <c r="F1056" t="str" cm="1">
        <f t="array" ref="F1056">_xlfn.IFS(EmployeeData[[#This Row],[Age]]&lt;30,"20s",EmployeeData[[#This Row],[Age]]&lt;40,"30s",EmployeeData[[#This Row],[Age]]&lt;50,"40s",EmployeeData[[#This Row],[Age]]&lt;60,"50s",EmployeeData[[#This Row],[Age]]&gt;=60,"60s")</f>
        <v>50s</v>
      </c>
      <c r="G1056" s="5">
        <v>43376</v>
      </c>
      <c r="H1056" s="5">
        <v>45216</v>
      </c>
      <c r="I1056" t="s">
        <v>21</v>
      </c>
      <c r="J1056" t="s">
        <v>13</v>
      </c>
      <c r="K1056" cm="1">
        <f t="array" aca="1" ref="K1056" ca="1">_xlfn.IFS(EmployeeData[[#This Row],[Status]]="Active",_xlfn.DAYS(TODAY(),EmployeeData[[#This Row],[Join Date]]),EmployeeData[[#This Row],[Status]]="Exited",_xlfn.DAYS(EmployeeData[[#This Row],[Exit Date]],EmployeeData[[#This Row],[Join Date]]))</f>
        <v>1840</v>
      </c>
      <c r="L1056" cm="1">
        <f t="array" aca="1" ref="L1056" ca="1">_xlfn.IFS(EmployeeData[[#This Row],[Status]]="Exited",DATEDIF(EmployeeData[[#This Row],[Join Date]], EmployeeData[[#This Row],[Exit Date]], "Y"),EmployeeData[[#This Row],[Status]]="Active",DATEDIF(EmployeeData[[#This Row],[Join Date]], TODAY(), "Y"))</f>
        <v>5</v>
      </c>
      <c r="Q1056" t="str" cm="1">
        <f t="array" aca="1" ref="Q10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14 days</v>
      </c>
    </row>
    <row r="1057" spans="1:17" hidden="1" x14ac:dyDescent="0.3">
      <c r="A1057">
        <v>2056</v>
      </c>
      <c r="B1057" t="s">
        <v>153</v>
      </c>
      <c r="C1057" t="s">
        <v>15</v>
      </c>
      <c r="D1057" t="s">
        <v>24</v>
      </c>
      <c r="E1057">
        <v>41</v>
      </c>
      <c r="F1057" t="str" cm="1">
        <f t="array" ref="F1057">_xlfn.IFS(EmployeeData[[#This Row],[Age]]&lt;30,"20s",EmployeeData[[#This Row],[Age]]&lt;40,"30s",EmployeeData[[#This Row],[Age]]&lt;50,"40s",EmployeeData[[#This Row],[Age]]&lt;60,"50s",EmployeeData[[#This Row],[Age]]&gt;=60,"60s")</f>
        <v>40s</v>
      </c>
      <c r="G1057" s="5">
        <v>45125</v>
      </c>
      <c r="I1057" t="s">
        <v>17</v>
      </c>
      <c r="J1057" t="s">
        <v>18</v>
      </c>
      <c r="K1057" cm="1">
        <f t="array" aca="1" ref="K1057" ca="1">_xlfn.IFS(EmployeeData[[#This Row],[Status]]="Active",_xlfn.DAYS(TODAY(),EmployeeData[[#This Row],[Join Date]]),EmployeeData[[#This Row],[Status]]="Exited",_xlfn.DAYS(EmployeeData[[#This Row],[Exit Date]],EmployeeData[[#This Row],[Join Date]]))</f>
        <v>1072</v>
      </c>
      <c r="L1057" cm="1">
        <f t="array" aca="1" ref="L1057" ca="1">_xlfn.IFS(EmployeeData[[#This Row],[Status]]="Exited",DATEDIF(EmployeeData[[#This Row],[Join Date]], EmployeeData[[#This Row],[Exit Date]], "Y"),EmployeeData[[#This Row],[Status]]="Active",DATEDIF(EmployeeData[[#This Row],[Join Date]], TODAY(), "Y"))</f>
        <v>2</v>
      </c>
      <c r="Q1057" t="str" cm="1">
        <f t="array" aca="1" ref="Q10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6 days</v>
      </c>
    </row>
    <row r="1058" spans="1:17" hidden="1" x14ac:dyDescent="0.3">
      <c r="A1058">
        <v>2057</v>
      </c>
      <c r="B1058" t="s">
        <v>804</v>
      </c>
      <c r="C1058" t="s">
        <v>10</v>
      </c>
      <c r="D1058" t="s">
        <v>11</v>
      </c>
      <c r="E1058">
        <v>36</v>
      </c>
      <c r="F1058" t="str" cm="1">
        <f t="array" ref="F1058">_xlfn.IFS(EmployeeData[[#This Row],[Age]]&lt;30,"20s",EmployeeData[[#This Row],[Age]]&lt;40,"30s",EmployeeData[[#This Row],[Age]]&lt;50,"40s",EmployeeData[[#This Row],[Age]]&lt;60,"50s",EmployeeData[[#This Row],[Age]]&gt;=60,"60s")</f>
        <v>30s</v>
      </c>
      <c r="G1058" s="5">
        <v>44670</v>
      </c>
      <c r="I1058" t="s">
        <v>17</v>
      </c>
      <c r="J1058" t="s">
        <v>18</v>
      </c>
      <c r="K1058" cm="1">
        <f t="array" aca="1" ref="K1058" ca="1">_xlfn.IFS(EmployeeData[[#This Row],[Status]]="Active",_xlfn.DAYS(TODAY(),EmployeeData[[#This Row],[Join Date]]),EmployeeData[[#This Row],[Status]]="Exited",_xlfn.DAYS(EmployeeData[[#This Row],[Exit Date]],EmployeeData[[#This Row],[Join Date]]))</f>
        <v>1527</v>
      </c>
      <c r="L1058" cm="1">
        <f t="array" aca="1" ref="L1058" ca="1">_xlfn.IFS(EmployeeData[[#This Row],[Status]]="Exited",DATEDIF(EmployeeData[[#This Row],[Join Date]], EmployeeData[[#This Row],[Exit Date]], "Y"),EmployeeData[[#This Row],[Status]]="Active",DATEDIF(EmployeeData[[#This Row],[Join Date]], TODAY(), "Y"))</f>
        <v>4</v>
      </c>
      <c r="Q1058" t="str" cm="1">
        <f t="array" aca="1" ref="Q10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5 days</v>
      </c>
    </row>
    <row r="1059" spans="1:17" hidden="1" x14ac:dyDescent="0.3">
      <c r="A1059">
        <v>2058</v>
      </c>
      <c r="B1059" t="s">
        <v>833</v>
      </c>
      <c r="C1059" t="s">
        <v>10</v>
      </c>
      <c r="D1059" t="s">
        <v>24</v>
      </c>
      <c r="E1059">
        <v>47</v>
      </c>
      <c r="F1059" t="str" cm="1">
        <f t="array" ref="F1059">_xlfn.IFS(EmployeeData[[#This Row],[Age]]&lt;30,"20s",EmployeeData[[#This Row],[Age]]&lt;40,"30s",EmployeeData[[#This Row],[Age]]&lt;50,"40s",EmployeeData[[#This Row],[Age]]&lt;60,"50s",EmployeeData[[#This Row],[Age]]&gt;=60,"60s")</f>
        <v>40s</v>
      </c>
      <c r="G1059" s="5">
        <v>45259</v>
      </c>
      <c r="I1059" t="s">
        <v>17</v>
      </c>
      <c r="J1059" t="s">
        <v>18</v>
      </c>
      <c r="K1059" cm="1">
        <f t="array" aca="1" ref="K1059" ca="1">_xlfn.IFS(EmployeeData[[#This Row],[Status]]="Active",_xlfn.DAYS(TODAY(),EmployeeData[[#This Row],[Join Date]]),EmployeeData[[#This Row],[Status]]="Exited",_xlfn.DAYS(EmployeeData[[#This Row],[Exit Date]],EmployeeData[[#This Row],[Join Date]]))</f>
        <v>938</v>
      </c>
      <c r="L1059" cm="1">
        <f t="array" aca="1" ref="L1059" ca="1">_xlfn.IFS(EmployeeData[[#This Row],[Status]]="Exited",DATEDIF(EmployeeData[[#This Row],[Join Date]], EmployeeData[[#This Row],[Exit Date]], "Y"),EmployeeData[[#This Row],[Status]]="Active",DATEDIF(EmployeeData[[#This Row],[Join Date]], TODAY(), "Y"))</f>
        <v>2</v>
      </c>
      <c r="Q1059" t="str" cm="1">
        <f t="array" aca="1" ref="Q10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26 days</v>
      </c>
    </row>
    <row r="1060" spans="1:17" hidden="1" x14ac:dyDescent="0.3">
      <c r="A1060">
        <v>2059</v>
      </c>
      <c r="B1060" t="s">
        <v>989</v>
      </c>
      <c r="C1060" t="s">
        <v>15</v>
      </c>
      <c r="D1060" t="s">
        <v>11</v>
      </c>
      <c r="E1060">
        <v>22</v>
      </c>
      <c r="F1060" t="str" cm="1">
        <f t="array" ref="F1060">_xlfn.IFS(EmployeeData[[#This Row],[Age]]&lt;30,"20s",EmployeeData[[#This Row],[Age]]&lt;40,"30s",EmployeeData[[#This Row],[Age]]&lt;50,"40s",EmployeeData[[#This Row],[Age]]&lt;60,"50s",EmployeeData[[#This Row],[Age]]&gt;=60,"60s")</f>
        <v>20s</v>
      </c>
      <c r="G1060" s="5">
        <v>44585</v>
      </c>
      <c r="I1060" t="s">
        <v>17</v>
      </c>
      <c r="J1060" t="s">
        <v>18</v>
      </c>
      <c r="K1060" cm="1">
        <f t="array" aca="1" ref="K1060" ca="1">_xlfn.IFS(EmployeeData[[#This Row],[Status]]="Active",_xlfn.DAYS(TODAY(),EmployeeData[[#This Row],[Join Date]]),EmployeeData[[#This Row],[Status]]="Exited",_xlfn.DAYS(EmployeeData[[#This Row],[Exit Date]],EmployeeData[[#This Row],[Join Date]]))</f>
        <v>1612</v>
      </c>
      <c r="L1060" cm="1">
        <f t="array" aca="1" ref="L1060" ca="1">_xlfn.IFS(EmployeeData[[#This Row],[Status]]="Exited",DATEDIF(EmployeeData[[#This Row],[Join Date]], EmployeeData[[#This Row],[Exit Date]], "Y"),EmployeeData[[#This Row],[Status]]="Active",DATEDIF(EmployeeData[[#This Row],[Join Date]], TODAY(), "Y"))</f>
        <v>4</v>
      </c>
      <c r="Q1060" t="str" cm="1">
        <f t="array" aca="1" ref="Q10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0 days</v>
      </c>
    </row>
    <row r="1061" spans="1:17" hidden="1" x14ac:dyDescent="0.3">
      <c r="A1061">
        <v>2060</v>
      </c>
      <c r="B1061" t="s">
        <v>1097</v>
      </c>
      <c r="C1061" t="s">
        <v>10</v>
      </c>
      <c r="D1061" t="s">
        <v>11</v>
      </c>
      <c r="E1061">
        <v>29</v>
      </c>
      <c r="F1061" t="str" cm="1">
        <f t="array" ref="F1061">_xlfn.IFS(EmployeeData[[#This Row],[Age]]&lt;30,"20s",EmployeeData[[#This Row],[Age]]&lt;40,"30s",EmployeeData[[#This Row],[Age]]&lt;50,"40s",EmployeeData[[#This Row],[Age]]&lt;60,"50s",EmployeeData[[#This Row],[Age]]&gt;=60,"60s")</f>
        <v>20s</v>
      </c>
      <c r="G1061" s="5">
        <v>44308</v>
      </c>
      <c r="I1061" t="s">
        <v>17</v>
      </c>
      <c r="J1061" t="s">
        <v>18</v>
      </c>
      <c r="K1061" cm="1">
        <f t="array" aca="1" ref="K1061" ca="1">_xlfn.IFS(EmployeeData[[#This Row],[Status]]="Active",_xlfn.DAYS(TODAY(),EmployeeData[[#This Row],[Join Date]]),EmployeeData[[#This Row],[Status]]="Exited",_xlfn.DAYS(EmployeeData[[#This Row],[Exit Date]],EmployeeData[[#This Row],[Join Date]]))</f>
        <v>1889</v>
      </c>
      <c r="L1061" cm="1">
        <f t="array" aca="1" ref="L1061" ca="1">_xlfn.IFS(EmployeeData[[#This Row],[Status]]="Exited",DATEDIF(EmployeeData[[#This Row],[Join Date]], EmployeeData[[#This Row],[Exit Date]], "Y"),EmployeeData[[#This Row],[Status]]="Active",DATEDIF(EmployeeData[[#This Row],[Join Date]], TODAY(), "Y"))</f>
        <v>5</v>
      </c>
      <c r="Q1061" t="str" cm="1">
        <f t="array" aca="1" ref="Q10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1062" spans="1:17" hidden="1" x14ac:dyDescent="0.3">
      <c r="A1062">
        <v>2061</v>
      </c>
      <c r="B1062" t="s">
        <v>843</v>
      </c>
      <c r="C1062" t="s">
        <v>15</v>
      </c>
      <c r="D1062" t="s">
        <v>16</v>
      </c>
      <c r="E1062">
        <v>30</v>
      </c>
      <c r="F1062" t="str" cm="1">
        <f t="array" ref="F1062">_xlfn.IFS(EmployeeData[[#This Row],[Age]]&lt;30,"20s",EmployeeData[[#This Row],[Age]]&lt;40,"30s",EmployeeData[[#This Row],[Age]]&lt;50,"40s",EmployeeData[[#This Row],[Age]]&lt;60,"50s",EmployeeData[[#This Row],[Age]]&gt;=60,"60s")</f>
        <v>30s</v>
      </c>
      <c r="G1062" s="5">
        <v>44647</v>
      </c>
      <c r="I1062" t="s">
        <v>17</v>
      </c>
      <c r="J1062" t="s">
        <v>18</v>
      </c>
      <c r="K1062" cm="1">
        <f t="array" aca="1" ref="K1062" ca="1">_xlfn.IFS(EmployeeData[[#This Row],[Status]]="Active",_xlfn.DAYS(TODAY(),EmployeeData[[#This Row],[Join Date]]),EmployeeData[[#This Row],[Status]]="Exited",_xlfn.DAYS(EmployeeData[[#This Row],[Exit Date]],EmployeeData[[#This Row],[Join Date]]))</f>
        <v>1550</v>
      </c>
      <c r="L1062" cm="1">
        <f t="array" aca="1" ref="L1062" ca="1">_xlfn.IFS(EmployeeData[[#This Row],[Status]]="Exited",DATEDIF(EmployeeData[[#This Row],[Join Date]], EmployeeData[[#This Row],[Exit Date]], "Y"),EmployeeData[[#This Row],[Status]]="Active",DATEDIF(EmployeeData[[#This Row],[Join Date]], TODAY(), "Y"))</f>
        <v>4</v>
      </c>
      <c r="Q1062" t="str" cm="1">
        <f t="array" aca="1" ref="Q10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28 days</v>
      </c>
    </row>
    <row r="1063" spans="1:17" x14ac:dyDescent="0.3">
      <c r="A1063">
        <v>2062</v>
      </c>
      <c r="B1063" t="s">
        <v>1034</v>
      </c>
      <c r="C1063" t="s">
        <v>20</v>
      </c>
      <c r="D1063" t="s">
        <v>16</v>
      </c>
      <c r="E1063">
        <v>31</v>
      </c>
      <c r="F1063" t="str" cm="1">
        <f t="array" ref="F1063">_xlfn.IFS(EmployeeData[[#This Row],[Age]]&lt;30,"20s",EmployeeData[[#This Row],[Age]]&lt;40,"30s",EmployeeData[[#This Row],[Age]]&lt;50,"40s",EmployeeData[[#This Row],[Age]]&lt;60,"50s",EmployeeData[[#This Row],[Age]]&gt;=60,"60s")</f>
        <v>30s</v>
      </c>
      <c r="G1063" s="5">
        <v>43224</v>
      </c>
      <c r="H1063" s="5">
        <v>43892</v>
      </c>
      <c r="I1063" t="s">
        <v>31</v>
      </c>
      <c r="J1063" t="s">
        <v>13</v>
      </c>
      <c r="K1063" cm="1">
        <f t="array" aca="1" ref="K1063" ca="1">_xlfn.IFS(EmployeeData[[#This Row],[Status]]="Active",_xlfn.DAYS(TODAY(),EmployeeData[[#This Row],[Join Date]]),EmployeeData[[#This Row],[Status]]="Exited",_xlfn.DAYS(EmployeeData[[#This Row],[Exit Date]],EmployeeData[[#This Row],[Join Date]]))</f>
        <v>668</v>
      </c>
      <c r="L1063" cm="1">
        <f t="array" aca="1" ref="L1063" ca="1">_xlfn.IFS(EmployeeData[[#This Row],[Status]]="Exited",DATEDIF(EmployeeData[[#This Row],[Join Date]], EmployeeData[[#This Row],[Exit Date]], "Y"),EmployeeData[[#This Row],[Status]]="Active",DATEDIF(EmployeeData[[#This Row],[Join Date]], TODAY(), "Y"))</f>
        <v>1</v>
      </c>
      <c r="Q1063" t="str" cm="1">
        <f t="array" aca="1" ref="Q10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1064" spans="1:17" hidden="1" x14ac:dyDescent="0.3">
      <c r="A1064">
        <v>2063</v>
      </c>
      <c r="B1064" t="s">
        <v>534</v>
      </c>
      <c r="C1064" t="s">
        <v>15</v>
      </c>
      <c r="D1064" t="s">
        <v>16</v>
      </c>
      <c r="E1064">
        <v>29</v>
      </c>
      <c r="F1064" t="str" cm="1">
        <f t="array" ref="F1064">_xlfn.IFS(EmployeeData[[#This Row],[Age]]&lt;30,"20s",EmployeeData[[#This Row],[Age]]&lt;40,"30s",EmployeeData[[#This Row],[Age]]&lt;50,"40s",EmployeeData[[#This Row],[Age]]&lt;60,"50s",EmployeeData[[#This Row],[Age]]&gt;=60,"60s")</f>
        <v>20s</v>
      </c>
      <c r="G1064" s="5">
        <v>45261</v>
      </c>
      <c r="I1064" t="s">
        <v>17</v>
      </c>
      <c r="J1064" t="s">
        <v>18</v>
      </c>
      <c r="K1064" cm="1">
        <f t="array" aca="1" ref="K1064" ca="1">_xlfn.IFS(EmployeeData[[#This Row],[Status]]="Active",_xlfn.DAYS(TODAY(),EmployeeData[[#This Row],[Join Date]]),EmployeeData[[#This Row],[Status]]="Exited",_xlfn.DAYS(EmployeeData[[#This Row],[Exit Date]],EmployeeData[[#This Row],[Join Date]]))</f>
        <v>936</v>
      </c>
      <c r="L1064" cm="1">
        <f t="array" aca="1" ref="L1064" ca="1">_xlfn.IFS(EmployeeData[[#This Row],[Status]]="Exited",DATEDIF(EmployeeData[[#This Row],[Join Date]], EmployeeData[[#This Row],[Exit Date]], "Y"),EmployeeData[[#This Row],[Status]]="Active",DATEDIF(EmployeeData[[#This Row],[Join Date]], TODAY(), "Y"))</f>
        <v>2</v>
      </c>
      <c r="Q1064" t="str" cm="1">
        <f t="array" aca="1" ref="Q10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1065" spans="1:17" hidden="1" x14ac:dyDescent="0.3">
      <c r="A1065">
        <v>2064</v>
      </c>
      <c r="B1065" t="s">
        <v>847</v>
      </c>
      <c r="C1065" t="s">
        <v>10</v>
      </c>
      <c r="D1065" t="s">
        <v>24</v>
      </c>
      <c r="E1065">
        <v>21</v>
      </c>
      <c r="F1065" t="str" cm="1">
        <f t="array" ref="F1065">_xlfn.IFS(EmployeeData[[#This Row],[Age]]&lt;30,"20s",EmployeeData[[#This Row],[Age]]&lt;40,"30s",EmployeeData[[#This Row],[Age]]&lt;50,"40s",EmployeeData[[#This Row],[Age]]&lt;60,"50s",EmployeeData[[#This Row],[Age]]&gt;=60,"60s")</f>
        <v>20s</v>
      </c>
      <c r="G1065" s="5">
        <v>44275</v>
      </c>
      <c r="H1065" s="5">
        <v>44487</v>
      </c>
      <c r="I1065" t="s">
        <v>52</v>
      </c>
      <c r="J1065" t="s">
        <v>13</v>
      </c>
      <c r="K1065" cm="1">
        <f t="array" aca="1" ref="K1065" ca="1">_xlfn.IFS(EmployeeData[[#This Row],[Status]]="Active",_xlfn.DAYS(TODAY(),EmployeeData[[#This Row],[Join Date]]),EmployeeData[[#This Row],[Status]]="Exited",_xlfn.DAYS(EmployeeData[[#This Row],[Exit Date]],EmployeeData[[#This Row],[Join Date]]))</f>
        <v>212</v>
      </c>
      <c r="L1065" cm="1">
        <f t="array" aca="1" ref="L1065" ca="1">_xlfn.IFS(EmployeeData[[#This Row],[Status]]="Exited",DATEDIF(EmployeeData[[#This Row],[Join Date]], EmployeeData[[#This Row],[Exit Date]], "Y"),EmployeeData[[#This Row],[Status]]="Active",DATEDIF(EmployeeData[[#This Row],[Join Date]], TODAY(), "Y"))</f>
        <v>0</v>
      </c>
      <c r="Q1065" t="str" cm="1">
        <f t="array" aca="1" ref="Q10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28 days</v>
      </c>
    </row>
    <row r="1066" spans="1:17" hidden="1" x14ac:dyDescent="0.3">
      <c r="A1066">
        <v>2065</v>
      </c>
      <c r="B1066" t="s">
        <v>641</v>
      </c>
      <c r="C1066" t="s">
        <v>23</v>
      </c>
      <c r="D1066" t="s">
        <v>16</v>
      </c>
      <c r="E1066">
        <v>48</v>
      </c>
      <c r="F1066" t="str" cm="1">
        <f t="array" ref="F1066">_xlfn.IFS(EmployeeData[[#This Row],[Age]]&lt;30,"20s",EmployeeData[[#This Row],[Age]]&lt;40,"30s",EmployeeData[[#This Row],[Age]]&lt;50,"40s",EmployeeData[[#This Row],[Age]]&lt;60,"50s",EmployeeData[[#This Row],[Age]]&gt;=60,"60s")</f>
        <v>40s</v>
      </c>
      <c r="G1066" s="5">
        <v>45885</v>
      </c>
      <c r="I1066" t="s">
        <v>17</v>
      </c>
      <c r="J1066" t="s">
        <v>18</v>
      </c>
      <c r="K1066" cm="1">
        <f t="array" aca="1" ref="K1066" ca="1">_xlfn.IFS(EmployeeData[[#This Row],[Status]]="Active",_xlfn.DAYS(TODAY(),EmployeeData[[#This Row],[Join Date]]),EmployeeData[[#This Row],[Status]]="Exited",_xlfn.DAYS(EmployeeData[[#This Row],[Exit Date]],EmployeeData[[#This Row],[Join Date]]))</f>
        <v>312</v>
      </c>
      <c r="L1066" cm="1">
        <f t="array" aca="1" ref="L1066" ca="1">_xlfn.IFS(EmployeeData[[#This Row],[Status]]="Exited",DATEDIF(EmployeeData[[#This Row],[Join Date]], EmployeeData[[#This Row],[Exit Date]], "Y"),EmployeeData[[#This Row],[Status]]="Active",DATEDIF(EmployeeData[[#This Row],[Join Date]], TODAY(), "Y"))</f>
        <v>0</v>
      </c>
      <c r="Q1066" t="str" cm="1">
        <f t="array" aca="1" ref="Q10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1067" spans="1:17" hidden="1" x14ac:dyDescent="0.3">
      <c r="A1067">
        <v>2066</v>
      </c>
      <c r="B1067" t="s">
        <v>912</v>
      </c>
      <c r="C1067" t="s">
        <v>10</v>
      </c>
      <c r="D1067" t="s">
        <v>24</v>
      </c>
      <c r="E1067">
        <v>40</v>
      </c>
      <c r="F1067" t="str" cm="1">
        <f t="array" ref="F1067">_xlfn.IFS(EmployeeData[[#This Row],[Age]]&lt;30,"20s",EmployeeData[[#This Row],[Age]]&lt;40,"30s",EmployeeData[[#This Row],[Age]]&lt;50,"40s",EmployeeData[[#This Row],[Age]]&lt;60,"50s",EmployeeData[[#This Row],[Age]]&gt;=60,"60s")</f>
        <v>40s</v>
      </c>
      <c r="G1067" s="5">
        <v>44032</v>
      </c>
      <c r="I1067" t="s">
        <v>17</v>
      </c>
      <c r="J1067" t="s">
        <v>18</v>
      </c>
      <c r="K1067" cm="1">
        <f t="array" aca="1" ref="K1067" ca="1">_xlfn.IFS(EmployeeData[[#This Row],[Status]]="Active",_xlfn.DAYS(TODAY(),EmployeeData[[#This Row],[Join Date]]),EmployeeData[[#This Row],[Status]]="Exited",_xlfn.DAYS(EmployeeData[[#This Row],[Exit Date]],EmployeeData[[#This Row],[Join Date]]))</f>
        <v>2165</v>
      </c>
      <c r="L1067" cm="1">
        <f t="array" aca="1" ref="L1067" ca="1">_xlfn.IFS(EmployeeData[[#This Row],[Status]]="Exited",DATEDIF(EmployeeData[[#This Row],[Join Date]], EmployeeData[[#This Row],[Exit Date]], "Y"),EmployeeData[[#This Row],[Status]]="Active",DATEDIF(EmployeeData[[#This Row],[Join Date]], TODAY(), "Y"))</f>
        <v>5</v>
      </c>
      <c r="Q1067" t="str" cm="1">
        <f t="array" aca="1" ref="Q10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1068" spans="1:17" hidden="1" x14ac:dyDescent="0.3">
      <c r="A1068">
        <v>2067</v>
      </c>
      <c r="B1068" t="s">
        <v>553</v>
      </c>
      <c r="C1068" t="s">
        <v>23</v>
      </c>
      <c r="D1068" t="s">
        <v>11</v>
      </c>
      <c r="E1068">
        <v>29</v>
      </c>
      <c r="F1068" t="str" cm="1">
        <f t="array" ref="F1068">_xlfn.IFS(EmployeeData[[#This Row],[Age]]&lt;30,"20s",EmployeeData[[#This Row],[Age]]&lt;40,"30s",EmployeeData[[#This Row],[Age]]&lt;50,"40s",EmployeeData[[#This Row],[Age]]&lt;60,"50s",EmployeeData[[#This Row],[Age]]&gt;=60,"60s")</f>
        <v>20s</v>
      </c>
      <c r="G1068" s="5">
        <v>43968</v>
      </c>
      <c r="I1068" t="s">
        <v>17</v>
      </c>
      <c r="J1068" t="s">
        <v>18</v>
      </c>
      <c r="K1068" cm="1">
        <f t="array" aca="1" ref="K1068" ca="1">_xlfn.IFS(EmployeeData[[#This Row],[Status]]="Active",_xlfn.DAYS(TODAY(),EmployeeData[[#This Row],[Join Date]]),EmployeeData[[#This Row],[Status]]="Exited",_xlfn.DAYS(EmployeeData[[#This Row],[Exit Date]],EmployeeData[[#This Row],[Join Date]]))</f>
        <v>2229</v>
      </c>
      <c r="L1068" cm="1">
        <f t="array" aca="1" ref="L1068" ca="1">_xlfn.IFS(EmployeeData[[#This Row],[Status]]="Exited",DATEDIF(EmployeeData[[#This Row],[Join Date]], EmployeeData[[#This Row],[Exit Date]], "Y"),EmployeeData[[#This Row],[Status]]="Active",DATEDIF(EmployeeData[[#This Row],[Join Date]], TODAY(), "Y"))</f>
        <v>6</v>
      </c>
      <c r="Q1068" t="str" cm="1">
        <f t="array" aca="1" ref="Q10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7 days</v>
      </c>
    </row>
    <row r="1069" spans="1:17" hidden="1" x14ac:dyDescent="0.3">
      <c r="A1069">
        <v>2068</v>
      </c>
      <c r="B1069" t="s">
        <v>801</v>
      </c>
      <c r="C1069" t="s">
        <v>33</v>
      </c>
      <c r="D1069" t="s">
        <v>24</v>
      </c>
      <c r="E1069">
        <v>41</v>
      </c>
      <c r="F1069" t="str" cm="1">
        <f t="array" ref="F1069">_xlfn.IFS(EmployeeData[[#This Row],[Age]]&lt;30,"20s",EmployeeData[[#This Row],[Age]]&lt;40,"30s",EmployeeData[[#This Row],[Age]]&lt;50,"40s",EmployeeData[[#This Row],[Age]]&lt;60,"50s",EmployeeData[[#This Row],[Age]]&gt;=60,"60s")</f>
        <v>40s</v>
      </c>
      <c r="G1069" s="5">
        <v>45774</v>
      </c>
      <c r="I1069" t="s">
        <v>17</v>
      </c>
      <c r="J1069" t="s">
        <v>18</v>
      </c>
      <c r="K1069" cm="1">
        <f t="array" aca="1" ref="K1069" ca="1">_xlfn.IFS(EmployeeData[[#This Row],[Status]]="Active",_xlfn.DAYS(TODAY(),EmployeeData[[#This Row],[Join Date]]),EmployeeData[[#This Row],[Status]]="Exited",_xlfn.DAYS(EmployeeData[[#This Row],[Exit Date]],EmployeeData[[#This Row],[Join Date]]))</f>
        <v>423</v>
      </c>
      <c r="L1069" cm="1">
        <f t="array" aca="1" ref="L1069" ca="1">_xlfn.IFS(EmployeeData[[#This Row],[Status]]="Exited",DATEDIF(EmployeeData[[#This Row],[Join Date]], EmployeeData[[#This Row],[Exit Date]], "Y"),EmployeeData[[#This Row],[Status]]="Active",DATEDIF(EmployeeData[[#This Row],[Join Date]], TODAY(), "Y"))</f>
        <v>1</v>
      </c>
      <c r="Q1069" t="str" cm="1">
        <f t="array" aca="1" ref="Q10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28 days</v>
      </c>
    </row>
    <row r="1070" spans="1:17" hidden="1" x14ac:dyDescent="0.3">
      <c r="A1070">
        <v>2069</v>
      </c>
      <c r="B1070" t="s">
        <v>444</v>
      </c>
      <c r="C1070" t="s">
        <v>20</v>
      </c>
      <c r="D1070" t="s">
        <v>16</v>
      </c>
      <c r="E1070">
        <v>27</v>
      </c>
      <c r="F1070" t="str" cm="1">
        <f t="array" ref="F1070">_xlfn.IFS(EmployeeData[[#This Row],[Age]]&lt;30,"20s",EmployeeData[[#This Row],[Age]]&lt;40,"30s",EmployeeData[[#This Row],[Age]]&lt;50,"40s",EmployeeData[[#This Row],[Age]]&lt;60,"50s",EmployeeData[[#This Row],[Age]]&gt;=60,"60s")</f>
        <v>20s</v>
      </c>
      <c r="G1070" s="5">
        <v>43528</v>
      </c>
      <c r="H1070" s="5">
        <v>44992</v>
      </c>
      <c r="I1070" t="s">
        <v>31</v>
      </c>
      <c r="J1070" t="s">
        <v>13</v>
      </c>
      <c r="K1070" cm="1">
        <f t="array" aca="1" ref="K1070" ca="1">_xlfn.IFS(EmployeeData[[#This Row],[Status]]="Active",_xlfn.DAYS(TODAY(),EmployeeData[[#This Row],[Join Date]]),EmployeeData[[#This Row],[Status]]="Exited",_xlfn.DAYS(EmployeeData[[#This Row],[Exit Date]],EmployeeData[[#This Row],[Join Date]]))</f>
        <v>1464</v>
      </c>
      <c r="L1070" cm="1">
        <f t="array" aca="1" ref="L1070" ca="1">_xlfn.IFS(EmployeeData[[#This Row],[Status]]="Exited",DATEDIF(EmployeeData[[#This Row],[Join Date]], EmployeeData[[#This Row],[Exit Date]], "Y"),EmployeeData[[#This Row],[Status]]="Active",DATEDIF(EmployeeData[[#This Row],[Join Date]], TODAY(), "Y"))</f>
        <v>4</v>
      </c>
      <c r="Q1070" t="str" cm="1">
        <f t="array" aca="1" ref="Q10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1071" spans="1:17" hidden="1" x14ac:dyDescent="0.3">
      <c r="A1071">
        <v>2070</v>
      </c>
      <c r="B1071" t="s">
        <v>524</v>
      </c>
      <c r="C1071" t="s">
        <v>15</v>
      </c>
      <c r="D1071" t="s">
        <v>16</v>
      </c>
      <c r="E1071">
        <v>40</v>
      </c>
      <c r="F1071" t="str" cm="1">
        <f t="array" ref="F1071">_xlfn.IFS(EmployeeData[[#This Row],[Age]]&lt;30,"20s",EmployeeData[[#This Row],[Age]]&lt;40,"30s",EmployeeData[[#This Row],[Age]]&lt;50,"40s",EmployeeData[[#This Row],[Age]]&lt;60,"50s",EmployeeData[[#This Row],[Age]]&gt;=60,"60s")</f>
        <v>40s</v>
      </c>
      <c r="G1071" s="5">
        <v>43869</v>
      </c>
      <c r="I1071" t="s">
        <v>17</v>
      </c>
      <c r="J1071" t="s">
        <v>18</v>
      </c>
      <c r="K1071" cm="1">
        <f t="array" aca="1" ref="K1071" ca="1">_xlfn.IFS(EmployeeData[[#This Row],[Status]]="Active",_xlfn.DAYS(TODAY(),EmployeeData[[#This Row],[Join Date]]),EmployeeData[[#This Row],[Status]]="Exited",_xlfn.DAYS(EmployeeData[[#This Row],[Exit Date]],EmployeeData[[#This Row],[Join Date]]))</f>
        <v>2328</v>
      </c>
      <c r="L1071" cm="1">
        <f t="array" aca="1" ref="L1071" ca="1">_xlfn.IFS(EmployeeData[[#This Row],[Status]]="Exited",DATEDIF(EmployeeData[[#This Row],[Join Date]], EmployeeData[[#This Row],[Exit Date]], "Y"),EmployeeData[[#This Row],[Status]]="Active",DATEDIF(EmployeeData[[#This Row],[Join Date]], TODAY(), "Y"))</f>
        <v>6</v>
      </c>
      <c r="Q1071" t="str" cm="1">
        <f t="array" aca="1" ref="Q10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1072" spans="1:17" x14ac:dyDescent="0.3">
      <c r="A1072">
        <v>2071</v>
      </c>
      <c r="B1072" t="s">
        <v>455</v>
      </c>
      <c r="C1072" t="s">
        <v>23</v>
      </c>
      <c r="D1072" t="s">
        <v>11</v>
      </c>
      <c r="E1072">
        <v>23</v>
      </c>
      <c r="F1072" t="str" cm="1">
        <f t="array" ref="F1072">_xlfn.IFS(EmployeeData[[#This Row],[Age]]&lt;30,"20s",EmployeeData[[#This Row],[Age]]&lt;40,"30s",EmployeeData[[#This Row],[Age]]&lt;50,"40s",EmployeeData[[#This Row],[Age]]&lt;60,"50s",EmployeeData[[#This Row],[Age]]&gt;=60,"60s")</f>
        <v>20s</v>
      </c>
      <c r="G1072" s="5">
        <v>43297</v>
      </c>
      <c r="H1072" s="5">
        <v>44651</v>
      </c>
      <c r="I1072" t="s">
        <v>31</v>
      </c>
      <c r="J1072" t="s">
        <v>13</v>
      </c>
      <c r="K1072" cm="1">
        <f t="array" aca="1" ref="K1072" ca="1">_xlfn.IFS(EmployeeData[[#This Row],[Status]]="Active",_xlfn.DAYS(TODAY(),EmployeeData[[#This Row],[Join Date]]),EmployeeData[[#This Row],[Status]]="Exited",_xlfn.DAYS(EmployeeData[[#This Row],[Exit Date]],EmployeeData[[#This Row],[Join Date]]))</f>
        <v>1354</v>
      </c>
      <c r="L1072" cm="1">
        <f t="array" aca="1" ref="L1072" ca="1">_xlfn.IFS(EmployeeData[[#This Row],[Status]]="Exited",DATEDIF(EmployeeData[[#This Row],[Join Date]], EmployeeData[[#This Row],[Exit Date]], "Y"),EmployeeData[[#This Row],[Status]]="Active",DATEDIF(EmployeeData[[#This Row],[Join Date]], TODAY(), "Y"))</f>
        <v>3</v>
      </c>
      <c r="Q1072" t="str" cm="1">
        <f t="array" aca="1" ref="Q10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15 days</v>
      </c>
    </row>
    <row r="1073" spans="1:17" hidden="1" x14ac:dyDescent="0.3">
      <c r="A1073">
        <v>2072</v>
      </c>
      <c r="B1073" t="s">
        <v>899</v>
      </c>
      <c r="C1073" t="s">
        <v>23</v>
      </c>
      <c r="D1073" t="s">
        <v>16</v>
      </c>
      <c r="E1073">
        <v>46</v>
      </c>
      <c r="F1073" t="str" cm="1">
        <f t="array" ref="F1073">_xlfn.IFS(EmployeeData[[#This Row],[Age]]&lt;30,"20s",EmployeeData[[#This Row],[Age]]&lt;40,"30s",EmployeeData[[#This Row],[Age]]&lt;50,"40s",EmployeeData[[#This Row],[Age]]&lt;60,"50s",EmployeeData[[#This Row],[Age]]&gt;=60,"60s")</f>
        <v>40s</v>
      </c>
      <c r="G1073" s="5">
        <v>44558</v>
      </c>
      <c r="I1073" t="s">
        <v>17</v>
      </c>
      <c r="J1073" t="s">
        <v>18</v>
      </c>
      <c r="K1073" cm="1">
        <f t="array" aca="1" ref="K1073" ca="1">_xlfn.IFS(EmployeeData[[#This Row],[Status]]="Active",_xlfn.DAYS(TODAY(),EmployeeData[[#This Row],[Join Date]]),EmployeeData[[#This Row],[Status]]="Exited",_xlfn.DAYS(EmployeeData[[#This Row],[Exit Date]],EmployeeData[[#This Row],[Join Date]]))</f>
        <v>1639</v>
      </c>
      <c r="L1073" cm="1">
        <f t="array" aca="1" ref="L1073" ca="1">_xlfn.IFS(EmployeeData[[#This Row],[Status]]="Exited",DATEDIF(EmployeeData[[#This Row],[Join Date]], EmployeeData[[#This Row],[Exit Date]], "Y"),EmployeeData[[#This Row],[Status]]="Active",DATEDIF(EmployeeData[[#This Row],[Join Date]], TODAY(), "Y"))</f>
        <v>4</v>
      </c>
      <c r="Q1073" t="str" cm="1">
        <f t="array" aca="1" ref="Q10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27 days</v>
      </c>
    </row>
    <row r="1074" spans="1:17" hidden="1" x14ac:dyDescent="0.3">
      <c r="A1074">
        <v>2073</v>
      </c>
      <c r="B1074" t="s">
        <v>53</v>
      </c>
      <c r="C1074" t="s">
        <v>23</v>
      </c>
      <c r="D1074" t="s">
        <v>11</v>
      </c>
      <c r="E1074">
        <v>22</v>
      </c>
      <c r="F1074" t="str" cm="1">
        <f t="array" ref="F1074">_xlfn.IFS(EmployeeData[[#This Row],[Age]]&lt;30,"20s",EmployeeData[[#This Row],[Age]]&lt;40,"30s",EmployeeData[[#This Row],[Age]]&lt;50,"40s",EmployeeData[[#This Row],[Age]]&lt;60,"50s",EmployeeData[[#This Row],[Age]]&gt;=60,"60s")</f>
        <v>20s</v>
      </c>
      <c r="G1074" s="5">
        <v>45506</v>
      </c>
      <c r="I1074" t="s">
        <v>17</v>
      </c>
      <c r="J1074" t="s">
        <v>18</v>
      </c>
      <c r="K1074" cm="1">
        <f t="array" aca="1" ref="K1074" ca="1">_xlfn.IFS(EmployeeData[[#This Row],[Status]]="Active",_xlfn.DAYS(TODAY(),EmployeeData[[#This Row],[Join Date]]),EmployeeData[[#This Row],[Status]]="Exited",_xlfn.DAYS(EmployeeData[[#This Row],[Exit Date]],EmployeeData[[#This Row],[Join Date]]))</f>
        <v>691</v>
      </c>
      <c r="L1074" cm="1">
        <f t="array" aca="1" ref="L1074" ca="1">_xlfn.IFS(EmployeeData[[#This Row],[Status]]="Exited",DATEDIF(EmployeeData[[#This Row],[Join Date]], EmployeeData[[#This Row],[Exit Date]], "Y"),EmployeeData[[#This Row],[Status]]="Active",DATEDIF(EmployeeData[[#This Row],[Join Date]], TODAY(), "Y"))</f>
        <v>1</v>
      </c>
      <c r="Q1074" t="str" cm="1">
        <f t="array" aca="1" ref="Q10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22 days</v>
      </c>
    </row>
    <row r="1075" spans="1:17" x14ac:dyDescent="0.3">
      <c r="A1075">
        <v>2074</v>
      </c>
      <c r="B1075" t="s">
        <v>881</v>
      </c>
      <c r="C1075" t="s">
        <v>15</v>
      </c>
      <c r="D1075" t="s">
        <v>16</v>
      </c>
      <c r="E1075">
        <v>50</v>
      </c>
      <c r="F1075" t="str" cm="1">
        <f t="array" ref="F1075">_xlfn.IFS(EmployeeData[[#This Row],[Age]]&lt;30,"20s",EmployeeData[[#This Row],[Age]]&lt;40,"30s",EmployeeData[[#This Row],[Age]]&lt;50,"40s",EmployeeData[[#This Row],[Age]]&lt;60,"50s",EmployeeData[[#This Row],[Age]]&gt;=60,"60s")</f>
        <v>50s</v>
      </c>
      <c r="G1075" s="5">
        <v>43423</v>
      </c>
      <c r="I1075" t="s">
        <v>17</v>
      </c>
      <c r="J1075" t="s">
        <v>18</v>
      </c>
      <c r="K1075" cm="1">
        <f t="array" aca="1" ref="K1075" ca="1">_xlfn.IFS(EmployeeData[[#This Row],[Status]]="Active",_xlfn.DAYS(TODAY(),EmployeeData[[#This Row],[Join Date]]),EmployeeData[[#This Row],[Status]]="Exited",_xlfn.DAYS(EmployeeData[[#This Row],[Exit Date]],EmployeeData[[#This Row],[Join Date]]))</f>
        <v>2774</v>
      </c>
      <c r="L1075" cm="1">
        <f t="array" aca="1" ref="L1075" ca="1">_xlfn.IFS(EmployeeData[[#This Row],[Status]]="Exited",DATEDIF(EmployeeData[[#This Row],[Join Date]], EmployeeData[[#This Row],[Exit Date]], "Y"),EmployeeData[[#This Row],[Status]]="Active",DATEDIF(EmployeeData[[#This Row],[Join Date]], TODAY(), "Y"))</f>
        <v>7</v>
      </c>
      <c r="Q1075" t="str" cm="1">
        <f t="array" aca="1" ref="Q10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5 days</v>
      </c>
    </row>
    <row r="1076" spans="1:17" hidden="1" x14ac:dyDescent="0.3">
      <c r="A1076">
        <v>2075</v>
      </c>
      <c r="B1076" t="s">
        <v>272</v>
      </c>
      <c r="C1076" t="s">
        <v>33</v>
      </c>
      <c r="D1076" t="s">
        <v>24</v>
      </c>
      <c r="E1076">
        <v>31</v>
      </c>
      <c r="F1076" t="str" cm="1">
        <f t="array" ref="F1076">_xlfn.IFS(EmployeeData[[#This Row],[Age]]&lt;30,"20s",EmployeeData[[#This Row],[Age]]&lt;40,"30s",EmployeeData[[#This Row],[Age]]&lt;50,"40s",EmployeeData[[#This Row],[Age]]&lt;60,"50s",EmployeeData[[#This Row],[Age]]&gt;=60,"60s")</f>
        <v>30s</v>
      </c>
      <c r="G1076" s="5">
        <v>45155</v>
      </c>
      <c r="I1076" t="s">
        <v>17</v>
      </c>
      <c r="J1076" t="s">
        <v>18</v>
      </c>
      <c r="K1076" cm="1">
        <f t="array" aca="1" ref="K1076" ca="1">_xlfn.IFS(EmployeeData[[#This Row],[Status]]="Active",_xlfn.DAYS(TODAY(),EmployeeData[[#This Row],[Join Date]]),EmployeeData[[#This Row],[Status]]="Exited",_xlfn.DAYS(EmployeeData[[#This Row],[Exit Date]],EmployeeData[[#This Row],[Join Date]]))</f>
        <v>1042</v>
      </c>
      <c r="L1076" cm="1">
        <f t="array" aca="1" ref="L1076" ca="1">_xlfn.IFS(EmployeeData[[#This Row],[Status]]="Exited",DATEDIF(EmployeeData[[#This Row],[Join Date]], EmployeeData[[#This Row],[Exit Date]], "Y"),EmployeeData[[#This Row],[Status]]="Active",DATEDIF(EmployeeData[[#This Row],[Join Date]], TODAY(), "Y"))</f>
        <v>2</v>
      </c>
      <c r="Q1076" t="str" cm="1">
        <f t="array" aca="1" ref="Q10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1077" spans="1:17" hidden="1" x14ac:dyDescent="0.3">
      <c r="A1077">
        <v>2076</v>
      </c>
      <c r="B1077" t="s">
        <v>759</v>
      </c>
      <c r="C1077" t="s">
        <v>20</v>
      </c>
      <c r="D1077" t="s">
        <v>16</v>
      </c>
      <c r="E1077">
        <v>39</v>
      </c>
      <c r="F1077" t="str" cm="1">
        <f t="array" ref="F1077">_xlfn.IFS(EmployeeData[[#This Row],[Age]]&lt;30,"20s",EmployeeData[[#This Row],[Age]]&lt;40,"30s",EmployeeData[[#This Row],[Age]]&lt;50,"40s",EmployeeData[[#This Row],[Age]]&lt;60,"50s",EmployeeData[[#This Row],[Age]]&gt;=60,"60s")</f>
        <v>30s</v>
      </c>
      <c r="G1077" s="5">
        <v>44576</v>
      </c>
      <c r="I1077" t="s">
        <v>17</v>
      </c>
      <c r="J1077" t="s">
        <v>18</v>
      </c>
      <c r="K1077" cm="1">
        <f t="array" aca="1" ref="K1077" ca="1">_xlfn.IFS(EmployeeData[[#This Row],[Status]]="Active",_xlfn.DAYS(TODAY(),EmployeeData[[#This Row],[Join Date]]),EmployeeData[[#This Row],[Status]]="Exited",_xlfn.DAYS(EmployeeData[[#This Row],[Exit Date]],EmployeeData[[#This Row],[Join Date]]))</f>
        <v>1621</v>
      </c>
      <c r="L1077" cm="1">
        <f t="array" aca="1" ref="L1077" ca="1">_xlfn.IFS(EmployeeData[[#This Row],[Status]]="Exited",DATEDIF(EmployeeData[[#This Row],[Join Date]], EmployeeData[[#This Row],[Exit Date]], "Y"),EmployeeData[[#This Row],[Status]]="Active",DATEDIF(EmployeeData[[#This Row],[Join Date]], TODAY(), "Y"))</f>
        <v>4</v>
      </c>
      <c r="Q1077" t="str" cm="1">
        <f t="array" aca="1" ref="Q10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9 days</v>
      </c>
    </row>
    <row r="1078" spans="1:17" hidden="1" x14ac:dyDescent="0.3">
      <c r="A1078">
        <v>2077</v>
      </c>
      <c r="B1078" t="s">
        <v>89</v>
      </c>
      <c r="C1078" t="s">
        <v>20</v>
      </c>
      <c r="D1078" t="s">
        <v>24</v>
      </c>
      <c r="E1078">
        <v>34</v>
      </c>
      <c r="F1078" t="str" cm="1">
        <f t="array" ref="F1078">_xlfn.IFS(EmployeeData[[#This Row],[Age]]&lt;30,"20s",EmployeeData[[#This Row],[Age]]&lt;40,"30s",EmployeeData[[#This Row],[Age]]&lt;50,"40s",EmployeeData[[#This Row],[Age]]&lt;60,"50s",EmployeeData[[#This Row],[Age]]&gt;=60,"60s")</f>
        <v>30s</v>
      </c>
      <c r="G1078" s="5">
        <v>45601</v>
      </c>
      <c r="I1078" t="s">
        <v>17</v>
      </c>
      <c r="J1078" t="s">
        <v>18</v>
      </c>
      <c r="K1078" cm="1">
        <f t="array" aca="1" ref="K1078" ca="1">_xlfn.IFS(EmployeeData[[#This Row],[Status]]="Active",_xlfn.DAYS(TODAY(),EmployeeData[[#This Row],[Join Date]]),EmployeeData[[#This Row],[Status]]="Exited",_xlfn.DAYS(EmployeeData[[#This Row],[Exit Date]],EmployeeData[[#This Row],[Join Date]]))</f>
        <v>596</v>
      </c>
      <c r="L1078" cm="1">
        <f t="array" aca="1" ref="L1078" ca="1">_xlfn.IFS(EmployeeData[[#This Row],[Status]]="Exited",DATEDIF(EmployeeData[[#This Row],[Join Date]], EmployeeData[[#This Row],[Exit Date]], "Y"),EmployeeData[[#This Row],[Status]]="Active",DATEDIF(EmployeeData[[#This Row],[Join Date]], TODAY(), "Y"))</f>
        <v>1</v>
      </c>
      <c r="Q1078" t="str" cm="1">
        <f t="array" aca="1" ref="Q10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1079" spans="1:17" hidden="1" x14ac:dyDescent="0.3">
      <c r="A1079">
        <v>2078</v>
      </c>
      <c r="B1079" t="s">
        <v>1026</v>
      </c>
      <c r="C1079" t="s">
        <v>23</v>
      </c>
      <c r="D1079" t="s">
        <v>11</v>
      </c>
      <c r="E1079">
        <v>30</v>
      </c>
      <c r="F1079" t="str" cm="1">
        <f t="array" ref="F1079">_xlfn.IFS(EmployeeData[[#This Row],[Age]]&lt;30,"20s",EmployeeData[[#This Row],[Age]]&lt;40,"30s",EmployeeData[[#This Row],[Age]]&lt;50,"40s",EmployeeData[[#This Row],[Age]]&lt;60,"50s",EmployeeData[[#This Row],[Age]]&gt;=60,"60s")</f>
        <v>30s</v>
      </c>
      <c r="G1079" s="5">
        <v>44368</v>
      </c>
      <c r="I1079" t="s">
        <v>17</v>
      </c>
      <c r="J1079" t="s">
        <v>18</v>
      </c>
      <c r="K1079" cm="1">
        <f t="array" aca="1" ref="K1079" ca="1">_xlfn.IFS(EmployeeData[[#This Row],[Status]]="Active",_xlfn.DAYS(TODAY(),EmployeeData[[#This Row],[Join Date]]),EmployeeData[[#This Row],[Status]]="Exited",_xlfn.DAYS(EmployeeData[[#This Row],[Exit Date]],EmployeeData[[#This Row],[Join Date]]))</f>
        <v>1829</v>
      </c>
      <c r="L1079" cm="1">
        <f t="array" aca="1" ref="L1079" ca="1">_xlfn.IFS(EmployeeData[[#This Row],[Status]]="Exited",DATEDIF(EmployeeData[[#This Row],[Join Date]], EmployeeData[[#This Row],[Exit Date]], "Y"),EmployeeData[[#This Row],[Status]]="Active",DATEDIF(EmployeeData[[#This Row],[Join Date]], TODAY(), "Y"))</f>
        <v>5</v>
      </c>
      <c r="Q1079" t="str" cm="1">
        <f t="array" aca="1" ref="Q10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3 days</v>
      </c>
    </row>
    <row r="1080" spans="1:17" hidden="1" x14ac:dyDescent="0.3">
      <c r="A1080">
        <v>2079</v>
      </c>
      <c r="B1080" t="s">
        <v>215</v>
      </c>
      <c r="C1080" t="s">
        <v>15</v>
      </c>
      <c r="D1080" t="s">
        <v>16</v>
      </c>
      <c r="E1080">
        <v>25</v>
      </c>
      <c r="F1080" t="str" cm="1">
        <f t="array" ref="F1080">_xlfn.IFS(EmployeeData[[#This Row],[Age]]&lt;30,"20s",EmployeeData[[#This Row],[Age]]&lt;40,"30s",EmployeeData[[#This Row],[Age]]&lt;50,"40s",EmployeeData[[#This Row],[Age]]&lt;60,"50s",EmployeeData[[#This Row],[Age]]&gt;=60,"60s")</f>
        <v>20s</v>
      </c>
      <c r="G1080" s="5">
        <v>44248</v>
      </c>
      <c r="I1080" t="s">
        <v>17</v>
      </c>
      <c r="J1080" t="s">
        <v>18</v>
      </c>
      <c r="K1080" cm="1">
        <f t="array" aca="1" ref="K1080" ca="1">_xlfn.IFS(EmployeeData[[#This Row],[Status]]="Active",_xlfn.DAYS(TODAY(),EmployeeData[[#This Row],[Join Date]]),EmployeeData[[#This Row],[Status]]="Exited",_xlfn.DAYS(EmployeeData[[#This Row],[Exit Date]],EmployeeData[[#This Row],[Join Date]]))</f>
        <v>1949</v>
      </c>
      <c r="L1080" cm="1">
        <f t="array" aca="1" ref="L1080" ca="1">_xlfn.IFS(EmployeeData[[#This Row],[Status]]="Exited",DATEDIF(EmployeeData[[#This Row],[Join Date]], EmployeeData[[#This Row],[Exit Date]], "Y"),EmployeeData[[#This Row],[Status]]="Active",DATEDIF(EmployeeData[[#This Row],[Join Date]], TODAY(), "Y"))</f>
        <v>5</v>
      </c>
      <c r="Q1080" t="str" cm="1">
        <f t="array" aca="1" ref="Q10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 days</v>
      </c>
    </row>
    <row r="1081" spans="1:17" hidden="1" x14ac:dyDescent="0.3">
      <c r="A1081">
        <v>2080</v>
      </c>
      <c r="B1081" t="s">
        <v>356</v>
      </c>
      <c r="C1081" t="s">
        <v>10</v>
      </c>
      <c r="D1081" t="s">
        <v>24</v>
      </c>
      <c r="E1081">
        <v>37</v>
      </c>
      <c r="F1081" t="str" cm="1">
        <f t="array" ref="F1081">_xlfn.IFS(EmployeeData[[#This Row],[Age]]&lt;30,"20s",EmployeeData[[#This Row],[Age]]&lt;40,"30s",EmployeeData[[#This Row],[Age]]&lt;50,"40s",EmployeeData[[#This Row],[Age]]&lt;60,"50s",EmployeeData[[#This Row],[Age]]&gt;=60,"60s")</f>
        <v>30s</v>
      </c>
      <c r="G1081" s="5">
        <v>44911</v>
      </c>
      <c r="I1081" t="s">
        <v>17</v>
      </c>
      <c r="J1081" t="s">
        <v>18</v>
      </c>
      <c r="K1081" cm="1">
        <f t="array" aca="1" ref="K1081" ca="1">_xlfn.IFS(EmployeeData[[#This Row],[Status]]="Active",_xlfn.DAYS(TODAY(),EmployeeData[[#This Row],[Join Date]]),EmployeeData[[#This Row],[Status]]="Exited",_xlfn.DAYS(EmployeeData[[#This Row],[Exit Date]],EmployeeData[[#This Row],[Join Date]]))</f>
        <v>1286</v>
      </c>
      <c r="L1081" cm="1">
        <f t="array" aca="1" ref="L1081" ca="1">_xlfn.IFS(EmployeeData[[#This Row],[Status]]="Exited",DATEDIF(EmployeeData[[#This Row],[Join Date]], EmployeeData[[#This Row],[Exit Date]], "Y"),EmployeeData[[#This Row],[Status]]="Active",DATEDIF(EmployeeData[[#This Row],[Join Date]], TODAY(), "Y"))</f>
        <v>3</v>
      </c>
      <c r="Q1081" t="str" cm="1">
        <f t="array" aca="1" ref="Q10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8 days</v>
      </c>
    </row>
    <row r="1082" spans="1:17" hidden="1" x14ac:dyDescent="0.3">
      <c r="A1082">
        <v>2081</v>
      </c>
      <c r="B1082" t="s">
        <v>1106</v>
      </c>
      <c r="C1082" t="s">
        <v>23</v>
      </c>
      <c r="D1082" t="s">
        <v>24</v>
      </c>
      <c r="E1082">
        <v>32</v>
      </c>
      <c r="F1082" t="str" cm="1">
        <f t="array" ref="F1082">_xlfn.IFS(EmployeeData[[#This Row],[Age]]&lt;30,"20s",EmployeeData[[#This Row],[Age]]&lt;40,"30s",EmployeeData[[#This Row],[Age]]&lt;50,"40s",EmployeeData[[#This Row],[Age]]&lt;60,"50s",EmployeeData[[#This Row],[Age]]&gt;=60,"60s")</f>
        <v>30s</v>
      </c>
      <c r="G1082" s="5">
        <v>44973</v>
      </c>
      <c r="J1082" t="s">
        <v>18</v>
      </c>
      <c r="K1082" cm="1">
        <f t="array" aca="1" ref="K1082" ca="1">_xlfn.IFS(EmployeeData[[#This Row],[Status]]="Active",_xlfn.DAYS(TODAY(),EmployeeData[[#This Row],[Join Date]]),EmployeeData[[#This Row],[Status]]="Exited",_xlfn.DAYS(EmployeeData[[#This Row],[Exit Date]],EmployeeData[[#This Row],[Join Date]]))</f>
        <v>1224</v>
      </c>
      <c r="L1082" cm="1">
        <f t="array" aca="1" ref="L1082" ca="1">_xlfn.IFS(EmployeeData[[#This Row],[Status]]="Exited",DATEDIF(EmployeeData[[#This Row],[Join Date]], EmployeeData[[#This Row],[Exit Date]], "Y"),EmployeeData[[#This Row],[Status]]="Active",DATEDIF(EmployeeData[[#This Row],[Join Date]], TODAY(), "Y"))</f>
        <v>3</v>
      </c>
      <c r="Q1082" t="str" cm="1">
        <f t="array" aca="1" ref="Q10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8 days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sheetPr>
    <tabColor theme="0"/>
  </sheetPr>
  <dimension ref="B2:R19"/>
  <sheetViews>
    <sheetView topLeftCell="B1" workbookViewId="0">
      <selection activeCell="L6" sqref="L6"/>
    </sheetView>
  </sheetViews>
  <sheetFormatPr defaultRowHeight="14.4" x14ac:dyDescent="0.3"/>
  <cols>
    <col min="2" max="2" width="13.77734375" customWidth="1"/>
    <col min="9" max="9" width="8.88671875" customWidth="1"/>
    <col min="10" max="10" width="10.5546875" bestFit="1" customWidth="1"/>
    <col min="11" max="11" width="10.44140625" customWidth="1"/>
    <col min="12" max="12" width="10.5546875" bestFit="1" customWidth="1"/>
    <col min="13" max="13" width="9.44140625" bestFit="1" customWidth="1"/>
    <col min="14" max="14" width="14.6640625" bestFit="1" customWidth="1"/>
    <col min="15" max="15" width="14.6640625" customWidth="1"/>
    <col min="16" max="16" width="13.5546875" bestFit="1" customWidth="1"/>
    <col min="17" max="17" width="12.5546875" bestFit="1" customWidth="1"/>
    <col min="18" max="18" width="9.6640625" customWidth="1"/>
  </cols>
  <sheetData>
    <row r="2" spans="2:18" x14ac:dyDescent="0.3">
      <c r="B2" t="s">
        <v>1104</v>
      </c>
      <c r="I2" t="s">
        <v>1189</v>
      </c>
    </row>
    <row r="4" spans="2:18" x14ac:dyDescent="0.3">
      <c r="B4" s="10">
        <f>GETPIVOTDATA("Employee ID",'PIVOT TABLES'!$B$4)</f>
        <v>1081</v>
      </c>
      <c r="I4" t="s">
        <v>1190</v>
      </c>
      <c r="J4" t="s">
        <v>1188</v>
      </c>
      <c r="K4" t="s">
        <v>1187</v>
      </c>
      <c r="L4" t="s">
        <v>1194</v>
      </c>
      <c r="M4" t="s">
        <v>1191</v>
      </c>
      <c r="N4" t="s">
        <v>1192</v>
      </c>
      <c r="O4" t="s">
        <v>1196</v>
      </c>
      <c r="P4" t="s">
        <v>1193</v>
      </c>
      <c r="Q4" t="s">
        <v>1195</v>
      </c>
    </row>
    <row r="5" spans="2:18" x14ac:dyDescent="0.3">
      <c r="B5" s="10"/>
      <c r="I5" s="66">
        <v>2018</v>
      </c>
      <c r="J5" s="34">
        <v>43101</v>
      </c>
      <c r="K5" s="34">
        <v>43465</v>
      </c>
      <c r="L5">
        <f>COUNTIFS(EmployeeData[Join Date], "&gt;="&amp;J5, EmployeeData[Join Date], "&lt;="&amp;K5)</f>
        <v>146</v>
      </c>
      <c r="M5">
        <f>COUNTIFS(EmployeeData[Exit Date], "&gt;="&amp;J5, EmployeeData[Exit Date], "&lt;="&amp;K5)</f>
        <v>3</v>
      </c>
      <c r="N5">
        <f>L5-M5</f>
        <v>143</v>
      </c>
      <c r="O5">
        <f>N5</f>
        <v>143</v>
      </c>
      <c r="P5" s="82">
        <v>1</v>
      </c>
      <c r="Q5" s="82">
        <f>M5/O5</f>
        <v>2.097902097902098E-2</v>
      </c>
      <c r="R5" s="85">
        <v>0</v>
      </c>
    </row>
    <row r="6" spans="2:18" x14ac:dyDescent="0.3">
      <c r="B6" s="10" t="s">
        <v>1105</v>
      </c>
      <c r="I6" s="66">
        <v>2019</v>
      </c>
      <c r="J6" s="34">
        <v>43466</v>
      </c>
      <c r="K6" s="34">
        <v>43830</v>
      </c>
      <c r="L6" s="57">
        <f>N5 + COUNTIFS(EmployeeData[Join Date], "&gt;="&amp;J6, EmployeeData[Join Date], "&lt;="&amp;K6)</f>
        <v>288</v>
      </c>
      <c r="M6">
        <f>COUNTIFS(EmployeeData[Exit Date], "&gt;="&amp;J6, EmployeeData[Exit Date], "&lt;="&amp;K6)</f>
        <v>11</v>
      </c>
      <c r="N6">
        <f t="shared" ref="N6:N13" si="0">L6-M6</f>
        <v>277</v>
      </c>
      <c r="O6">
        <f>SUM(N6,N5)/2</f>
        <v>210</v>
      </c>
      <c r="P6" s="82">
        <f>(N6-N5)/N5</f>
        <v>0.93706293706293708</v>
      </c>
      <c r="Q6" s="82">
        <f t="shared" ref="Q6:Q13" si="1">M6/O6</f>
        <v>5.2380952380952382E-2</v>
      </c>
      <c r="R6" s="86">
        <f>Q6-Q5</f>
        <v>3.1401931401931399E-2</v>
      </c>
    </row>
    <row r="7" spans="2:18" x14ac:dyDescent="0.3">
      <c r="I7" s="66">
        <v>2020</v>
      </c>
      <c r="J7" s="34">
        <v>43831</v>
      </c>
      <c r="K7" s="34">
        <v>44196</v>
      </c>
      <c r="L7" s="57">
        <f>N6 + COUNTIFS(EmployeeData[Join Date], "&gt;="&amp;J7, EmployeeData[Join Date], "&lt;="&amp;K7)</f>
        <v>405</v>
      </c>
      <c r="M7">
        <f>COUNTIFS(EmployeeData[Exit Date], "&gt;="&amp;J7, EmployeeData[Exit Date], "&lt;="&amp;K7)</f>
        <v>23</v>
      </c>
      <c r="N7">
        <f t="shared" si="0"/>
        <v>382</v>
      </c>
      <c r="O7">
        <f t="shared" ref="O7:O13" si="2">SUM(N7,N6)/2</f>
        <v>329.5</v>
      </c>
      <c r="P7" s="82">
        <f t="shared" ref="P7:P13" si="3">(N7-N6)/N6</f>
        <v>0.37906137184115524</v>
      </c>
      <c r="Q7" s="82">
        <f t="shared" si="1"/>
        <v>6.9802731411229141E-2</v>
      </c>
      <c r="R7" s="86">
        <f t="shared" ref="R7:R13" si="4">Q7-Q6</f>
        <v>1.7421779030276759E-2</v>
      </c>
    </row>
    <row r="8" spans="2:18" x14ac:dyDescent="0.3">
      <c r="B8" t="s">
        <v>8</v>
      </c>
      <c r="C8" t="s">
        <v>1100</v>
      </c>
      <c r="I8" s="66">
        <v>2021</v>
      </c>
      <c r="J8" s="34">
        <v>44197</v>
      </c>
      <c r="K8" s="34">
        <v>44561</v>
      </c>
      <c r="L8" s="57">
        <f>N7 + COUNTIFS(EmployeeData[Join Date], "&gt;="&amp;J8, EmployeeData[Join Date], "&lt;="&amp;K8)</f>
        <v>516</v>
      </c>
      <c r="M8">
        <f>COUNTIFS(EmployeeData[Exit Date], "&gt;="&amp;J8, EmployeeData[Exit Date], "&lt;="&amp;K8)</f>
        <v>24</v>
      </c>
      <c r="N8">
        <f t="shared" si="0"/>
        <v>492</v>
      </c>
      <c r="O8">
        <f t="shared" si="2"/>
        <v>437</v>
      </c>
      <c r="P8" s="82">
        <f t="shared" si="3"/>
        <v>0.2879581151832461</v>
      </c>
      <c r="Q8" s="82">
        <f t="shared" si="1"/>
        <v>5.4919908466819219E-2</v>
      </c>
      <c r="R8" s="86">
        <f t="shared" si="4"/>
        <v>-1.4882822944409922E-2</v>
      </c>
    </row>
    <row r="9" spans="2:18" x14ac:dyDescent="0.3">
      <c r="B9" t="s">
        <v>18</v>
      </c>
      <c r="C9">
        <f>GETPIVOTDATA("Employee ID",'PIVOT TABLES'!$B$10,"Status","Active")</f>
        <v>667</v>
      </c>
      <c r="I9" s="66">
        <v>2022</v>
      </c>
      <c r="J9" s="34">
        <v>44562</v>
      </c>
      <c r="K9" s="34">
        <v>44926</v>
      </c>
      <c r="L9" s="57">
        <f>N8 + COUNTIFS(EmployeeData[Join Date], "&gt;="&amp;J9, EmployeeData[Join Date], "&lt;="&amp;K9)</f>
        <v>632</v>
      </c>
      <c r="M9">
        <f>COUNTIFS(EmployeeData[Exit Date], "&gt;="&amp;J9, EmployeeData[Exit Date], "&lt;="&amp;K9)</f>
        <v>49</v>
      </c>
      <c r="N9">
        <f t="shared" si="0"/>
        <v>583</v>
      </c>
      <c r="O9">
        <f t="shared" si="2"/>
        <v>537.5</v>
      </c>
      <c r="P9" s="82">
        <f t="shared" si="3"/>
        <v>0.18495934959349594</v>
      </c>
      <c r="Q9" s="82">
        <f t="shared" si="1"/>
        <v>9.1162790697674412E-2</v>
      </c>
      <c r="R9" s="86">
        <f t="shared" si="4"/>
        <v>3.6242882230855193E-2</v>
      </c>
    </row>
    <row r="10" spans="2:18" x14ac:dyDescent="0.3">
      <c r="B10" t="s">
        <v>13</v>
      </c>
      <c r="C10">
        <f>GETPIVOTDATA("Employee ID",'PIVOT TABLES'!$B$10,"Status","Exited")</f>
        <v>414</v>
      </c>
      <c r="I10" s="66">
        <v>2023</v>
      </c>
      <c r="J10" s="34">
        <v>44927</v>
      </c>
      <c r="K10" s="34">
        <v>45291</v>
      </c>
      <c r="L10" s="57">
        <f>N9 + COUNTIFS(EmployeeData[Join Date], "&gt;="&amp;J10, EmployeeData[Join Date], "&lt;="&amp;K10)</f>
        <v>723</v>
      </c>
      <c r="M10">
        <f>COUNTIFS(EmployeeData[Exit Date], "&gt;="&amp;J10, EmployeeData[Exit Date], "&lt;="&amp;K10)</f>
        <v>59</v>
      </c>
      <c r="N10">
        <f t="shared" si="0"/>
        <v>664</v>
      </c>
      <c r="O10">
        <f t="shared" si="2"/>
        <v>623.5</v>
      </c>
      <c r="P10" s="82">
        <f t="shared" si="3"/>
        <v>0.13893653516295026</v>
      </c>
      <c r="Q10" s="82">
        <f t="shared" si="1"/>
        <v>9.4627105052125099E-2</v>
      </c>
      <c r="R10" s="86">
        <f t="shared" si="4"/>
        <v>3.4643143544506871E-3</v>
      </c>
    </row>
    <row r="11" spans="2:18" x14ac:dyDescent="0.3">
      <c r="I11" s="66">
        <v>2024</v>
      </c>
      <c r="J11" s="34">
        <v>45292</v>
      </c>
      <c r="K11" s="34">
        <v>45657</v>
      </c>
      <c r="L11" s="57">
        <f>N10 + COUNTIFS(EmployeeData[Join Date], "&gt;="&amp;J11, EmployeeData[Join Date], "&lt;="&amp;K11)</f>
        <v>783</v>
      </c>
      <c r="M11">
        <f>COUNTIFS(EmployeeData[Exit Date], "&gt;="&amp;J11, EmployeeData[Exit Date], "&lt;="&amp;K11)</f>
        <v>71</v>
      </c>
      <c r="N11">
        <f t="shared" si="0"/>
        <v>712</v>
      </c>
      <c r="O11">
        <f t="shared" si="2"/>
        <v>688</v>
      </c>
      <c r="P11" s="82">
        <f t="shared" si="3"/>
        <v>7.2289156626506021E-2</v>
      </c>
      <c r="Q11" s="82">
        <f t="shared" si="1"/>
        <v>0.10319767441860465</v>
      </c>
      <c r="R11" s="86">
        <f t="shared" si="4"/>
        <v>8.5705693664795551E-3</v>
      </c>
    </row>
    <row r="12" spans="2:18" x14ac:dyDescent="0.3">
      <c r="B12" t="s">
        <v>1185</v>
      </c>
      <c r="I12" s="66">
        <v>2025</v>
      </c>
      <c r="J12" s="34">
        <v>45658</v>
      </c>
      <c r="K12" s="34">
        <v>46022</v>
      </c>
      <c r="L12" s="57">
        <f>N11 + COUNTIFS(EmployeeData[Join Date], "&gt;="&amp;J12, EmployeeData[Join Date], "&lt;="&amp;K12)</f>
        <v>841</v>
      </c>
      <c r="M12">
        <f>COUNTIFS(EmployeeData[Exit Date], "&gt;="&amp;J12, EmployeeData[Exit Date], "&lt;="&amp;K12)</f>
        <v>116</v>
      </c>
      <c r="N12">
        <f t="shared" si="0"/>
        <v>725</v>
      </c>
      <c r="O12">
        <f t="shared" si="2"/>
        <v>718.5</v>
      </c>
      <c r="P12" s="82">
        <f t="shared" si="3"/>
        <v>1.8258426966292134E-2</v>
      </c>
      <c r="Q12" s="82">
        <f t="shared" si="1"/>
        <v>0.16144745998608212</v>
      </c>
      <c r="R12" s="86">
        <f t="shared" si="4"/>
        <v>5.8249785567477466E-2</v>
      </c>
    </row>
    <row r="13" spans="2:18" x14ac:dyDescent="0.3">
      <c r="I13" s="80">
        <v>2026</v>
      </c>
      <c r="J13" s="34">
        <v>46023</v>
      </c>
      <c r="K13" s="34">
        <v>46387</v>
      </c>
      <c r="L13" s="57">
        <f>N12 + COUNTIFS(EmployeeData[Join Date], "&gt;="&amp;J13, EmployeeData[Join Date], "&lt;="&amp;K13)</f>
        <v>725</v>
      </c>
      <c r="M13">
        <f>COUNTIFS(EmployeeData[Exit Date], "&gt;="&amp;J13, EmployeeData[Exit Date], "&lt;="&amp;K13)</f>
        <v>58</v>
      </c>
      <c r="N13">
        <f t="shared" si="0"/>
        <v>667</v>
      </c>
      <c r="O13">
        <f t="shared" si="2"/>
        <v>696</v>
      </c>
      <c r="P13" s="82">
        <f t="shared" si="3"/>
        <v>-0.08</v>
      </c>
      <c r="Q13" s="82">
        <f t="shared" si="1"/>
        <v>8.3333333333333329E-2</v>
      </c>
      <c r="R13" s="86">
        <f t="shared" si="4"/>
        <v>-7.8114126652748792E-2</v>
      </c>
    </row>
    <row r="14" spans="2:18" x14ac:dyDescent="0.3">
      <c r="B14" t="s">
        <v>1183</v>
      </c>
      <c r="C14" t="s">
        <v>18</v>
      </c>
      <c r="D14" t="s">
        <v>18</v>
      </c>
      <c r="E14" t="s">
        <v>13</v>
      </c>
    </row>
    <row r="15" spans="2:18" x14ac:dyDescent="0.3">
      <c r="B15" t="s">
        <v>1178</v>
      </c>
      <c r="C15">
        <f>GETPIVOTDATA("Employee ID",'PIVOT TABLES'!$AJ$4,"Age bracket","20s","Status","Active")</f>
        <v>153</v>
      </c>
      <c r="D15">
        <f>-C15</f>
        <v>-153</v>
      </c>
      <c r="E15">
        <f>GETPIVOTDATA("Employee ID",'PIVOT TABLES'!$AJ$4,"Age bracket","20s","Status","Exited")</f>
        <v>92</v>
      </c>
    </row>
    <row r="16" spans="2:18" x14ac:dyDescent="0.3">
      <c r="B16" t="s">
        <v>1179</v>
      </c>
      <c r="C16">
        <f>GETPIVOTDATA("Employee ID",'PIVOT TABLES'!$AJ$4,"Age bracket","30s","Status","Active")</f>
        <v>162</v>
      </c>
      <c r="D16">
        <f t="shared" ref="D16:D18" si="5">-C16</f>
        <v>-162</v>
      </c>
      <c r="E16">
        <f>GETPIVOTDATA("Employee ID",'PIVOT TABLES'!$AJ$4,"Age bracket","30s","Status","Exited")</f>
        <v>83</v>
      </c>
    </row>
    <row r="17" spans="2:5" x14ac:dyDescent="0.3">
      <c r="B17" t="s">
        <v>1180</v>
      </c>
      <c r="C17">
        <f>GETPIVOTDATA("Employee ID",'PIVOT TABLES'!$AJ$4,"Age bracket","40s","Status","Active")</f>
        <v>198</v>
      </c>
      <c r="D17">
        <f t="shared" si="5"/>
        <v>-198</v>
      </c>
      <c r="E17">
        <f>GETPIVOTDATA("Employee ID",'PIVOT TABLES'!$AJ$4,"Age bracket","40s","Status","Exited")</f>
        <v>101</v>
      </c>
    </row>
    <row r="18" spans="2:5" x14ac:dyDescent="0.3">
      <c r="B18" t="s">
        <v>1181</v>
      </c>
      <c r="C18">
        <f>GETPIVOTDATA("Employee ID",'PIVOT TABLES'!$AJ$4,"Age bracket","50s","Status","Active")</f>
        <v>154</v>
      </c>
      <c r="D18">
        <f t="shared" si="5"/>
        <v>-154</v>
      </c>
      <c r="E18">
        <f>GETPIVOTDATA("Employee ID",'PIVOT TABLES'!$AJ$4,"Age bracket","50s","Status","Exited")</f>
        <v>119</v>
      </c>
    </row>
    <row r="19" spans="2:5" x14ac:dyDescent="0.3">
      <c r="B19" t="s">
        <v>1182</v>
      </c>
      <c r="E19">
        <f>GETPIVOTDATA("Employee ID",'PIVOT TABLES'!$AJ$4,"Age bracket","60s","Status","Exited")</f>
        <v>19</v>
      </c>
    </row>
  </sheetData>
  <conditionalFormatting sqref="R5:R13">
    <cfRule type="iconSet" priority="1">
      <iconSet iconSet="3Signs" reverse="1">
        <cfvo type="percent" val="0"/>
        <cfvo type="num" val="0" gte="0"/>
        <cfvo type="num" val="1E-4" gte="0"/>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Employee Data</vt:lpstr>
      <vt:lpstr>helpers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2026-06-18T14:47:27Z</cp:lastPrinted>
  <dcterms:created xsi:type="dcterms:W3CDTF">2026-06-11T11:52:43Z</dcterms:created>
  <dcterms:modified xsi:type="dcterms:W3CDTF">2026-06-24T12:28:44Z</dcterms:modified>
</cp:coreProperties>
</file>